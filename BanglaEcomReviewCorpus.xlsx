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User\Desktop\"/>
    </mc:Choice>
  </mc:AlternateContent>
  <xr:revisionPtr revIDLastSave="0" documentId="8_{05677CB9-87AA-494B-9513-332672BD710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y+7AEFwOoxy56nii+1QgqrxtD+IwLSpjimGDJpPZ7PI="/>
    </ext>
  </extLst>
</workbook>
</file>

<file path=xl/calcChain.xml><?xml version="1.0" encoding="utf-8"?>
<calcChain xmlns="http://schemas.openxmlformats.org/spreadsheetml/2006/main">
  <c r="C8686" i="1" l="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<sst xmlns="http://schemas.openxmlformats.org/spreadsheetml/2006/main" count="17373" uniqueCount="8691">
  <si>
    <t>Sentence</t>
  </si>
  <si>
    <t>দুর্দান্ত তবে হতাশাজনকভাবে ছোট</t>
  </si>
  <si>
    <t>Neutral</t>
  </si>
  <si>
    <t>ডিজাইনটি খুবই ফ্যাশনেবল</t>
  </si>
  <si>
    <t>Positive</t>
  </si>
  <si>
    <t xml:space="preserve"> খারাপভাবে ভাজা হয়েছিল যার ফলে অসম স্বাদের বিকাশ ঘটেছিল</t>
  </si>
  <si>
    <t>Negative</t>
  </si>
  <si>
    <t>পরিবারের সকলের জন্য উপযোগী</t>
  </si>
  <si>
    <t xml:space="preserve"> সেটের টুকরোগুলো খারাপভাবে আঁকা ছিল ধোঁয়া ও দাগ দিয়ে</t>
  </si>
  <si>
    <t>প্লেডো শুকিয়ে গেছে তাই ব্যবহার করা যাচ্ছে না</t>
  </si>
  <si>
    <t>গন্ধ নেই যা ভালো</t>
  </si>
  <si>
    <t>প্যাকেটে যথেষ্ট সংখ্যক প্যাড থাকার কথা</t>
  </si>
  <si>
    <t xml:space="preserve"> চার্জ ব্যাকআপ পাওয়া যায়</t>
  </si>
  <si>
    <t>ন্যূনতম ব্যবহার এবং কয়েকটি ইনস্টল করা অ্যাপ থাকা সত্ত্বেও ফোনের স্টোরেজ স্পেস দ্রুত পূরণ হয়</t>
  </si>
  <si>
    <t>অর্থের জন্য ভাল মানের কিন্ত আইটেম ত্রুটিযুক্ত</t>
  </si>
  <si>
    <t>এটি খরচ এবং কার্যকারিতার দিক থেকে সেরা</t>
  </si>
  <si>
    <t>মোবাইলটির স্ক্রিন ব্রাইটনেস অনেক বেশি</t>
  </si>
  <si>
    <t>পেমেন্ট অপশন ফ্লেক্সিবল</t>
  </si>
  <si>
    <t>ওয়ার্ডরোবটির স্পেস ম্যানেজমেন্ট অত্যন্ত বুদ্ধিমত্তার সাথে করা হয়েছে</t>
  </si>
  <si>
    <t xml:space="preserve">  ত্রুটিপূর্ণ পণ্য মানের নিশ্চয়তার অভাব নির্দেশ করে</t>
  </si>
  <si>
    <t>অনেক ক্ষেত্রেই ভালো কাজ করে তবে কিছু উন্নতির সম্ভাবনা আছে</t>
  </si>
  <si>
    <t>এখনও শক্ত করে ধরে রেখেছে খুব সুন্দর</t>
  </si>
  <si>
    <t>কিছুটা আরামদায়ক তবে সেরা নয়</t>
  </si>
  <si>
    <t>সারটির প্রভাব খুব বেশি ছিল না তবে গাছের জন্য উপযুক্ত ছিল</t>
  </si>
  <si>
    <t xml:space="preserve"> অন্তর্নির্মিত টিউনারের অভ্যর্থনা দুর্বল ছিল যার ফলে চ্যানেলগুলি অস্পষ্ট এবং বিকৃত হয়েছে৷</t>
  </si>
  <si>
    <t>বাথরোবের ফ্যাব্রিকটি ত্বকের বিরুদ্ধে রুক্ষ এবং খসখসে ছিল</t>
  </si>
  <si>
    <t>চা পাতাগুলি খুব শক্তভাবে প্যাক করা ছিল সঠিক আধান প্রতিরোধ করে</t>
  </si>
  <si>
    <t>রিসেপশনের সার্ভিস অনেক দ্রুত এবং বন্ধুত্বপূর্ণ</t>
  </si>
  <si>
    <t>ভঙ্গুর প্লাস্টিকের নির্মাণ ফাটল এবং ভাঙ্গনের দিকে পরিচালিত করে</t>
  </si>
  <si>
    <t>এটি নিয়মিত ব্যবহারের জন্য গ্রহণযোগ্য</t>
  </si>
  <si>
    <t>প্যাকেজ করা রামেন নুডলসের একটি চর্বিযুক্ত ফিল্ম এবং অতিরিক্ত নোনতা ঝোল ছিল ভারসাম্যের অভাব ছিল</t>
  </si>
  <si>
    <t>প্রোডাক্ট খুব একটা ভালো না কিন্তু খেতে অনেক মজা</t>
  </si>
  <si>
    <t xml:space="preserve"> দরজাটি সঠিকভাবে সারিবদ্ধ করা কঠিন কখনও কখনও এটি বন্ধ করার জন্য একাধিক প্রচেষ্টার প্রয়োজন হয়</t>
  </si>
  <si>
    <t>সহজে স্থানান্তর করা যায় নড়াচড়ায় ক্ষতি হয় না</t>
  </si>
  <si>
    <t>পণ্যটি ভালোভাবে তৈরি</t>
  </si>
  <si>
    <t>ব্যবহারে মজা</t>
  </si>
  <si>
    <t>এত ছোট হওয়ার জন্য স্থায়িত্বের অভাব হতে পারে</t>
  </si>
  <si>
    <t>গল্পটি অত্যন্ত প্রেরণাদায়ক</t>
  </si>
  <si>
    <t>পোশাকটি দেখা যায় তবে রঙ সঠিক নাও হতে পারে</t>
  </si>
  <si>
    <t>সময়ের সঠিকতা নিশ্চিত করে</t>
  </si>
  <si>
    <t>শ্যাম্পুর সুগন্ধি সত্যিই মনোমুগ্ধকর</t>
  </si>
  <si>
    <t xml:space="preserve">  ওয়াশ ত্বকের আর্দ্রতা ছিনিয়ে নেয় গোসল করার পরে এটিকে টানটান এবং অস্বস্তিকর বোধ করে</t>
  </si>
  <si>
    <t>সার্ভিং প্লেট আছে কিন্তু আকার ছোট মনে হয়েছে</t>
  </si>
  <si>
    <t>হেয়ারস্প্রে আমার চুলের স্টাইলকে ঠিক রাখে নি এবং আমার চুলকে শক্ত এবং অপ্রাকৃতিক বোধ করে</t>
  </si>
  <si>
    <t xml:space="preserve"> ব্যাটারি লাস্ট সময় খুব ভালো</t>
  </si>
  <si>
    <t>সেটিং স্প্রেতে একটি শক্তিশালী অ্যালকোহল গন্ধ রয়েছে যা প্রয়োগের পরেও দীর্ঘস্থায়ী হয়</t>
  </si>
  <si>
    <t>গাড়ী রিমোট এয়ার ট্যাগ সমাধান জন্য ইনস্টল এবং নিরাপদ</t>
  </si>
  <si>
    <t>মন খারাপ থাকলে দেখলেই ভালো লাগে</t>
  </si>
  <si>
    <t>ছেলেটি তার নতুন বাইকে খুব আনন্দ পাচ্ছে</t>
  </si>
  <si>
    <t>ইরেজারটি অনেক কার্যকর লেখার দাগ সহজেই মুছে ফেলা যায়</t>
  </si>
  <si>
    <t>এয়ার ফ্রেশনারটি গন্ধ ছড়ায় তবে খুব দীর্ঘস্থায়ী নয়</t>
  </si>
  <si>
    <t>সংরক্ষণ করা সহজ তবে কিছু ভারী</t>
  </si>
  <si>
    <t>কিছু পরিবর্তন পরিলক্ষিত হলেও সারটি তেমন কিছু বিশেষ কাজ করেনি</t>
  </si>
  <si>
    <t>সামগ্রিক স্থায়িত্ব নিয়ে অসন্তুষ্ট</t>
  </si>
  <si>
    <t>পানীয়ের গন্ধ বেশ ভালো তবে স্বাদ কিছুটা অস্বাভাবিক</t>
  </si>
  <si>
    <t>চুলের প্রাকৃতিক উজ্জ্বলতা বজায় রাখতে সহায়ক এই শ্যাম্পু</t>
  </si>
  <si>
    <t>মাখন চিকন অনুভূত এবং আমার জামাকাপড় আমাকে লাঠি করা</t>
  </si>
  <si>
    <t>মোজা কিছুটা আরামদায়ক সেরা নয়</t>
  </si>
  <si>
    <t>গরম জল ঢালার সময় সতর্কতা অবলম্বন করা হয়</t>
  </si>
  <si>
    <t>ফাউন্ডেশনের নিচে স্তরে স্তরে রাখলে ফেস প্রাইমার বড়ি এবং বল উঠে যায় মেকআপের প্রয়োগ নষ্ট করে</t>
  </si>
  <si>
    <t xml:space="preserve"> তারগুলি ক্ষীণ এবং জটলা করার প্রবণতা সেগুলি ব্যবহারে অসুবিধাজনক এবং সংরক্ষণ করা কঠিন করে তোলে</t>
  </si>
  <si>
    <t>মেকআপ ব্রাশ সময় বাঁচায়</t>
  </si>
  <si>
    <t>নোটবুকের কাগজের মান মোটামুটি দাম একটু বেশি</t>
  </si>
  <si>
    <t>ঘড়িটির রিম অত্যন্ত মজবুত</t>
  </si>
  <si>
    <t>অতিরিক্ত এবং খারাপভাবে নির্মিত</t>
  </si>
  <si>
    <t>মেয়েটি তার বন্ধুর সাথে সবসময় খেলে</t>
  </si>
  <si>
    <t>মাত্র কয়েকটি ধোয়ার পরে   রঙ উল্লেখযোগ্যভাবে বিবর্ণ হয়ে যায় এটিকে পুরানো এবং জরাজীর্ণ দেখায়</t>
  </si>
  <si>
    <t>দীর্ঘ সময় ব্যবহার করা যায় একটু সস্থা হলে বেশি ভাল হত</t>
  </si>
  <si>
    <t>দারাজ এ ডিসকাউন্ট আর বিকাশ ক্যাশবেক মিলিয়ে  টা ফেসওয়াজ মাত্র  টাকায় পেলামসাথে ফ্রি ডেলিভারী</t>
  </si>
  <si>
    <t>এটি কোনো শক্তিশালী প্রতিক্রিয়া জাগায় না</t>
  </si>
  <si>
    <t>আইটেমটির ব্যাটারি লাইফ অপর্যাপ্ত ছিল৷</t>
  </si>
  <si>
    <t>বেবি ফর্মুলা ডিসপেনসারের কম্পার্টমেন্টগুলি খুব ছোট ফর্মুলা বের করা কঠিন করে তোলে</t>
  </si>
  <si>
    <t>ময়লাস্তরযুক্ত খরগোশ অপার্থিব উপস্থাপনা</t>
  </si>
  <si>
    <t>আকারটি আমার জন্য ঠিক মতো ছিল</t>
  </si>
  <si>
    <t>অসন্তোষজনক স্থায়িত্ব ঘন ঘন ত্রুটি  দেখা দিচ্ছে</t>
  </si>
  <si>
    <t>পাওয়ার ব্যাঙ্কের চার্জিং তারটি ডিভাইসে সুরক্ষিতভাবে প্লাগ করা থাকে না সহজেই পড়ে যায়</t>
  </si>
  <si>
    <t>ডিজাইনটি খুবই আকর্ষণীয়</t>
  </si>
  <si>
    <t>বইটির প্রতিটি অধ্যায় ছিল উত্তেজনাপূর্ণ</t>
  </si>
  <si>
    <t>অন্যান্য ব্র্যান্ডের তুলনায় গড়পড়তা</t>
  </si>
  <si>
    <t>লাউঞ্জ চেয়ারের সাথে ম্যাচিং ফুটস্টুল দেওয়া আছে</t>
  </si>
  <si>
    <t>ডিভাইসটির কনট্রাস্ট রেশিও খুবই উচ্চ</t>
  </si>
  <si>
    <t>ধারণ ক্ষমতা ঠিকই আছে তবে আরেকটু বড় হলে ভালো হত</t>
  </si>
  <si>
    <t>প্লেডো খেলার পর এয়ারটাইট কন্টেইনারে রাখতে ভুললে শুকিয়ে যায়</t>
  </si>
  <si>
    <t>এটি তীক্ষ্ণ নয় তবে খুব মারাত্মক নয়</t>
  </si>
  <si>
    <t>গয়নাগুলির সেটিংটি আলগা এবং অনিরাপদ ছিল যার ফলে পাথরগুলি চারপাশে ঝাঁকুনি দেয় এবং সহজেই পড়ে যায়</t>
  </si>
  <si>
    <t>সোপটির সুগন্ধি অত্যন্ত মনোমুগ্ধকর</t>
  </si>
  <si>
    <t>সৌরচালিত ফোন চার্জার ফোনটি সম্পূর্ণরূপে চার্জ করে না ধীর চার্জিং</t>
  </si>
  <si>
    <t>এই শ্যাম্পু ব্যবহারের পর চুলে কোনো রুক্ষতা নেই</t>
  </si>
  <si>
    <t>পণ্যের ওজন বন্টন এটি পরিচালনা করা বিশ্রী করে তোলে</t>
  </si>
  <si>
    <t>অনেক ব্যবহারকারী প্যাকেজিংয়ে পণ্যের মেয়াদ শেষ হওয়ার তারিখ খুঁজে পেতে সমস্যার সম্মুখীন হয়েছেন</t>
  </si>
  <si>
    <t>আমার প্রত্যাশা মোটামুটি পূরণ হয়েছে তবে উন্নতির সুযোগ আছে</t>
  </si>
  <si>
    <t>হ্যান্ড ওয়ার্মার গরম করে কিন্তু চার্জ দীর্ঘস্থায়ী হয় না</t>
  </si>
  <si>
    <t>অস্বিশ্বস্ত ক্রেতা সাবধান</t>
  </si>
  <si>
    <t>মপটি দিয়ে কাজ করার সময় আওয়াজ কম হয়</t>
  </si>
  <si>
    <t>খরচের তুলনায় পোশাকের নিম্নমানের গুণমান নিয়ে অসন্তুষ্ট</t>
  </si>
  <si>
    <t>আমি সম্প্রতি এই কফি বীনে ব্যবহার করেছি এবং অভিজ্ঞতা কিছুটা ভালো</t>
  </si>
  <si>
    <t>এটি কাজ করে তবে অন্য ব্র্যান্ডের সাথে তুলনীয় ন্য</t>
  </si>
  <si>
    <t>স্মার্ট জলের বোতলের ঢাকনা নিরাপদে বন্ধ হয় না জল ছড়িয়ে পড়ে</t>
  </si>
  <si>
    <t>আমার নতুন কানের দুল দেখে সবাই প্রশংসা করছে এগুলো সত্যিই মনোরম</t>
  </si>
  <si>
    <t>যেকোনো পরিবেশে প্রকৃতির ছোঁয়া এনে দেয়</t>
  </si>
  <si>
    <t>চৌম্বকীয় আবিষ্কারক নির্ভরযোগ্য নয় শুধু চুম্বক থাকলে বাগ যাচাই করতে পারে</t>
  </si>
  <si>
    <t>কম্প্যাক্ট ডিজাইন হওয়ায় বহন করতেও সহজ</t>
  </si>
  <si>
    <t>চায়ের মান দেখে বোঝা যায় এটি পরিবেশ বান্ধব উপায়ে উৎপাদন করা হয়েছে</t>
  </si>
  <si>
    <t>পোর্টেবল এয়ার কোয়ালিটি মনিটরটি দূষণ মাপে তবে ডিসপ্লে ছোট</t>
  </si>
  <si>
    <t>রান্নাঘরের মেঝে পরিষ্কার করতে ভালো কাজ করে</t>
  </si>
  <si>
    <t>ভাল পণ্য</t>
  </si>
  <si>
    <t>আশা করা গিয়েছিল রঙের বৈচিত্র্য আরও বেশি থাকবে</t>
  </si>
  <si>
    <t>গরম রাখে কিন্তু তাপমাত্রা নিয়ন্ত্রণ করা কঠিন</t>
  </si>
  <si>
    <t>বইয়ের আলমারিটি আমার সমস্ত বই ধারণ করতে পারছে</t>
  </si>
  <si>
    <t>প্যাকেজিংটি সঠিকভাবে সীলমোহর করা হয়নি যার ফলে স্বাদ এবং গন্ধ নষ্ট হয়ে গেছে</t>
  </si>
  <si>
    <t>গাছের বৃদ্ধি কিছুটা হয়েছে তবে সারটির মূল্য বেশি</t>
  </si>
  <si>
    <t>চিত্রকর্মের প্রতিটি অংশেই শিল্পীর স্পর্শ স্পষ্ট</t>
  </si>
  <si>
    <t>গুণমান মাঝারি</t>
  </si>
  <si>
    <t>বডি ওয়াশের পাম্প কিছু ব্যবহারের পরে ভেঙে যায় এটি বিতরণ করা কঠিন করে তোলে</t>
  </si>
  <si>
    <t>চমৎকার নয় তবে কাজ চালিয়ে নেওয়া যাবে</t>
  </si>
  <si>
    <t>রিপার্টমেন্ট রিভিউ আরো ভালো হতে পারতো</t>
  </si>
  <si>
    <t xml:space="preserve">  কুয়াশা আমার অ্যালার্জি বিরক্ত করে এবং আমাকে হাঁচি দেয়</t>
  </si>
  <si>
    <t xml:space="preserve"> হ্যান্ডেল টেলিস্কোপিং মেকানিজম জ্যাম এটি সামঞ্জস্য করা অসম্ভব করে তোলে</t>
  </si>
  <si>
    <t>কিছুটা নিখুঁতভাবে কাজ করে</t>
  </si>
  <si>
    <t>দেখতে সুন্দর কিন্তু কিছু আইটেম ত্রুটি আছে</t>
  </si>
  <si>
    <t>ঘরের আবহাওয়া পরিবর্তন করে ফেলে</t>
  </si>
  <si>
    <t>বয়সের ছাপ কমাতে সাহায্য করে এই বডি ওয়াশ</t>
  </si>
  <si>
    <t>পণ্যের ডিজাইনে স্থায়িত্ব এবং কাঠামোগত অখণ্ডতার অভাব ছিল</t>
  </si>
  <si>
    <t>প্রতিক্রিয়াহীন গ্রাহক পরিষেবা অভিযোগের সমাধান করতে ব্যর্থ হয়</t>
  </si>
  <si>
    <t>আইশ্যাডো প্রাইমার কয়েক ঘন্টার মধ্যে ক্রিজ হয়ে যায় যার ফলে আইশ্যাডো বিবর্ণ এবং ধোঁয়াটে হয়ে যায়</t>
  </si>
  <si>
    <t>এর প্যাকেজিংও বেশ আকর্ষণীয় এবং আধুনিক</t>
  </si>
  <si>
    <t>ডিভাইসটির ফেস আইডি খুবই কার্যকর</t>
  </si>
  <si>
    <t xml:space="preserve"> অভ্যন্তর পরিষ্কার করা কঠিন খাবারের অবশিষ্টাংশ দেয়ালে লেগে থাকে</t>
  </si>
  <si>
    <t>সোপটি ত্বককে ময়েশ্চারাইজড রাখে</t>
  </si>
  <si>
    <t xml:space="preserve">সেরা মান উন্নত </t>
  </si>
  <si>
    <t xml:space="preserve">  কাঠামোর অভাব রয়েছে যার ফলে একটি অপ্রস্তুত সিলুয়েট</t>
  </si>
  <si>
    <t>ফ্রেম টিকসই তবে অতি উচ্চমানের নয়</t>
  </si>
  <si>
    <t>পণ্যটি ভালো তবে গ্রাহক পরিষেবায় উন্নত বৈশিষ্ট্যের অভাব রয়েছে</t>
  </si>
  <si>
    <t xml:space="preserve">পাওয়ার ব্যাঙ্কটি কাজ করে ভালো তবে চার্জ দেওয়ার সময় কিছুটা ধীর হতে পারে </t>
  </si>
  <si>
    <t>ড্রোনটি উড়ে বাতাসের সাথে</t>
  </si>
  <si>
    <t>এটি বয়স্কদের ব্যবহারের জন্য পরিচালনাযোগ্য</t>
  </si>
  <si>
    <t>ঘরের পর্দাগুলির রঙ খুবই মনোরম এবং শোভন</t>
  </si>
  <si>
    <t xml:space="preserve">  লোশন আমার ত্বকে একটি আঠালো অবশিষ্টাংশ রেখে গেছে</t>
  </si>
  <si>
    <t>ট্রাভেল পিলোটি ব্যবহার করা যায় তবে খুব একটা আরামদায়ক নয়</t>
  </si>
  <si>
    <t>সাধারণ দৈনন্দিন কর্মকাণ্ডের জন্য ব্যবহারযোগ্য</t>
  </si>
  <si>
    <t>খেলনার প্লাস্টিক সস্তা এবং ভঙ্গুর অনুভূত হয়েছে</t>
  </si>
  <si>
    <t xml:space="preserve"> ভিতরের টার্নটেবলটি ধারাবাহিকভাবে ঘোরে না যার ফলে অসম গরম হয়</t>
  </si>
  <si>
    <t>প্যাকেজিং ভালো ছিল ক্ষতিগ্রস্ত হয়ে আসেনি</t>
  </si>
  <si>
    <t>বালিশগুলির আকার পরিবর্তন করা যায় যা আমার জন্য খুবই সুবিধাজনক আমি আমার পছন্দ মতো এগুলিকে আকার দিতে পারি</t>
  </si>
  <si>
    <t>মিষ্টি ভালো তবে কিছুটা অনেক</t>
  </si>
  <si>
    <t>ঘরের মেঝে পরিষ্কার করার জন্য ভ্যাকুয়ামটি কার্যকর</t>
  </si>
  <si>
    <t>কিছু গাছ ভালো হয়েছে তবে সারটি খুব বেশি প্রভাব ফেলতে পারেনি</t>
  </si>
  <si>
    <t>পণ্যটি অন্যগুলার চেয়ে ভাল কিন্তু উন্নতির সুযোগ রয়েছে</t>
  </si>
  <si>
    <t>রঙ উজ্জ্বল তবে কাপড়ের মান কম</t>
  </si>
  <si>
    <t>কফির শরীর এবং গভীরতার অভাব ছিল স্বাদ পাতলা এবং জলময়</t>
  </si>
  <si>
    <t>প্যাডটি মোটামুটি মানের</t>
  </si>
  <si>
    <t>নতুন ড্রেসটি মেয়েটির উপর খুবই মানানসই</t>
  </si>
  <si>
    <t>কার্যকারিতা গ্রহণযোগ্য</t>
  </si>
  <si>
    <t>সাবান বারটি আমার ত্বক শুকিয়ে গেছে এটিকে টানটান এবং অস্বস্তিকর বোধ করে</t>
  </si>
  <si>
    <t>ফ্যাব্রিকের কাঠিন্য পোশাকের চলার বিরুদ্ধে অসুস্থতা এবং ক্ষতিগ্রস্ত করে</t>
  </si>
  <si>
    <t>টাইমারের বোতামটি সংক্ষিপ্ত এবং ব্যবহার করা চ্যালেঞ্জিং হতে পারে</t>
  </si>
  <si>
    <t>স্মার্ট স্কেলটি ওজন মাপে তবে অ্যাপ সংযোগ মাঝে মাঝে অস্থিতিশীল হয়</t>
  </si>
  <si>
    <t>ফ্র্যাগ্রেন্স ডিফিউজারটি গন্ধ ছড়ায় কিন্তু কভারেজ সীমিত</t>
  </si>
  <si>
    <t>পাওয়ার ব্যাঙ্কের চার্জিং স্ট্যাটাস লাইটগুলি বিভ্রান্তিকর ব্যাটারি স্তরের জন্য অস্পষ্ট সূচকগুলির সাথে৷</t>
  </si>
  <si>
    <t xml:space="preserve"> আপনারা নিতে পারেন ভাল মান</t>
  </si>
  <si>
    <t>মাসকারা সারাদিন ধরে চোখের নিচে কালো দাগ ফেলে</t>
  </si>
  <si>
    <t>দেখতে আকর্ষণীয় তবে আরাম কম</t>
  </si>
  <si>
    <t>লাইটওয়েট হওয়ার দাবি সত্ত্বেও ল্যাপটপ ব্যাগটি বহন করার জন্য ভারী এবং কষ্টকর মনে হয়েছিল যা আমার ভ্রমণের সময় আমার ওজন কমিয়ে দেয়</t>
  </si>
  <si>
    <t>চুলের তেল আমার মাথার ত্বককে তৈলাক্ত এবং ময়লা আকর্ষণ করে আমার চুলকে নোংরা দেখায়</t>
  </si>
  <si>
    <t>এই অসাধারণ আংটির ডিজাইন খুব সুন্দর এবং আকর্ষণীয়</t>
  </si>
  <si>
    <t>বাহ্যিক ফিনিস মরিচা প্রবণ এর স্থায়িত্বের সাথে আপস করে</t>
  </si>
  <si>
    <t>বইয়ের আলমারিটির পেছনে থাকা ভেন্টিলেশন সিস্টেম বইগুলোকে ভাল রাখে</t>
  </si>
  <si>
    <t>সৌরচালিত বার্ড রিপেলার পাখিদের বাধা দেয় না অকার্যকর</t>
  </si>
  <si>
    <t>ওয়্যারলেস ইয়ার ওয়্যাক্স রিমুভারটি কাজ করে তবে প্রায়ই টিপ বদলাতে হয়</t>
  </si>
  <si>
    <t xml:space="preserve"> ডিজাইনে কাঠামোগত অখণ্ডতার অভাব রয়েছে যার ফলে এটি খালি হলে ধসে পড়ে</t>
  </si>
  <si>
    <t xml:space="preserve"> কন্ট্রোল প্যানেল বোতামগুলি খারাপভাবে লেবেলযুক্ত তাদের ফাংশন সম্পর্কে বিভ্রান্তি সৃষ্টি করে৷</t>
  </si>
  <si>
    <t>অনেক ভাল বিস্তার করে</t>
  </si>
  <si>
    <t xml:space="preserve">ফ্যানটি সাধারণ মানের কিন্তু খুব বেশি শক্তিশালী নয় </t>
  </si>
  <si>
    <t>ফ্যাব্রিকের স্ট্রেচের অভাব পোশাকটিকে পরতে অস্বস্তিকর করে তোলে চলাচলে সীমাবদ্ধতা সৃষ্টি করে এবং কঠোরতা সৃষ্টি করে</t>
  </si>
  <si>
    <t>আমার কানের দুলের নকশা খুবই স্টাইলিশ</t>
  </si>
  <si>
    <t>ফাটল দ্রুত তৈরি হয় এটি গরম পানীয়ের জন্য অনিরাপদ করে তোলে</t>
  </si>
  <si>
    <t>ক্যামেরাটি ভালো তবে সব চাহিদা পূরণ করে না</t>
  </si>
  <si>
    <t>বাটির আকার ভিন্ন</t>
  </si>
  <si>
    <t>লিনেন পাসযোগ্য দুর্দান্ত নয়</t>
  </si>
  <si>
    <t>আপনারা যারা আজকে কিছু কিছু পণ্য কিনে জিততে পারেন</t>
  </si>
  <si>
    <t>বিভিন্ন ফলসবজির আকৃতি আছে তবে রঙ অতিরঞ্জিত</t>
  </si>
  <si>
    <t>ফ্যাব্রিক ভালো কিন্তু খুব টেকসই নয়</t>
  </si>
  <si>
    <t>ছেলেটি তার খেলার সময় সবসময় সতর্ক থাকে</t>
  </si>
  <si>
    <t>এই বিস্কুটের স্বাদ সত্যিই অসাধারণ মিষ্টি ও নোনতার পারফেক্ট ব্যালেন্স আছে</t>
  </si>
  <si>
    <t>যা চেয়েছিলাম তা নয় মোটামুটি ঠিক আছে</t>
  </si>
  <si>
    <t>চমৎকার ইয়ারবাড তবে প্রত্যাশার মতো কাজ করে না</t>
  </si>
  <si>
    <t>ট্রাশ ক্যানটি কাজ করে কিন্তু গন্ধ বের হয়</t>
  </si>
  <si>
    <t>হাতল ভাঙ্গার সম্ভাবনা কিছুটা কম</t>
  </si>
  <si>
    <t>মপের কাপড়টি ভালো কিন্তু শুকাতে সময় লাগে</t>
  </si>
  <si>
    <t>আইটেমটির ফিনিশ সহজেই ক্ষতিগ্রস্ত হয় ফলে এটি তাড়াতাড়ি পুরনো দেখায়</t>
  </si>
  <si>
    <t>ইনস্টলেশন প্রক্রিয়া সহজ</t>
  </si>
  <si>
    <t>এটি আমার চুলের ভলিউম বাড়াতে সাহায্য করে</t>
  </si>
  <si>
    <t>ঘরের আলোর জন্য লাইটটি একদম উপযুক্ত</t>
  </si>
  <si>
    <t>ফেস ওয়াশ ত্বকের আর্দ্রতা দূর করে বিশেষ করে শুষ্ক ত্বকের ধরনগুলিতে টানটানতা এবং অস্বস্তি সৃষ্টি করে</t>
  </si>
  <si>
    <t>শাওয়ার জেলটি ট্রানজিটে ফাঁস হয়ে যায় প্যাকেজে একটি আঠালো জগাখিচুড়ি তৈরি করে</t>
  </si>
  <si>
    <t>আসলে ভালোবাসি না</t>
  </si>
  <si>
    <t>নতুন বইটির প্রতিটি গল্প আকর্ষণীয়</t>
  </si>
  <si>
    <t>অ্যাসিডফ্রি কাগজ ব্যবহার করা হয়েছে</t>
  </si>
  <si>
    <t>এই শ্যাম্পুটি চুলকে অনেক কোমল করে তোলে</t>
  </si>
  <si>
    <t>এই বডি ওয়াশ ব্যবহারে আপনার ত্বক হবে আরও সুন্দর</t>
  </si>
  <si>
    <t>পণ্যটির স্থায়িত্ব প্রত্যাশা পূরণ করেনি</t>
  </si>
  <si>
    <t>পন্যটির রেটিং ভাল</t>
  </si>
  <si>
    <t>ফিট কিছুটা অস্বস্তিকর</t>
  </si>
  <si>
    <t>স্মার্ট কিচেন স্কেলের অ্যাপ ক্র্যাশ পরিমাপ ট্র্যাক করতে পারে না</t>
  </si>
  <si>
    <t>সুপার উডওয়ার্কিং শার্পনার ঠিক আছে</t>
  </si>
  <si>
    <t>এটি সামান্য তরল অনুভূত হয়</t>
  </si>
  <si>
    <t>ল্যাপটপের বিল্ড কোয়ালিটি সস্তা এবং ক্ষীণ বোধ করে স্থায়িত্ব এবং দীর্ঘায়ু সম্পর্কে উদ্বেগ বাড়ায়</t>
  </si>
  <si>
    <t xml:space="preserve">  জেল ভালোভাবে ফেটেনি এবং আমার ত্বকে একটি ফিল্ম রেখে গেছে</t>
  </si>
  <si>
    <t>বাজে মানের পন্যের অতিরিক্ত মূল্য</t>
  </si>
  <si>
    <t xml:space="preserve"> বহন কেসটি খারাপভাবে ডিজাইন করা হয়েছে অপর্যাপ্ত প্যাডিং বা সুরক্ষা সহ যা পরিবহন বা স্টোরেজের সময় ক্ষতির দিকে পরিচালিত করে</t>
  </si>
  <si>
    <t>বারবার ত্রুটি হতাশাজনক নির্ভরযোগ্যতা</t>
  </si>
  <si>
    <t>সারটি ব্যবহার করে কিছু ফলন বৃদ্ধি পেলেও মাটির গুণগত মান তেমন উন্নতি পায়নি</t>
  </si>
  <si>
    <t>ইলেকট্রনিক টংটি খাবার উল্টায় তবে ব্যাটারি খরচ বেশি</t>
  </si>
  <si>
    <t>বালিশগুলির উপরের অংশ এমনভাবে তৈরি করা হয়েছে যে এগুলি চুলকে জট পাকাতে দেয় না</t>
  </si>
  <si>
    <t>এটি বিশেষ কিছু হতে পারে</t>
  </si>
  <si>
    <t>শীতের তীব্রতা থেকে রক্ষা করার জন্য এটি সেরা</t>
  </si>
  <si>
    <t>কীটব্যাগটি বড় তবে লকিং সিস্টেম উন্নত করা দরকার</t>
  </si>
  <si>
    <t>দাম বেশ কম তবে পানীয়ের স্বাদ বেশ সাধারণ</t>
  </si>
  <si>
    <t>পণ্যটি ভাঁজযুক্ত এবং কুঁচকে আছে</t>
  </si>
  <si>
    <t>অত্যধিক গরমের সমস্যা রান্নাঘরে নিরাপত্তার ঝুঁকি তৈরি করেছে</t>
  </si>
  <si>
    <t>আমার নতুন প্রিয় কিন্তু নিখুঁত নয়</t>
  </si>
  <si>
    <t>আরামদায়কতার স্তর মাঝারি</t>
  </si>
  <si>
    <t>সোজা এবং পাতলা ফ্যাব্রিক পোশাকের দৃঢ়তা ও অনুভূতি কমিয়ে দেয়</t>
  </si>
  <si>
    <t>দামের জন্য ভাল</t>
  </si>
  <si>
    <t xml:space="preserve"> আমি দ্বিতীয়টি কিনেছিঅসাধারণ একটি প্রোডাক্ট </t>
  </si>
  <si>
    <t>এটি দামের জন্য আদর্শ নয়</t>
  </si>
  <si>
    <t>মেকআপ কিটটি পেশাদার এবং নৈমিত্তিক উভয় ব্যবহারের জন্য উপযোগী</t>
  </si>
  <si>
    <t>ফোনের আপডেটগুলি বিরল এটি নিরাপত্তা ঝুঁকি এবং সফ্টওয়্যার বাগগুলির জন্য ঝুঁকিপূর্ণ রেখে৷</t>
  </si>
  <si>
    <t>এই ডিনার সেটের সৌন্দর্য আমাকে প্রতিদিন রান্ন করতে উৎসাহিত করে আমি এখন আমার পদগুলি আরও সুন্দরভাবে সাজাতে পারি</t>
  </si>
  <si>
    <t>মাফিনগুলি তাজা বা সুস্বাদু নয় বরং শুকনো এবং স্বাদে কৃত্রিমতা আছে যা খাওয়ার পরে মুখে ভালো স্বাদ দেয় না</t>
  </si>
  <si>
    <t>খুবই মজার এবং স্বাস্থ্যকর</t>
  </si>
  <si>
    <t>বীনগুলো মাঝারি রোস্টের রঙ গাঢ় বাদামি</t>
  </si>
  <si>
    <t>পুনব্যবহারযোগ্য কিন্তু কতবার অনিশ্চিত</t>
  </si>
  <si>
    <t>বৈদ্যুতিক ক্যান ওপেনারের ব্লেডগুলি নিস্তেজ ক্যানগুলি সঠিকভাবে খুলতে পারে না</t>
  </si>
  <si>
    <t>নতুন ফোনের ব্যাটারি খুব টেকসই</t>
  </si>
  <si>
    <t>সৌর চালিত বহিরঙ্গন নিরাপত্তা লাইট চালু হয় না অবিশ্বাস্য</t>
  </si>
  <si>
    <t xml:space="preserve"> ইউএসবি পোর্টগুলি খুব গভীরভাবে পুনরুদ্ধার করা হয় যা মোটা তারের সাথে ডিভাইসগুলিকে প্লাগ করা কঠিন করে তোলে</t>
  </si>
  <si>
    <t>অ্যান্টিফ্রিজ সিরাম ফ্রিজকে নিয়ন্ত্রণ করতে পারেনি এবং পরিবর্তে আমার চুলকে চিকন দেখাচ্ছে</t>
  </si>
  <si>
    <t>তাকগুলি সামঞ্জস্যযোগ্য নয় বিভিন্ন আকারের আইটেমগুলি সংগঠিত করার ক্ষেত্রে নমনীয়তা সীমিত করে</t>
  </si>
  <si>
    <t>এই বডি ওয়াশ ব্যবহারে আপনি অনুভব করবেন উজ্জ্বলতা</t>
  </si>
  <si>
    <t>নিরাপদ এবং কার্যকরী</t>
  </si>
  <si>
    <t>বিউটি সোপটি ত্বককে সজীব করে</t>
  </si>
  <si>
    <t xml:space="preserve">মূল্যহীন  অনেক ভাল হয়েছে </t>
  </si>
  <si>
    <t>জেবিএল টিউন বিটি স্টাইলিশ প্যাকেজে সাউন্ড মোটামুটি ঠিক</t>
  </si>
  <si>
    <t>এই টুথপেস্ট এবং ব্রাশটি ব্যবহার করে আমি সত্যিই মুগ্ধ</t>
  </si>
  <si>
    <t>ইন্ডিকেটর লাইট কার্যকর</t>
  </si>
  <si>
    <t>ফোনের অপারেটিং সিস্টেম পিছিয়ে যায় এবং ঘন ঘন জমে যায় কাজে ব্যাঘাত ঘটায়</t>
  </si>
  <si>
    <t>ফ্রিজটি যথেষ্ট বড় এবং জিনিসপত্র সহজেই রাখা যায়</t>
  </si>
  <si>
    <t>স্বাদটা স্বাভাবিক তবে চিনি কম হলে ভালো হতো</t>
  </si>
  <si>
    <t>মাপ সব জায়গায় আছে হয় খুব ছোট বা খুব বড়</t>
  </si>
  <si>
    <t>বইটি পড়ে নিজেকে অনেক সমৃদ্ধ মনে হয়েছে</t>
  </si>
  <si>
    <t>ভালো মানের তবে ব্যাটারি জীবন প্রত্যাশার চেয়ে কম</t>
  </si>
  <si>
    <t>রঙটি সব ঋতুর সাথে মানিয়ে যায়</t>
  </si>
  <si>
    <t>আমার এয়ারপডস প্রোর জন্য দারুণ কেস তবে সামঞ্জস্যতার কিছু উদ্বেগ থাকতে পারে</t>
  </si>
  <si>
    <t>ফ্যাব্রিক মোটামুটি বিশেষ কিছু নয়</t>
  </si>
  <si>
    <t>গন্ধটা সহনীয় লেগেছে</t>
  </si>
  <si>
    <t>মুখে দিলে মিহি হয়ে যায় কিন্তু কিছুক্ষণের জন্য চিবানোর মজাও দেয়</t>
  </si>
  <si>
    <t>সারা বছর একই রকম সৌন্দর্য বজায় রাখে</t>
  </si>
  <si>
    <t xml:space="preserve"> স্ক্রিনে ইনপুট এবং ডিসপ্লের মধ্যে একটি লক্ষণীয় ব্যবধান ছিল যা গেমিংকে প্রতিক্রিয়াহীন করে তোলে</t>
  </si>
  <si>
    <t>এটি প্রয়োজনীয় তবে কিছু সীমাবদ্ধতা রয়েছে</t>
  </si>
  <si>
    <t>দারুণ কাজ করে</t>
  </si>
  <si>
    <t>যুক্তিসঙ্গতভাবে ভালো কাজ করে কিছু ফাঁস সমস্যা</t>
  </si>
  <si>
    <t>শেভিং রেজারের ধার খুব ভালো</t>
  </si>
  <si>
    <t>মেয়েটি তার নাচের ক্লাসে অনেক ভালো করছে</t>
  </si>
  <si>
    <t>টিভি ইউনিটে রিমোট কন্ট্রোল হোল্ডার আছে</t>
  </si>
  <si>
    <t>নতুন বইয়ের প্রতিটি অধ্যায় আকর্ষণীয়</t>
  </si>
  <si>
    <t>নোংরা পুতুল হতাশাজনক অভিজ্ঞতা স্পষ্টভাবে ব্যবহৃত</t>
  </si>
  <si>
    <t xml:space="preserve">ভালধন্যবাদ </t>
  </si>
  <si>
    <t>উপকরণে কিছুটা ভঙ্গুরতা রয়েছে বলে মনে হয়</t>
  </si>
  <si>
    <t>মূল্যের সাথে মানের সামঞ্জস্য আছে কিন্তু আরও ভালো অপশন আছে</t>
  </si>
  <si>
    <t xml:space="preserve"> ডিসপ্লে প্যানেল ঝিকিমিকি করার প্রবণ সেটিংস পড়া কঠিন করে তোলে</t>
  </si>
  <si>
    <t>গ্রাহক পরিষেবা সমস্যা সমাধানে অসহায় ছিল</t>
  </si>
  <si>
    <t>প্যাকেজিংটি ক্ষীণ ছিল এবং সঠিকভাবে সিল করা হয়নি যার ফলে বাসি কফি ছিল</t>
  </si>
  <si>
    <t>ফ্রিজ ক্লিন মোডে এসিটি নিজেই পরিষ্কার হয়ে যায় এটি রক্ষণাবেক্ষণ সহজ করেছে</t>
  </si>
  <si>
    <t>ঘরের মেজাজ বদলে দিতে একটি দারুণ অ্যাকসেন্ট পিস</t>
  </si>
  <si>
    <t xml:space="preserve"> আমি এটি অন্য অভিভাবকদের জন্যও সুপারিশ করব</t>
  </si>
  <si>
    <t>প্রসারিত হলে ক্যানভাস উপাদান সহজেই ছিঁড়ে যায়</t>
  </si>
  <si>
    <t>ট্রাভেল স্টিম আয়রনটি কাপড় ইস্ত্রি করে কিন্তু পানি ফেলে</t>
  </si>
  <si>
    <t>লেখকের লেখা মন ছুঁয়ে গেছে</t>
  </si>
  <si>
    <t xml:space="preserve"> চার্জিং কেইজ লাল এন্ডি কাটার দেখায় যখন চার্জ শেষ হয়ে যায় ভালো চার্জ ব্যাকআপ পাওয়া যায়</t>
  </si>
  <si>
    <t>লিপস্টিকের প্যাকেজিং দুর্বল যার ফলে এটি পার্সে সহজেই ভেঙে যায়</t>
  </si>
  <si>
    <t>এই শ্যাম্পুটি চুলের প্রাকৃতিক উজ্জ্বলতা বাড়ায়</t>
  </si>
  <si>
    <t>রিমোট কন্ট্রোলটি ব্যবহার করা খুব সহজ বাড়তি বোতাম নেই শুধু প্রয়োজনীয় ফাংশনগুলোই আছে</t>
  </si>
  <si>
    <t>এর স্বাদ এতই ভালো যে আমি দিনে দুইবার পান করি</t>
  </si>
  <si>
    <t>সুস্বাদু তবে দাম একটু বেশি বলে মনে হয়</t>
  </si>
  <si>
    <t>অন্যান্য ডিভাইস বা আনুষাঙ্গিক সঙ্গে সীমিত সামঞ্জস্য</t>
  </si>
  <si>
    <t>কার্যকরভাবে ফোব সিগন্যাল ব্লক করে</t>
  </si>
  <si>
    <t>টিভি ইউনিটে অতিরিক্ত শেলফ আছে গেমিং কনসোল রাখার জন্য</t>
  </si>
  <si>
    <t>ডিজাইন ভালো হলেও কিছুটা বেশি নাজুক</t>
  </si>
  <si>
    <t>দীর্ঘ সময় ধরে ঠান্ডা বায়ু সরবরাহ করে</t>
  </si>
  <si>
    <t xml:space="preserve">আমার কাছে প্রোডাক্টটি অনেক ভালো লেগেছে এবং সেলারের ব্যবহার ও ভালো ছিল সে আমাকে খুব দেরি করেনি </t>
  </si>
  <si>
    <t>স্বয়ংক্রিয় শাটডাউন ফিচার বিদ্যুৎ সাশ্রয়ে সাহায্য করে আমি আর ভুলে এসি চালু রেখে যাওয়ার ভয় পাই না</t>
  </si>
  <si>
    <t>সোপটি ব্যবহারে ত্বক সতেজ থাকে</t>
  </si>
  <si>
    <t>ফ্রেঞ্চ প্রেসে ব্যবহার করলে মৃদু স্বাদ পাওয়া যায়</t>
  </si>
  <si>
    <t>সেটিংস সামঞ্জস্য করা সত্ত্বেও ফ্রিজের ভিতরে তাপমাত্রা উল্লেখযোগ্যভাবে ওঠানামা করে</t>
  </si>
  <si>
    <t>পুনব্যবহারযোগ্য নয় একবার ব্যবহারের জন্য</t>
  </si>
  <si>
    <t>এর মধ্যে লুকানো রয়েছে হালকা চকলেটের স্বাদ</t>
  </si>
  <si>
    <t>সাবধানে পরিচালনা করা সত্ত্বেও  স্ক্রিনে দৃশ্যমান স্ক্র্যাচ এবং দাগ ছিল</t>
  </si>
  <si>
    <t>সমস্ত ঋতুর জন্য উপযুক্ত বলে দাবি করা সত্ত্বেও শীতল মাসে পর্যাপ্ত উষ্ণতা প্রদানের জন্য কাপড়টি খুব পাতলা</t>
  </si>
  <si>
    <t>খারাপভাবে তৈরি বন্ধনযুক্ত নির্মাণ বিচ্ছেদ প্রবণ</t>
  </si>
  <si>
    <t>কয়েকটি ব্যবহারের পরেই লুফাহ ভেঙে পড়ে সর্বত্র ছড়িয়ে পড়ে</t>
  </si>
  <si>
    <t>ঘরের কোণে নতুন জীবন সঞ্চার করে</t>
  </si>
  <si>
    <t xml:space="preserve"> এতো অল্প প্রাইজে এতো ভালো প্রোডাক্ট হাতে পাবো সত্যি ভাবতে পারি নি</t>
  </si>
  <si>
    <t>মেকআপ কিটটি নতুনদের জন্য খুবই সহজে ব্যবহারযোগ্য</t>
  </si>
  <si>
    <t>এর মধ্যে লুকানো রয়েছে হালকা মশলার স্বাদ</t>
  </si>
  <si>
    <t>এরা কখনো ঝরে পড়ে নাগুণমান ভালো মানঅসাধারণ একটি প্রোডাক্ট আমি খুবই আনন্দিত</t>
  </si>
  <si>
    <t>ওয়াল ক্লকটি সময় দেখায় কিন্তু টিক টিক শব্দ বিরক্তিকর</t>
  </si>
  <si>
    <t>জুতোর শ্বাসপ্রশ্বাসের অভাব হয় যার ফলে অতিরিক্ত ঘাম হয় এবং অপ্রীতিকর গন্ধ হয়</t>
  </si>
  <si>
    <t>গুণগত মান খুবই ভালো এবং দীর্ঘস্থায়ী</t>
  </si>
  <si>
    <t>ফুলটি আমার মনকে প্রফুল্ল রাখে</t>
  </si>
  <si>
    <t>পোর্টেবল গ্রিলের ইগনিশন বোতাম আটকে আছে শুরু করা কঠিন</t>
  </si>
  <si>
    <t>স্মার্ট ফ্রিজ ক্যামেরাটি খাবার দেখায় কিন্তু ওয়াইফাই সংযোগে অসঙ্গতি থাকতে পারে</t>
  </si>
  <si>
    <t>অসন্তোষজনক গ্রাহক পরিষেবা অমীমাংসিত সমস্যা</t>
  </si>
  <si>
    <t>এর টেক্সচার হালকা এবং একেবারে মসৃণ নয়</t>
  </si>
  <si>
    <t>পাত্রে সিলের অভাব ছিল পণ্যের গুণমান নিয়ে উদ্বেগ</t>
  </si>
  <si>
    <t>ড্রোনের ক্যামেরা জিম্বাল ত্রুটিপূর্ণ ফলে নড়বড়ে ফুটেজ</t>
  </si>
  <si>
    <t>জুতার ফিটিং একদম সঠিক এবং হাঁটতে আরামদায়ক</t>
  </si>
  <si>
    <t xml:space="preserve"> ধাতব হার্ডওয়্যারটি দ্রুত মরিচা ধরেছে তার চেহারার সাথে আপস করেছে</t>
  </si>
  <si>
    <t>হিটিং স্পিড মধ্যম মানের</t>
  </si>
  <si>
    <t>অনেক ভালো আশা করেছিলাম তবে কিছুটা ঘাটতি ছিল</t>
  </si>
  <si>
    <t>ডিজাইন আকর্ষণীয় তবে রঙ টেকসই নয়</t>
  </si>
  <si>
    <t>এর অ্যাবসর্ভেন্স ক্ষমতা চমৎকার দীর্ঘ সময় ধরে সুরক্ষিত থাকে</t>
  </si>
  <si>
    <t>ব্রেড বক্সটি রুটি রাখা যায় তবে জায়গা কম</t>
  </si>
  <si>
    <t>এর শীতল বাতাস গরমের দিনগুলোকে সহনীয় করে তোলে</t>
  </si>
  <si>
    <t>মা অনুরোধ করেছি তাই পেয়েছি পণ্যও সঠিক পেয়েছি এখন</t>
  </si>
  <si>
    <t>ডিজিটাল লুগেজ স্কেলটি সুটকেস ওজন মাপে কিন্তু অ্যাকুরেসি কম</t>
  </si>
  <si>
    <t>দরিদ্র মানের উপকরণ দ্রুত ক্ষয়প্রাপ্ত হয়</t>
  </si>
  <si>
    <t>ছাতার হাতলে রাবার কোটিং থাকায় হাতে স্লিপ করে না</t>
  </si>
  <si>
    <t>ফ্যানের শব্দ গ্রহণযোগ্য</t>
  </si>
  <si>
    <t>গাড়ির স্টিয়ারিং কভারটি ধরতে আরামদায়ক</t>
  </si>
  <si>
    <t>ভাল মানের কিন্তু অসামান্য নয়</t>
  </si>
  <si>
    <t>গ্রহণযোগ্য পোশাক কিন্তু সেই ওয়াও ফ্যাক্টরের অভাব রয়েছে</t>
  </si>
  <si>
    <t>ত্বকের প্রাকৃতিক তেল সংরক্ষণ করে এই বডি ওয়াশ</t>
  </si>
  <si>
    <t>ব্রাশটি রিপ্লেসেবল হেড থাকা দরকার</t>
  </si>
  <si>
    <t>ফ্রিজটি অনুপস্থিত অংশ নিয়ে এসেছিল প্রতিস্থাপনের জন্য অতিরিক্ত সময় এবং প্রচেষ্টা প্রয়োজন</t>
  </si>
  <si>
    <t>ছবির মতন কোয়ালিটি খারাপ না অনেক কাপড় রাখা যাবে</t>
  </si>
  <si>
    <t>বাটিগুলোর তলদেশ সমতল নয়</t>
  </si>
  <si>
    <t>এটি বাড়িতে ব্যবহারে কার্যকর হবে কিনা বলা যাচ্ছে না</t>
  </si>
  <si>
    <t>এটি একটি ব্যবহারযোগ্য ইয়ারবাড তবে বিকল্পগুলো পাওয়া যায়</t>
  </si>
  <si>
    <t>এই পেনসিলটি শিশুরাও খুব সহজেই ব্যবহার করতে পারে তাদের লেখার দক্ষতা বাড়াতে সাহায্য করে</t>
  </si>
  <si>
    <t>স্বয়ংক্রিয় জল সরবরাহকারী লিক সর্বত্র জল ছড়িয়ে</t>
  </si>
  <si>
    <t xml:space="preserve">  ফিনিসটি অসম এবং চিপিং প্রবণ এটি একটি সস্তা এবং জীর্ণআউট চেহারা দেয়</t>
  </si>
  <si>
    <t>দামের কার্যকারিতার জন্য দুর্দান্ত ক্যামেরা সীমিত হতে পারে</t>
  </si>
  <si>
    <t>এটি ঘরকে আরামদায়ক এবং শীতল রাখে</t>
  </si>
  <si>
    <t>ছোট চতুর অনেক বৈশিষ্ট্য সহ তবে নির্ভরযোগ্যতা প্রশ্নবিদ্ধ</t>
  </si>
  <si>
    <t>মপের মাথাটি ছোট মনে হয়েছে</t>
  </si>
  <si>
    <t>ওয়্যারলেস হেডফোনের ব্লুটুথ সংযোগ ঘন ঘন কমে যায় মিউজিক প্লেব্যাকে বাধা দেয়</t>
  </si>
  <si>
    <t xml:space="preserve"> কুয়াশা একটি অদ্ভুত রাসায়নিক গন্ধ ছিল যা দীর্ঘস্থায়ী ছিল</t>
  </si>
  <si>
    <t>আমি ব্যবহারকারী হিসেবে পণ্যটি যাচাই করছি</t>
  </si>
  <si>
    <t>বইটির মলাট সুন্দর কিন্তু বিষয়বস্তু খুব বেশি আকর্ষণীয় না</t>
  </si>
  <si>
    <t>রঙ নির্বাচন সম্পর্কে অতিরিক্ত আলোচনা করার প্রয়োজন নেই</t>
  </si>
  <si>
    <t>ওয়ার্ডরোবের ফিনিস সহজেই স্ক্র্যাচ এবং চিপস করে এর চেহারা বজায় রাখতে ঘন ঘন টাচআপের প্রয়োজন হয়</t>
  </si>
  <si>
    <t>সাশ্রয়ী কিন্তু দীর্ঘমেয়াদী ব্যবহারের জন্য উপযুক্ত নাও হতে পারে</t>
  </si>
  <si>
    <t>আমি লক্ষ্য করেছি যে এই পাত্রগুলি তাপের পরিবর্তনে খুব ভালো সাড়া দেয় গরম খাবার পরিবেশন করার সময় এগুলি দ্রুত গরম হয় না</t>
  </si>
  <si>
    <t>খারাপভাবে ডিজাইন করা স্পউট ঢালা সময় স্প্ল্যাশিং ঘটায়</t>
  </si>
  <si>
    <t>কিটটি ভালো কিছু অংশ সাধারণ মানের</t>
  </si>
  <si>
    <t>এটি আমার প্রত্যাশা পূরণ করেছে</t>
  </si>
  <si>
    <t>স্মার্ট থার্মোস্ট্যাটের ডিসপ্লে স্ক্রীন খুব ম্লান পড়া কঠিন</t>
  </si>
  <si>
    <t>ইলেকট্রিক ক্যান ওপেনার কাজ করা বন্ধ করে দেয় মধ্যঅপারেশন অসুবিধাজনক</t>
  </si>
  <si>
    <t>বইটির প্রথমাংশ দারুণ ছিল কিন্তু শেষটা মনে হয় দ্রুত শেষ হয়েছে</t>
  </si>
  <si>
    <t>রান্নাঘরের স্কেলের ডিসপ্লে স্ক্রিনটি ত্রুটিপূর্ণ ভুল পরিমাপ প্রদর্শন করছে</t>
  </si>
  <si>
    <t>পোর্টেবল এসপ্রেসো মেকারটি কফি বানায় তবে পরিমাণ কম হয়</t>
  </si>
  <si>
    <t>শিশুর প্লেপেনের জালের পাশ ছিঁড়ে গেছে যা শিশুর জন্য নিরাপত্তার ঝুঁকি তৈরি করে</t>
  </si>
  <si>
    <t>পুনরায় মাপ নির্ধারণের ভুলের কারণে হতাশা বেড়ে যায়</t>
  </si>
  <si>
    <t xml:space="preserve"> উচ্চ চেয়ারের ট্রে খুব ছোট এটি খাবার এবং বাসন মাপসই করা কঠিন করে তোলে</t>
  </si>
  <si>
    <t>পরিবেশবান্ধব উপাদান ব্যবহারের উল্লেখ নেই</t>
  </si>
  <si>
    <t>দাম অনুযায়ী ভালো তবে পানীয়টি কিছুটা বেশি গা dark ়</t>
  </si>
  <si>
    <t>ঘড়িটির রঙ সহজে মলিন হয় না</t>
  </si>
  <si>
    <t>এটি কাজ করে এবং অন্য ব্র্যান্ডের তুলনা করা হচ্ছে</t>
  </si>
  <si>
    <t>এটি অনেকক্ষণ টিকে থাকবে আশা করা যায়</t>
  </si>
  <si>
    <t>খুবই দ্রুত এবংঅনেক কম মূল্যে পেয়েছি খুবই উপকারী সাপ্লিমেন্ট</t>
  </si>
  <si>
    <t>শ্যাম্পুর ব্যবহারে চুলের বৃদ্ধি বেড়ে গেছে</t>
  </si>
  <si>
    <t xml:space="preserve">গড় মানের রং দেখতেও ভাল </t>
  </si>
  <si>
    <t>প্রতিটি পিসের রং দীর্ঘস্থায়ী ও সহজে ম্লান হয় না</t>
  </si>
  <si>
    <t>ম্যাসকারাটি হাইপোঅ্যালারজেনিক আমার সংবেদনশীল চোখের জন্য পারফেক্ট</t>
  </si>
  <si>
    <t>ভাষার ব্যবহার অনেক সুন্দর</t>
  </si>
  <si>
    <t>সংক্ষিপ্ত জীবনকাল মানে ঘন ঘন প্রতিস্থাপন প্রয়োজন ছিল</t>
  </si>
  <si>
    <t>সৌরচালিত বহিরঙ্গন ফ্যান ভালভাবে বায়ু সঞ্চালন করে না অকার্যকর শীতল</t>
  </si>
  <si>
    <t>অভ্যন্তরীণ স্থানটি খারাপভাবে সংগঠিত এটি দক্ষতার সাথে আইটেমগুলি সাজানো চ্যালেঞ্জিং করে তোলে</t>
  </si>
  <si>
    <t>ব্যাগের আকর্ষণীয়তা নেই তবে প্রয়োজনীয় মান রয়েছে</t>
  </si>
  <si>
    <t>গুণমান পাসযোগ্য তবে দুর্দান্ত নয়</t>
  </si>
  <si>
    <t>ডিজাইনের বিশদে মনোযোগের অভাব রয়েছে যার ফলে ঢালু কারুকাজ হয়</t>
  </si>
  <si>
    <t>প্যাকেজ করা ম্যাশড আলুতে আঠালো সামঞ্জস্য ছিল এবং ঘরে তৈরি আলুগুলির ক্রিমিনেসের অভাব ছিল</t>
  </si>
  <si>
    <t>এটি মোবাইলেও ব্যবহার করা যায়</t>
  </si>
  <si>
    <t>পেনটি খুব মসৃণভাবে লেখে এবং আরামদায়ক</t>
  </si>
  <si>
    <t>ফিল্টার চেঞ্জ করা সহজ</t>
  </si>
  <si>
    <t>পানীয়টি ভালো তবে স্বাদে কিছুটা পরিবর্তন প্রয়োজন</t>
  </si>
  <si>
    <t>চমৎকার রাডার ডিটেক্টর</t>
  </si>
  <si>
    <t>মধুটি প্রতিদিন সকালে খাওয়া ভাল</t>
  </si>
  <si>
    <t>ঢাকনা সীল দ্রুত ফুরিয়ে যায় যা অকালে নষ্ট হয়ে যায়</t>
  </si>
  <si>
    <t>রোবট ভ্যাকুয়াম আসবাবপত্রের ক্ষতি করে উপরিভাগে স্ক্র্যাচ করে</t>
  </si>
  <si>
    <t>টুথপেস্টের স্বাদ খুব তীব্র হবে না</t>
  </si>
  <si>
    <t>আমাদের অফিসের বস সবসময় আমাদের উৎসাহিত করেন</t>
  </si>
  <si>
    <t>প্যাকেজিংটি সঠিকভাবে সিল করা হয়নি কফি দ্রুত বাসি হতে দেয়</t>
  </si>
  <si>
    <t>বেশি ব্যবহার করলে কিছু সমস্যা হয়</t>
  </si>
  <si>
    <t>সোপটি ত্বককে নরম ও কোমল করে</t>
  </si>
  <si>
    <t>একটি অদ্ভুত ফিট সঙ্গে একটি   প্রাপ্ত চাটুকার বা আরামদায়ক না</t>
  </si>
  <si>
    <t>টুথপেস্ট এবং ব্রাশের কম্বিনেশন এক কথায় অসাধারণ</t>
  </si>
  <si>
    <t>চিত্রকর্মের প্রতিটি অংশে নতুন কিছু খুঁজে পাওয়া যায়</t>
  </si>
  <si>
    <t>ফুটো  সর্বত্র বিশৃঙ্খলা সৃষ্টি করেছে</t>
  </si>
  <si>
    <t>ফ্যাব্রিক ঠিক আছে তবে রঙ ফিকে</t>
  </si>
  <si>
    <t>সাউন্ড সিস্টেমটি ঘরের জন্য একদম পারফেক্ট</t>
  </si>
  <si>
    <t xml:space="preserve">মেমরি কার্ড উচ্চমানের রেকর্ডিংয়ের প্রতিশ্রুতি দিয়েছে কিন্তু আমি ঘন ঘন ডেটা দুর্নীতির সমস্যা অনুভব করেছি </t>
  </si>
  <si>
    <t>প্রদত্ত মানের অভাবের জন্য অতিরিক্ত মূল্য</t>
  </si>
  <si>
    <t>স্কুলের লাইব্রেরিতে অনেক বই পাওয়া যায়</t>
  </si>
  <si>
    <t>পণ্য সময় বাঁচাতে ব্যবহার করা যেতে পারে</t>
  </si>
  <si>
    <t>বালিশের ভরাট উপাদান উচ্চ মানের এটি আকার ধরে রাখে কিন্তু একই সাথে আরামদায়ক নরম</t>
  </si>
  <si>
    <t>কোয়ালিটি ভালো তবে ব্যতিক্রমী নয়</t>
  </si>
  <si>
    <t>আশ্চর্যজনক অডিও গুণমান এবং সক্রিয় শব্দ বাতিল করা হচ্ছে</t>
  </si>
  <si>
    <t>পোশাকের আকৃতি নেই একটি আকারহীন বস্তার মতো</t>
  </si>
  <si>
    <t xml:space="preserve">এগুলি ভাল কাজ করছে এবং সত্যিই ভাল </t>
  </si>
  <si>
    <t>বইটির কাহিনী ছিল গভীর</t>
  </si>
  <si>
    <t>ফ্যানটি খুবই জনপ্রিয় এবং প্রতিষ্ঠিত পণ্য</t>
  </si>
  <si>
    <t>ব্যবহার করা যায় কিন্তু আমার প্রত্যাশা পূরণ করেনি</t>
  </si>
  <si>
    <t>স্নানের বোমার রং টবটিকে দাগ দিয়েছিল যা অপসারণের জন্য তীব্র স্ক্রাবিং প্রয়োজন</t>
  </si>
  <si>
    <t>উদ্ভাবনী রান্নাঘরের টুল রান্নায় বিপ্লব ঘটানোর দাবি করেছে কিন্তু এর ক্ষীণ নির্মাণ এবং অপ্রতুল ফলাফলের কারণে এটি কম পড়ে গেছে</t>
  </si>
  <si>
    <t>মাটির গুণমান কিছুটা ভাল হয়েছে তবে বিশেষ পরিবর্তন দেখা যায়নি</t>
  </si>
  <si>
    <t>প্যাকেজিং ভালো খোলাটা একটু কঠিন</t>
  </si>
  <si>
    <t>রঙগুলো সাধারণ এবং আরও আকর্ষণীয় অপশন সম্ভব</t>
  </si>
  <si>
    <t>পোশাকটির ফিটিং খুবই চমৎকার</t>
  </si>
  <si>
    <t>পিডি দিচ্ছে সুপার ফাস্ট চার্জিং গ্যালাক্সি এস আল্ট্রা</t>
  </si>
  <si>
    <t>খুব চিত্তাকর্ষক ফিটনেস ট্র্যাকার</t>
  </si>
  <si>
    <t>গাড়ির সিটে কভারগুলি সহজে মানিয়ে যায়</t>
  </si>
  <si>
    <t>ডিনার সেটের মানটি অসাধারণ প্রতিটি পাত্র শক্ত এবং টেকসই কিন্তু একই সাথে হালকা ও ব্যবহারে সহজ</t>
  </si>
  <si>
    <t>কলম দিয়ে লেখার জন্য একটু মোটা</t>
  </si>
  <si>
    <t>সীলমোহরের অভাবে টেম্পারিং বা দূষণের সম্ভাবনা সম্পর্কে উদ্বিগ্ন</t>
  </si>
  <si>
    <t>এটি খুব বেশি মিষ্টি নয় যা আমার পছন্দের</t>
  </si>
  <si>
    <t xml:space="preserve"> সাউন্ড স্টেজ সংকীর্ণ এবং গভীরতার অভাব রয়েছে যার ফলে শোনার একটি সঙ্কুচিত এবং অস্বাভাবিক অভিজ্ঞতা হয়</t>
  </si>
  <si>
    <t>তাই মূল্য কার্যকারিতা সীমিত হতে পারে</t>
  </si>
  <si>
    <t>প্রথম ব্যবহারে সামান্য অস্বস্তি হয়েছে</t>
  </si>
  <si>
    <t>প্রতিদিনের ব্যবহারের জন্য আদর্শ</t>
  </si>
  <si>
    <t>গাছের স্বাস্থ্য কিছুটা ভালো তবে ফলন তেমন আশানুরূপ ছিল না</t>
  </si>
  <si>
    <t>ল্যাপটপের ব্যাটারি দ্রুত নিশেষ হয়ে যায় এমনকি ন্যূনতম ব্যবহারেও এটি দীর্ঘমেয়াদী ব্যবহারের জন্য অসুবিধাজনক করে তোলে</t>
  </si>
  <si>
    <t>পন্যটি আমার প্রত্যাশা ছাড়িয়ে গেছে</t>
  </si>
  <si>
    <t>বেশ বড় আকারের যা আমাকে পুরোপুরি ঢেকে ফেলে</t>
  </si>
  <si>
    <t>শুর্যাকের শেলফগুলো সহজেই পরিষ্কার করা যায়</t>
  </si>
  <si>
    <t>পেইন্ট সহজেই খোসা ছাড়ে নীচের খালি কাঠকে প্রকাশ করে এবং ঘন ঘন টাচআপের প্রয়োজন হয়</t>
  </si>
  <si>
    <t>সময় মতো এসেছে তবে সামান্য ক্ষতিগ্রস্ত</t>
  </si>
  <si>
    <t xml:space="preserve">  জন্য ব্যবহৃত উপাদান সস্তা এবং সহজেই অশ্রু অনুভূত হয়</t>
  </si>
  <si>
    <t>এক্সপার্ট রিভিউ ইতিবাচক</t>
  </si>
  <si>
    <t>অগ্রহণযোগ্য পরিধান সপ্তাহের মধ্যে গর্ত</t>
  </si>
  <si>
    <t>খেলনার জিনিসপত্র খুব ছোট ছিল সহজেই হারিয়ে যায় বা গিলে ফেলা হয়</t>
  </si>
  <si>
    <t>স্টাইলিং জেল আমার চুল শুকিয়ে গেছে এটি ভঙ্গুর এবং ভাঙ্গার প্রবণতা রেখে গেছে</t>
  </si>
  <si>
    <t>মশারির কাপড়টি মজবুত এবং লম্বা সময় ধরে টেকে</t>
  </si>
  <si>
    <t>গ্লাসের পৃষ্ঠটি একদম পরিষ্কার এবং ঝকঝকে</t>
  </si>
  <si>
    <t>সহজ সেট আপ কিছুটা মাঝারি</t>
  </si>
  <si>
    <t>পরিবারের সকলের প্রিয়</t>
  </si>
  <si>
    <t>ইলেকট্রনিক নোজ ক্লিপটি নাক ডাকা কমায় যদিও এটি অস্বস্তিকর বোধ হতে পারে</t>
  </si>
  <si>
    <t xml:space="preserve">দুর্দান্ত কাজ করে কিউ  সংস্করণ পেয়েছেসেরা </t>
  </si>
  <si>
    <t>পিষনটি আমার পছন্দের জন্য খুব মোটা ছিল ফলে দুর্বল কফি</t>
  </si>
  <si>
    <t>খুবই দ্রুত এবংঅনেক কম মূল্যে পেয়েছি</t>
  </si>
  <si>
    <t>প্যালেটে পেইন্টের রং দ্রুত শুকিয়ে যায়</t>
  </si>
  <si>
    <t>পাতলা ঠোঁট মদ্যপান অস্বস্তিকর করে তোলে</t>
  </si>
  <si>
    <t>প্রতিটি দৃশ্যের বর্ণনা ছিল অত্যন্ত জীবন্ত</t>
  </si>
  <si>
    <t>সবাইকে এটি খাওয়ার পরামর্শ দিচ্ছি</t>
  </si>
  <si>
    <t>তেমন ভালো কাজ করে না কিন্তু দেখতে সুন্দর আছে</t>
  </si>
  <si>
    <t>এর ডিজাইন খুব সুন্দর এবং আধুনিক</t>
  </si>
  <si>
    <t>প্রতিদিন সকালে এটি ব্যবহার করে খুবই ভালো লাগছে</t>
  </si>
  <si>
    <t>নতুন ল্যাপটপটি কাজের জন্য খুব ভালো</t>
  </si>
  <si>
    <t>সাউন্ড কোয়ালিটি দুর্দান্ত তারা সুপার আরামদায়ক এবং মাইকটি পুরোপুরি কাজ করে</t>
  </si>
  <si>
    <t>দাম বেশ কম তবে স্বাদ খানিকটা অস্বাভাবিক</t>
  </si>
  <si>
    <t>শ্যাম্পুটি ব্যবহার করে চুলের ভাঙা কমে গেছে</t>
  </si>
  <si>
    <t>প্রয়োজনীয় ভ্রমণ সঙ্গী</t>
  </si>
  <si>
    <t>খাবার সংরক্ষণের জন্য উপযুক্ত তবে বাতাস নিরোধক নয়</t>
  </si>
  <si>
    <t>শেলফটির প্রতিটি স্তর বিভিন্ন আকারের বই রাখার জন্য উপযুক্ত</t>
  </si>
  <si>
    <t>ঠোঁট লাইনারটি খুব শক্ত এবং অত্যধিক চাপের প্রয়োজন যা অস্বস্তি এবং অসম লাইনের দিকে পরিচালিত করে</t>
  </si>
  <si>
    <t>হাইকিং বুটের তলগুলি দ্রুত নিশেষ হয়ে যায় রুক্ষ ভূখণ্ডের জন্য স্থায়িত্বের অভাব ছিল</t>
  </si>
  <si>
    <t>এই কানের দুলগুলো পরে সেলফি তুলতে ভালোবাসি</t>
  </si>
  <si>
    <t>পোশাকের লুক সুন্দর তবে ফিনিশিং ভালো নয়</t>
  </si>
  <si>
    <t>মোমবাতির সুগন্ধ একেবারে মনোমুগ্ধকর</t>
  </si>
  <si>
    <t>ডিজাইনটি চলনসই তবে অসাধারণ নয়</t>
  </si>
  <si>
    <t>পিছনের প্যানেলটি ক্ষীণ এবং পুরো কাঠামোর স্থায়িত্বের সাথে আপোস করে বিক্ষিপ্ত হওয়ার প্রবণতা</t>
  </si>
  <si>
    <t>গুণমান এত ভাল নয়</t>
  </si>
  <si>
    <t>স্মার্ট লাইট বাল্বটি রঙ পরিবর্তন করে তবে অ্যাপ জটিল</t>
  </si>
  <si>
    <t>এটি খুব দ্রুত এবং এফিশিয়েন্ট প্রদর্শন করে</t>
  </si>
  <si>
    <t>লিভইন কন্ডিশনার আমার চুলকে ভারী এবং নিস্তেজ করে তোলে স্বাভাবিক নড়াচড়ার অভাব হয়</t>
  </si>
  <si>
    <t>খেলনার  গন্ধ বিষাক্ত শিশুদের স্বাস্থ্যের জন্য</t>
  </si>
  <si>
    <t>শিশুর খাওয়ানোর চামচের হাতলটি খুব ছোট এটি শিশুকে আরামে খাওয়ানো কঠিন করে তোলে</t>
  </si>
  <si>
    <t>চার্জিং স্পিড একেবারে অসাধারণ</t>
  </si>
  <si>
    <t>মাইক্রোওয়েভ করা যায় এমন লাসাগনার একটি চিকন টেক্সচার ছিল এবং এতে পনির এবং সসের অভাব ছিল</t>
  </si>
  <si>
    <t>আমার বাগানের ফুলগুলি খুব সুন্দরভাবে ফুটেছে</t>
  </si>
  <si>
    <t>কয়েকবার পরার পর সিম আলাদা হতে শুরু করে</t>
  </si>
  <si>
    <t>সীমিত রঙের বিকল্পগুলি পৃথক পছন্দ অনুসারে ব্যর্থ হয়েছে৷</t>
  </si>
  <si>
    <t>সেরা কী চেইন এয়ারট্যাগএত ভাল কাজ করেছি যে আমি দ্বিতীয়টি কিনেছি</t>
  </si>
  <si>
    <t>আইলাইনার পরার কয়েক ঘণ্টার মধ্যেই ধোঁয়া ও বিবর্ণ হয়ে যায়</t>
  </si>
  <si>
    <t>বিস্কুটের টেক্সচারও অনেক ভালো</t>
  </si>
  <si>
    <t>ম্যাট ফিনিশ দেয়</t>
  </si>
  <si>
    <t>গন্ধটি খুব দুর্বল ছিল এমনকি একটি বর্ধিত সময়ের জন্য তৈরি করার পরেও</t>
  </si>
  <si>
    <t>রাবার পেন্সিলগুলি তীক্ষ্ণ করার ক্ষেত্রে সীমিত কার্যকারিতা দেখায়</t>
  </si>
  <si>
    <t>পরিধানযোগ্য ফিটনেস ট্র্যাকার ভুল রিডিং দেয় বিভ্রান্তিকর</t>
  </si>
  <si>
    <t xml:space="preserve"> অডিও ড্রাইভারগুলি উচ্চ ভলিউমে বিকৃতির প্রবণ সামগ্রিক শব্দ গুণমান এবং স্বচ্ছতা হ্রাস করে</t>
  </si>
  <si>
    <t>চমৎকার এবং টেকসই</t>
  </si>
  <si>
    <t>ম্যানেজমেন্ট সিস্টেম নেই যা কিছু অসুবিধা তৈরি করতে পারে</t>
  </si>
  <si>
    <t>বইটি শিক্ষণীয় কিন্তু পড়ার সময় একঘেয়েমি অনুভূত হয়েছে</t>
  </si>
  <si>
    <t>দ্বিতীয়টি কেনা হলে সামঞ্জস্য সীমিত হতে পারে</t>
  </si>
  <si>
    <t>কিটটির প্রতিটি প্রোডাক্ট উচ্চমানের উপকরণ দিয়ে তৈরি</t>
  </si>
  <si>
    <t>বারবার ব্যবহারে ঢাকনার কব্জা আলগা হয়ে যায়</t>
  </si>
  <si>
    <t>মাইক্রোওয়েভ পপকর্ন পুড়িয়ে ফেলা হয়েছিল এবং মুখে একটি পোড়া স্বাদ রেখেছিল</t>
  </si>
  <si>
    <t>আইফোন চার্জার প্যাক অনেক দামি কিন্তু মানেও ভাল</t>
  </si>
  <si>
    <t>বাথরোবের কাপড় কয়েকবার ধোয়ার পর পিল হয়ে গেছে দেখতে জীর্ণ ও পুরানো</t>
  </si>
  <si>
    <t>অতিরিক্ত গরম হয় না যা আমার জন্য একটি বড় সুবিধা</t>
  </si>
  <si>
    <t>কফির মান দেখে বোঝা যায় এটি পরিবেশ বান্ধব উপায়ে উৎপাদন করা হয়েছে</t>
  </si>
  <si>
    <t>হ্যান্ডেল মজবুত সহজে ভাঙে না</t>
  </si>
  <si>
    <t>প্লেটগুলির আকার পারফেক্ট এবং খুব সুন্দরভাবে সাজানো যায়</t>
  </si>
  <si>
    <t>নতুন হিসেবে ব্যবহার করে দেখা যেতে পারে</t>
  </si>
  <si>
    <t xml:space="preserve">ডিসপ্লে  ইঞ্চির </t>
  </si>
  <si>
    <t>কাজ যথাযথভাবে করে তবে মান খুব ভালো নয়</t>
  </si>
  <si>
    <t>কৃত্রিম ফুলের প্রাকৃতিক ভঙ্গি মন ভরিয়ে দেয়</t>
  </si>
  <si>
    <t>এই পর্যন্ত সবই ভালো</t>
  </si>
  <si>
    <t xml:space="preserve">  জেল আমার ত্বকে একটি আঠালো অবশিষ্টাংশ রেখে গেছে</t>
  </si>
  <si>
    <t>চাটির একটি ঔষধি স্বাদ ছিল যা দূষণ বা ভেজালের পরামর্শ দেয়</t>
  </si>
  <si>
    <t>চুলের সিরাম চকচকে প্রতিশ্রুতি দিয়েছিল কিন্তু আমার লকগুলিকে নিস্তেজ এবং প্রাণহীন দেখাচ্ছে</t>
  </si>
  <si>
    <t>মিস্যালাইনড স্পাউট অগোছালো ঢালা ফলে</t>
  </si>
  <si>
    <t>আলহামদুলিল্লাহ খুব সুন্দর একটা প্রোডাক্ট আমি প্রোডাক্ট হাতে পেয়ে খুব খুশি দোকান থেকে কম দামে পেয়েছি ছবির সঙ্গে প্রোডাক্টের মিল রয়েছে</t>
  </si>
  <si>
    <t>আমি এই ডিনার সেটের ক্লাসিক ডিজাইন পছন্দ করি এটি যেকোনো টেবিল সাজানোর স্টাইলের সাথে মানানসই হবে</t>
  </si>
  <si>
    <t>রাতের মোডের কার্যকারিতা কিছু সীমাবদ্ধতা রয়েছে</t>
  </si>
  <si>
    <t xml:space="preserve">সুপার ফাস্ট চার্জিং </t>
  </si>
  <si>
    <t>এটি শিল্পকলা ও হস্তশিল্পের জন্য পারফেক্ট</t>
  </si>
  <si>
    <t>বিছানার ফ্রেম ক্রমাগত চিৎকার করে ঘুমের ব্যাঘাত ঘটায় এবং হতাশা সৃষ্টি করে</t>
  </si>
  <si>
    <t>কিছু ব্যবহারকারীর জন্য সংযোগের সমস্যা ছিল</t>
  </si>
  <si>
    <t>জুতাগুলির নকশাটি পুরানো এবং অপ্রীতিকর আধুনিক শৈলীর মান পূরণ করতে ব্যর্থ</t>
  </si>
  <si>
    <t>স্থায়িত্বের সাথে আপস করে তাপের নিচে বিপর্যয়ের প্রবণ</t>
  </si>
  <si>
    <t>প্রদত্ত ব্রাশগুলি নিম্ন মানের ছিল ব্রিস্টলগুলি ঝরানো ছিল</t>
  </si>
  <si>
    <t xml:space="preserve"> তারের দৈর্ঘ্য অনেক বেশি ব্যবহার না করার সময় বিশৃঙ্খলা এবং জট সৃষ্টি করে</t>
  </si>
  <si>
    <t>এই নতুন ফোনটি হাতে ধরা খুবই আরামদায়ক</t>
  </si>
  <si>
    <t>দৈর্ঘ্য উপযুক্ত কিন্তু উপাদানটি সস্তা মনে হয়</t>
  </si>
  <si>
    <t>বিছানার চাদরটি খুবই মসৃণ এবং কোমল যা রাতের ঘুমকে আরও আরামদায়ক করে তোলে</t>
  </si>
  <si>
    <t>আমি শুধুমাত্র ছবি তুলি ভিডিও নয় এবং এই কার্ডটিতে প্রচুর ছবি রয়েছে</t>
  </si>
  <si>
    <t>ডেস্কের সাথে ক্যাবল ম্যানেজমেন্ট সিস্টেম দেওয়া আছে</t>
  </si>
  <si>
    <t>ব্যবহারের পরে কোন এলার্জি পরিলক্ষিত হয় না</t>
  </si>
  <si>
    <t xml:space="preserve"> ফ্যাব্রিক স্ট্রেস পয়েন্টে ছিঁড়ে যায়</t>
  </si>
  <si>
    <t>এর ওপেনিং মেকানিজম এত মসৃণ যে কখনও আঙ্গুলে আটকে যায় না</t>
  </si>
  <si>
    <t>এটি একটু ভঙ্গুর সাবধানে ব্যবহার করতে হবে</t>
  </si>
  <si>
    <t>পণ্য সাধারণ তবে নিখুঁত নয়</t>
  </si>
  <si>
    <t>প্রতিফলন স্পষ্ট তবে অসাধারণ নয়</t>
  </si>
  <si>
    <t>শেলফটির প্লাস্টিক অত্যন্ত উচ্চমানের</t>
  </si>
  <si>
    <t>জৈব সার ব্যবহার করে কিছু ভালো ফলন পাওয়া গেছে তবে আরও উন্নতি আশা করছিলাম</t>
  </si>
  <si>
    <t>ছুটি আমার ভালই লাগে অনেক মজার</t>
  </si>
  <si>
    <t>বাচ্চাদের জন্য নিরাপদ তবে বিশেষ আকর্ষণীয় নয়</t>
  </si>
  <si>
    <t>একটি উপহার হিসাবে ক্রয় অনুশোচনা নোংরা খরগোশ বিব্রতকর</t>
  </si>
  <si>
    <t>এটি খুবই কম বিদ্যুতে চলে</t>
  </si>
  <si>
    <t>ড্রেসিং টেবিলের আয়নার চারপাশে লাইটিং ফিক্সচার আছে</t>
  </si>
  <si>
    <t>পানীয়টি অনেক মিষ্টি তবে মিষ্টির পরিমাণ একটু কম হওয়া উচিত</t>
  </si>
  <si>
    <t>কাস্টমাইজযোগ্য পণ্যটি অফুরন্ত সম্ভাবনার অফার করেছিল কিন্তু সীমিত গ্রাহক সমর্থন সহ কার্যকর করতে ব্যর্থ হয়েছে</t>
  </si>
  <si>
    <t>এত বছর আগে কিনতে না পারার জন্য কিছুটা আফসোস</t>
  </si>
  <si>
    <t>এই শ্যাম্পুর ব্যবহারে চুল খুব ঝলমলে হয়ে গেছে</t>
  </si>
  <si>
    <t>কাপড়ের মান মোটামুটি তবে সহজে ময়লা ধরে</t>
  </si>
  <si>
    <t>স্যামসাং ফোনের জন্য দারুণ</t>
  </si>
  <si>
    <t>এর অটো ক্লিন ফিচার খুবই কার্যকর আমাকে আর ঘন ঘন পরিষ্কার করতে হয় না</t>
  </si>
  <si>
    <t>আকার অনুযায়ী ভালো তবে পেশাদার ব্যবহারের জন্য উপযুক্ত নয়</t>
  </si>
  <si>
    <t>রঙটি ঠিক প্রত্যাশা অনুযায়ী নয় কিন্তু মেনে নেওয়া যায়</t>
  </si>
  <si>
    <t>গুণমান ও ডিজাইনের দিক থেকে এটি সত্যিই অসাধারণ</t>
  </si>
  <si>
    <t>সঙ্গত হতাশা অমীমাংসিত সমস্যা</t>
  </si>
  <si>
    <t>মান অনুমান অস্থায়ী প্রভাবিত হয় যে পোশাকের   ধরণ এবং দীর্ঘস্থায়ী কম</t>
  </si>
  <si>
    <t>সুইচ অনেক সময়ে কাজ করে না</t>
  </si>
  <si>
    <t>এই আংটির ব্যবহার খুবই সহজ এবং অবস্থান বিশেষ হিসেবে উপযুক্ত</t>
  </si>
  <si>
    <t>প্রদত্ত সাইজিং চার্টটি সঠিক নয় যা একটি অফিটিং পোশাকের দিকে পরিচালিত করে যা কিছু এলাকায় খুব আঁটসাঁট এবং অন্যগুলিতে খুব ঢিলেঢালা</t>
  </si>
  <si>
    <t>হেয়ার মাস্কটি ধুয়ে ফেলা কঠিন ছিল এবং আমার চুল প্রলেপ অনুভব করছিল</t>
  </si>
  <si>
    <t>দামের তুলনায় একটু বেশি মনে হয়েছে</t>
  </si>
  <si>
    <t>তাত্ক্ষণিক ওটমিলটি মশলাযুক্ত এবং একটি অদ্ভুত কৃত্রিম গন্ধ ছিল</t>
  </si>
  <si>
    <t>প্যাকেজ করা প্রাতরাশের প্যাস্ট্রিটি অত্যধিক চিনিযুক্ত এবং একটি অদ্ভুত আফটারটেস্ট ছিল</t>
  </si>
  <si>
    <t>ডিজাইনটি অত্যন্ত চমৎকার</t>
  </si>
  <si>
    <t>আমি সম্প্রতি এই আর্ট পেপারগুলো কিনেছি</t>
  </si>
  <si>
    <t>গল্পটি খুবই মর্মস্পর্শী</t>
  </si>
  <si>
    <t>এটি সহজে পরিষ্কার করা যায় তবে দাগ সহজে যায় না</t>
  </si>
  <si>
    <t>প্যাকেটে অক্সিজেন রিলিজ ভাল্ভ আছে</t>
  </si>
  <si>
    <t>ব্যাগটি খুব হালকা এবং বহন করা সহজ</t>
  </si>
  <si>
    <t>নোংরা এবং ব্যবহৃত দাগ এবং অশ্রু অগ্রহণযোগ্য</t>
  </si>
  <si>
    <t>এইচডিএমআই পোর্টগুলি ঢিলেঢালা ছিল যার ফলে মাঝে মাঝে সংকেত নষ্ট হচ্ছিল৷</t>
  </si>
  <si>
    <t xml:space="preserve">মাইক্রোওয়েভটি অনেক দ্রুত গরম করে তবে কিছু সময় খাওয়ার মান কমে যায় </t>
  </si>
  <si>
    <t>টেকসই তবে সবার জন্য নয়</t>
  </si>
  <si>
    <t>প্যাকেজিংটা বিশেষ আকর্ষণীয় নয় কিন্তু ভিতরের জিনিস গুলা ভাল ছিল</t>
  </si>
  <si>
    <t>মেকআপ ব্রাশ বিভিন্ন বয়সের জন্য উপযুক্ত</t>
  </si>
  <si>
    <t xml:space="preserve">  লোশনটি খুব বেশি সুগন্ধযুক্ত ছিল এবং আমার মাথা ব্যাথা করে</t>
  </si>
  <si>
    <t>পেইন্টিং করার সময় পেইন্টব্রাশের ব্রিসলস পড়ে গিয়েছিল</t>
  </si>
  <si>
    <t>নোংরা ও ব্যবহৃত জিনিস গ্রহণযোগ্য নয়</t>
  </si>
  <si>
    <t>শ্যাম্পুটি ব্যবহার করে চুলের বৃদ্ধি বেড়ে গেছে</t>
  </si>
  <si>
    <t>পানি শোষণ ক্ষমতা যথেষ্ট</t>
  </si>
  <si>
    <t>হালকা প্যাড কার্যকর তবে নিখুঁত নয়</t>
  </si>
  <si>
    <t>ওয়াশিং মেশিনের ধোয়ার ক্ষমতা খুবই ভালো</t>
  </si>
  <si>
    <t>বৈচিত্র্য রয়েছে তবে আরও উন্নতির সুযোগ আছে</t>
  </si>
  <si>
    <t>এটি মেকআপের প্রাকৃতিকতা বজায় রাখে</t>
  </si>
  <si>
    <t>চমৎকার চার্জার মহান দাম</t>
  </si>
  <si>
    <t xml:space="preserve">  ধোয়ার পরেও খারাপ গন্ধ হয়</t>
  </si>
  <si>
    <t>গাড়ির সিট কভারগুলি আরামদায়ক এবং টেকসই</t>
  </si>
  <si>
    <t>ফসলের বৃদ্ধির গতি তেমন কিছু বাড়েনি কিন্তু সারটি নষ্টও হয়নি</t>
  </si>
  <si>
    <t>আমাদের ক্লাসের সবাই সবসময় মনোযোগী</t>
  </si>
  <si>
    <t>উপকারী এবং সহজ সবই ঠিক আছে</t>
  </si>
  <si>
    <t>ফ্যাশনের জন্য ভালো তবে খুব টেকসই নয়</t>
  </si>
  <si>
    <t>স্বয়ংক্রিয় কফি প্রস্তুতকারকের কফি ফিল্টার ঝুড়িটি ক্ষীণ সহজেই বাঁকে যায়</t>
  </si>
  <si>
    <t>বইয়ের আলমারির কাঠের গুণমান অসাধারণ এটি দীর্ঘস্থায়ী হবে</t>
  </si>
  <si>
    <t>টুথপেস্টের ফ্লুরাইড মাত্রা সাধারণ</t>
  </si>
  <si>
    <t>লিভইন কন্ডিশনারটি আমার চুলকে চর্বিযুক্ত এবং সমতল দেখায়</t>
  </si>
  <si>
    <t>বিছানায় শুয়ে থাকার সময় এটি আমাকে অত্যন্ত স্বস্তি দেয়</t>
  </si>
  <si>
    <t>এটি শিশুর কল্পনাশক্তি বাড়ায় তবে সুযোগ সীমিত</t>
  </si>
  <si>
    <t>রানিং জার্সির কাপড় আরামদায়ক তবে দ্রুত ঘামে ভিজে যায়</t>
  </si>
  <si>
    <t>গন্ধটি ব্যাচ থেকে ব্যাচের অসঙ্গত ছিল নির্ভরযোগ্যতার অভাব ছিল</t>
  </si>
  <si>
    <t xml:space="preserve"> কিভাবে প্রকাশ করবো ভেবে পাচ্ছি না এককথায় অসাধারণ একটি প্রোডাক্ট এই বাজেটে এতো ভালো পাবো আসা করিনি </t>
  </si>
  <si>
    <t>পাওয়ার ব্যাঙ্কের কেসিং সহজে স্ক্র্যাচ হয়ে যায় এর চেহারা নষ্ট হয়ে যায়</t>
  </si>
  <si>
    <t>ভালোবাসা তবে মাঝারি মানের</t>
  </si>
  <si>
    <t xml:space="preserve"> হাতলটি খুব পাতলা ছিল ক্ষীণ বোধ করছিল</t>
  </si>
  <si>
    <t>টেক্সচারাইজিং স্প্রে আমার চুলকে শুষ্ক এবং জট লাগিয়ে দিয়েছে</t>
  </si>
  <si>
    <t>অনেক ভালো ছিলো গেন্জি গুলা মাশাল্লাহ জানি না কার কাছে কেমন কিন্তু পন্য আমি ভালো পাইছি</t>
  </si>
  <si>
    <t>আইফোন চার্জিং কর্ড মানের দিক দিয়ে ভাল তবে দাম অনেক বেশি</t>
  </si>
  <si>
    <t xml:space="preserve"> দরজার কব্জাটি ঢিলেঢালা যার ফলে দরজাটি ঝুলে যায় এবং সঠিকভাবে বন্ধ হয় না</t>
  </si>
  <si>
    <t>চুলের মাস্কটি ধুয়ে ফেলা কঠিন ছিল একটি ভারী অবশিষ্টাংশ রেখে যা আমার চুলকে ওজন করে ফেলেছিল</t>
  </si>
  <si>
    <t>সাজসজ্জার একটি অপরিহার্য অংশ হয়ে উঠেছে</t>
  </si>
  <si>
    <t>ফ্যানটির দাম তার কাজের মান অনুযায়ী অত্যন্ত যোগ্য</t>
  </si>
  <si>
    <t xml:space="preserve"> ভালোবাসি অনেক ভাল হয়েছে ধন্যবাদ </t>
  </si>
  <si>
    <t xml:space="preserve">  ফটোর তুলনায় ব্যক্তিগতভাবে উল্লেখযোগ্যভাবে ভিন্ন দেখায়</t>
  </si>
  <si>
    <t>টেক্সচারটি বিদ্যমান কিন্তু আরও বৈচিত্র্য হতে পারে</t>
  </si>
  <si>
    <t>প্রতিটি পিসের জয়েন্টগুলো মজবুতভাবে আটকানো</t>
  </si>
  <si>
    <t>কিছুটা হালকা মনে হয় তবে এখনও ব্যবহারযোগ্য</t>
  </si>
  <si>
    <t>প্যাকেজিং থেকে অনায়াসে বের করা যায়</t>
  </si>
  <si>
    <t>seams খারাপভাবে চাঙ্গা এবং ছিঁড়ে প্রবণ হয়</t>
  </si>
  <si>
    <t>এটি বিভিন্ন রঙে পাওয়া যায়</t>
  </si>
  <si>
    <t>মনের মধ্যে প্রফুল্লতা আনে</t>
  </si>
  <si>
    <t>দরিদ্র মানের উপকরণ একটি সংক্ষিপ্ত জীবনকাল ফল</t>
  </si>
  <si>
    <t>রিভিউ মোটামুটি</t>
  </si>
  <si>
    <t>ফ্যাব্রিক ত্বকের বিরুদ্ধে রুক্ষ এবং বিরক্তিকর বোধ করে</t>
  </si>
  <si>
    <t>এর ডিহিউমিডিফাইং মোড আমার ঘরের আর্দ্রতা নিয়ন্ত্রণে রাখে এখন আর গুমোট ভাব অনুভব করি না</t>
  </si>
  <si>
    <t>পারফেক্ট ফোন ফটো স্টোরেজ</t>
  </si>
  <si>
    <t>শুধুমাত্র একটি ধোয়ার পরেই পোশাকের রঙ মারাত্মকভাবে বিবর্ণ হয়ে যায় এটিকে জীর্ণ এবং সস্তা দেখায়</t>
  </si>
  <si>
    <t>প্লাগের মান মোটামুটি ভালো</t>
  </si>
  <si>
    <t>পর্দা মাঝে মাঝে ঝিকমিক করে দীর্ঘক্ষণ ব্যবহারের ফলে চোখের চাপ এবং মাথাব্যথা হয়</t>
  </si>
  <si>
    <t>কানের দুলগুলোর প্যাকেজিং থেকে শুরু করে পণ্যটি নিজে সবকিছুই চমৎকার ছিল</t>
  </si>
  <si>
    <t>এর স্বাদ আমাকে মনে করিয়ে দেয় বিদেশে কাটানো দিনের কথা</t>
  </si>
  <si>
    <t>টুথপেস্টের স্বাদ খুব মিষ্টি নয়</t>
  </si>
  <si>
    <t>কন্ডিশনারটি আমার চুলকে পর্যাপ্ত ময়শ্চারাইজ করেনি এটিকে ফ্রিজি এবং এলোমেলো রেখেছিল</t>
  </si>
  <si>
    <t>রাতে ঘুমাতে যাওয়ার সময় আমার মেয়ে পুতুলটিকে জড়িয়ে ধরে এটা তার জন্য একটি নিরাপত্তার বস্তু হয়ে উঠেছে</t>
  </si>
  <si>
    <t>মেয়েটি তার পরীক্ষায় অসাধারণ ফল করেছে</t>
  </si>
  <si>
    <t xml:space="preserve">  মাস্ক আমার ত্বককে ময়শ্চারাইজ করার পরিবর্তে শুকিয়ে দিয়েছে</t>
  </si>
  <si>
    <t xml:space="preserve"> চমৎকার সিকিউরিটি ক্যামেরা অনেক ভালো একটি প্রোডাক্ট</t>
  </si>
  <si>
    <t>পলিশ খুবই ঘষতে সক্ষম এবং আমার ত্বক লাল করে দিয়েছে</t>
  </si>
  <si>
    <t>আমি এই কানের দুলগুলো পরে একটি বিয়েতে গিয়েছিলাম এবং অনেক প্রশংসা পেয়েছি</t>
  </si>
  <si>
    <t>ভাল কিছু আইটেম নিম্নমানের</t>
  </si>
  <si>
    <t xml:space="preserve"> ফ্যান চালানোর সময় একটি দুর্গন্ধ নির্গত করে যা ভিতরে ধ্বংসাবশেষ জমা হওয়ার পরামর্শ দেয়</t>
  </si>
  <si>
    <t>ক্যানভাসে দৃশ্যমান উত্পাদন ত্রুটি ছিল</t>
  </si>
  <si>
    <t>প্রতিক্রিয়াহীন গ্রাহক পরিষেবা উদ্বেগ মোকাবেলা করতে ব্যর্থ হয়েছে</t>
  </si>
  <si>
    <t>শেলফটির প্রতিটি স্তর আলাদা আলাদা সেট আপ করা যায়</t>
  </si>
  <si>
    <t>বীনগুলো শুকনো কোন আর্দ্রতার চিহ্ন নেই</t>
  </si>
  <si>
    <t>সফ্টওয়্যারটি অপ্রয়োজনীয় বৈশিষ্ট্যে ফুলে গেছে কার্যক্ষমতা এবং প্রতিক্রিয়াশীলতাকে ধীর করে দেয়</t>
  </si>
  <si>
    <t>স্বয়ংক্রিয় কফি প্রস্তুতকারক দুর্বল কফি তৈরি করে হতাশাজনক</t>
  </si>
  <si>
    <t>পানি পরিবর্তনের সময় সাবধান থাকা উচিত</t>
  </si>
  <si>
    <t>ব্রাশের রঙ নিউট্রাল</t>
  </si>
  <si>
    <t>ফ্যাব্রিক শক্ত তবে বিশেষ কিছু নয়</t>
  </si>
  <si>
    <t>পোশাকটি স্ট্যাটিক ক্লিঙের প্রবণ ছিল যার ফলে এটি শরীরে বিশ্রীভাবে আঁকড়ে ধরেছিল</t>
  </si>
  <si>
    <t>বৈদ্যুতিক কেটলির পাওয়ার কর্ডটি খুব ছোট বসানোর বিকল্পগুলিকে সীমিত করে</t>
  </si>
  <si>
    <t xml:space="preserve"> দরজা সঠিকভাবে বন্ধ হয় না এটি সম্পূর্ণভাবে বন্ধ করতে অতিরিক্ত শক্তির প্রয়োজন হয়</t>
  </si>
  <si>
    <t>ফুলটি আমার ঘরে একটি জীবন্ত স্পর্শ এনেছে</t>
  </si>
  <si>
    <t>গয়নাটির ধাতু মাত্র কয়েকবার পরার পরে আমার ত্বককে সবুজ করে তুলেছে যা নিম্নমানের উপকরণ এবং কারুকার্য নির্দেশ করে</t>
  </si>
  <si>
    <t>পরিষ্কার করা সহজ এবং দুর্গন্ধমুক্ত ফ্রিজে রাখা যায় এবং পড়ে গেলে সহজে ভাঙে না</t>
  </si>
  <si>
    <t>এই বিছানার চাদরটি সত্যিই অসাধারণ এর কাপড়ের মান খুবই উন্নত স্পর্শে নরম এবং আরামদায়ক</t>
  </si>
  <si>
    <t>প্লাস্টিকের ফুলটি বিভিন্ন আবহাওয়ায় একই রকম থাকে</t>
  </si>
  <si>
    <t xml:space="preserve"> চার্জিং কেসের ঢাকনা ক্ষীণ এবং ভাঙ্গার প্রবণতা স্টোরেজ বা পরিবহনের সময় ইয়ারফোনগুলিকে ক্ষতিগ্রস্থ করে</t>
  </si>
  <si>
    <t xml:space="preserve">হিমায়িত নৈশভোজে একটি রাবারি টেক্সচার ছিল এবং স্বাদ ছিল মসৃণ মশলার অভাব ছিল </t>
  </si>
  <si>
    <t>টুল ঠিক কাজ করে</t>
  </si>
  <si>
    <t>হতাশাজনক পণ্য অবিশ্বস্ত কর্মক্ষমতা</t>
  </si>
  <si>
    <t>দেখতে সাধারণ ব্যবহারেও বিশেষ কিছু নয়</t>
  </si>
  <si>
    <t>ক্যানভাস উপাদানের একটি অসম বুনা ছিল যা পেইন্ট প্রয়োগকে প্রভাবিত করে</t>
  </si>
  <si>
    <t>বৈদ্যুতিক রেজার শেভ করার পরিবর্তে চুল টানে ব্যবহারে ব্যথা হয়</t>
  </si>
  <si>
    <t>ক্যামেরার কিট লেন্স সাবপার লক্ষণীয় বিকৃতি সহ নরম ছবি তৈরি করে</t>
  </si>
  <si>
    <t>প্যাকেজিং খোলা কঠিন ছিল কাঁচি প্রয়োজন</t>
  </si>
  <si>
    <t>ভবিষ্যত ডেলিভারির জন্য প্যাকেজিং মান উন্নত করার পরামর্শ দেওয়া হচ্ছে</t>
  </si>
  <si>
    <t>বুকশেলফের পিছনের দেওয়াল সুন্দরভাবে ফিনিশ করা</t>
  </si>
  <si>
    <t>খারাপভাবে তৈরি বন্ধন ব্যর্থতা স্পষ্ট</t>
  </si>
  <si>
    <t>চায়ের পাত্রের ঢাকনা ফ্লাশ করে বসেনি যাতে তাপ পালাতে পারে</t>
  </si>
  <si>
    <t>ফোনের স্পিকারের ভলিউম খুব কম কোলাহলপূর্ণ পরিবেশে বিজ্ঞপ্তি শুনতে অসুবিধা হয়৷</t>
  </si>
  <si>
    <t>সুগন্ধে ভরপুর মৃদু স্বাদযুক্ত এই কফি আমাকে মুগ্ধ করেছে</t>
  </si>
  <si>
    <t>সৌরচালিত বহিরঙ্গন স্পিকার ডিভাইসের সাথে সংযোগ করে না কোন শব্দ নেই</t>
  </si>
  <si>
    <t>শব্দ কম হওয়ায় এটি ব্যহারের সময় কোনো সমস্যা হয় না</t>
  </si>
  <si>
    <t>শ্যাম্পুর একাধিক রিপোর্ট বিদ্যমান খুশকির সমস্যাকে বাড়িয়ে দেয়</t>
  </si>
  <si>
    <t>রোবট খেলনা ত্রুটিপূর্ণ আদেশে সাড়া দেয় না</t>
  </si>
  <si>
    <t>এটি উভয় পাশে আঁকার জন্য ডিজাইন করা হয়েছে</t>
  </si>
  <si>
    <t>এই কম্বলটি আমার শীতের রাতে অনেক আরাম দেয়</t>
  </si>
  <si>
    <t>বৈদ্যুতিক কেটলির পাওয়ার সুইচটি কাজ করা বন্ধ করে দেয় এটি ব্যবহার করার অযোগ্য হয়ে পড়ে</t>
  </si>
  <si>
    <t>হালকা ওজন তাদের বহন করা সহজ করে তোলে</t>
  </si>
  <si>
    <t>বুদ্বুদ স্নানের সূত্রটি আমার ত্বককে শুকিয়ে দিয়েছিল এটিকে টানটান এবং চুলকায়</t>
  </si>
  <si>
    <t>ছোট আকারের হওয়ায় ব্যাগে সহজেই নিয়ে যাওয়া যায় অফিস মার্কেট কিংবা ভ্রমণে  সবসময় সঙ্গে রাখি</t>
  </si>
  <si>
    <t>দাম কিছুটা বেশি মনে হয়</t>
  </si>
  <si>
    <t>হ্যান্ডহেল্ড ব্লেন্ডারের ব্লেডগুলি দ্রুত নিস্তেজ হয়ে যায় উপাদানগুলিকে মিশ্রিত করতে লড়াই করে</t>
  </si>
  <si>
    <t>বিভিন্ন অক্ষর শেখানোর চেষ্টা আছে তবে সবগুলো স্পষ্ট নয়</t>
  </si>
  <si>
    <t>মেকআপ ব্রাশ ব্যবহার করা সহজ শেখা যায়</t>
  </si>
  <si>
    <t>আমাদের টিম সবসময় নতুন আইডিয়া নিয়ে কাজ করে</t>
  </si>
  <si>
    <t>যেমনটা ছবিতে দেখে আগ্রহ করে অর্ডার দিয়েছিলাম ঠিক তেমনই পণ্য</t>
  </si>
  <si>
    <t>আমি যে কি করব আমি নিজেই জানি না</t>
  </si>
  <si>
    <t>প্যাকেজিং আলো এবং বাতাস থেকে রক্ষা করেনি যার ফলে নষ্ট হয়ে যায়</t>
  </si>
  <si>
    <t>ব্র্যান্ডের নাম বিশ্বাসযোগ্য বলে মনে হয়েছে</t>
  </si>
  <si>
    <t>ওয়াশিং মেশিনের কন্ট্রোল প্যানেলের বোতামগুলি প্রতিক্রিয়াশীল নয় সেটিংস নির্বাচন করা কঠিন৷</t>
  </si>
  <si>
    <t>এটি উপভোগ করুন সমস্ত প্রকল্পের জন্য উপযুক্ত নাও হতে পারে</t>
  </si>
  <si>
    <t>চেহারা ঠিক আছে কিন্তু এটা আরো আকর্ষণীয় হতে পারে</t>
  </si>
  <si>
    <t>মূল্যের দিক থেকে সুবিধাজনক লেগেছে</t>
  </si>
  <si>
    <t>অতিথিরা লক্ষ্য করেছে তবে মুগ্ধ হয়নি</t>
  </si>
  <si>
    <t>কমফোর্টারটি খুবই আরামদায়ক এবং উষ্ণ</t>
  </si>
  <si>
    <t>গ্রেডিয়েন্ট নিষ্প্রভ</t>
  </si>
  <si>
    <t>মেকআপ ব্রাশ পেশাদার ফলাফল দেয়</t>
  </si>
  <si>
    <t>মোবাইলটির স্ক্রিন টু বডি রেশিও অনেক উচ্চ</t>
  </si>
  <si>
    <t>হতাশাজনক মানের জন্য অতিরিক্ত মূল্য এবং বিস্তারিত মনোযোগের অভাব</t>
  </si>
  <si>
    <t>শর্টের কাপড় ভালো তবে নকশা আকর্ষণীয় নয়</t>
  </si>
  <si>
    <t>ডিভাইসটির বিল্ড কোয়ালিটি খুবই শক্তিশালী</t>
  </si>
  <si>
    <t>ম্যাসকারাটি আমার চোখকে বড় ও উজ্জ্বল দেখায়</t>
  </si>
  <si>
    <t>এর আকৃতি এবং ফ্যাব্রিক আকর্ষণীয় তবে এটি অসাধারণ নয়</t>
  </si>
  <si>
    <t>একটি দারুণ পণ্য যা আমার মন জয় করেছে</t>
  </si>
  <si>
    <t xml:space="preserve">এক টানা  ঘন্টা গান শুনছি আবার ডেলিভারি পাবার পর একবার  মিনিট এর জন্য চার্জ এ দিছিলাম </t>
  </si>
  <si>
    <t>কিছু ফলন বৃদ্ধি পেয়েছে তবে সারটির দাম তুলনামূলকভাবে বেশি</t>
  </si>
  <si>
    <t>স্মার্ট থার্মোস্ট্যাট তাপমাত্রা সেটিংস রিসেট করে অসামঞ্জস্যপূর্ণ গরম করে</t>
  </si>
  <si>
    <t>বিবর্ণ প্যাচ এবং বিবর্ণ সঙ্গে একটি   প্রাপ্তি খারাপ মানের রঞ্জক এবং উপকরণ ইঙ্গিত</t>
  </si>
  <si>
    <t>পরিবহনের জন্য ব্যবহার করা যায় তবে পড়ে গেলে ভেঙে যেতে পারে</t>
  </si>
  <si>
    <t>আমি এই বালিশ সেটের বহুমুখিতা পছন্দ করি এগুলি শুধু ঘুমানোর জন্য নয় সোফায় হেলান দেওয়ার জন্যও চমৎকার</t>
  </si>
  <si>
    <t>পাত্রগুলির প্রান্ত এতটাই মসৃণ যে আমি কখনও আঁচড় বা ক্ষতের ভয় পাই না</t>
  </si>
  <si>
    <t>স্মার্টওয়াচের ব্যাটারি দ্রুত নিষ্কাশন হয় ঘন ঘন চার্জ করা প্রয়োজন</t>
  </si>
  <si>
    <t>গুণমানের সমস্যা হতাশাজনক দীর্ঘায়ু</t>
  </si>
  <si>
    <t>সৌর চালিত নিরাপত্তা ক্যামেরার ফুটেজ দানাদার নিম্নমানের</t>
  </si>
  <si>
    <t>ডেলিভারি চার্জ গ্রহণযোগ্য মাত্রায় নির্ধারিত</t>
  </si>
  <si>
    <t xml:space="preserve"> টিকে শ্বাসপ্রশ্বাসযোগ্য ফ্যাব্রিক দিয়ে তৈরি বলে বর্ণনা করা হয়েছিল তবে এটি পরতে দমবন্ধ এবং গরম অনুভূত হয়েছিল</t>
  </si>
  <si>
    <t>ব্যবহারের পর ঠাণ্ডা হলে আবার গরম করা যায়</t>
  </si>
  <si>
    <t>বরফ মিশ্রিত করার সময় ব্লেন্ডারের মোটরটি পুড়ে যায় একটি বড় হতাশা</t>
  </si>
  <si>
    <t>ওজন মাঝারি বহন করা খুব কষ্টকর নয়</t>
  </si>
  <si>
    <t>রাইস কুকারের ননস্টিক আবরণ খোসা ছাড়িয়ে চালের গঠনকে প্রভাবিত করে</t>
  </si>
  <si>
    <t>বক্স করা কেকের মিশ্রণের একটি রাসায়নিক স্বাদ ছিল এবং বেক করার সময় সঠিকভাবে উঠে না</t>
  </si>
  <si>
    <t>অসাধারণ এক অভিজ্ঞতা</t>
  </si>
  <si>
    <t>ওয়াটার হিটারটি দ্রুত পানি গরম করে</t>
  </si>
  <si>
    <t>এই বডি ওয়াশ ব্যবহারে আপনার ত্বক হবে সুরক্ষিত</t>
  </si>
  <si>
    <t>কার্ল ক্রিম আমার কার্লগুলিকে সংজ্ঞায়িত করেনি এবং সেগুলিকে ঝিমঝিম দেখাচ্ছে</t>
  </si>
  <si>
    <t>প্যাডের কিনারা দিয়ে পানি কিছুটা ঢোকে</t>
  </si>
  <si>
    <t>দরিদ্র নিরোধক তাপের ক্ষতি শক্তির অপচয় ঘটায়</t>
  </si>
  <si>
    <t>স্নানের বালিশটি দ্রুত বিচ্ছিন্ন হয়ে যায় তার আকৃতি এবং সমর্থন হারায়</t>
  </si>
  <si>
    <t>টর্চের আলোর আকার মাঝারি</t>
  </si>
  <si>
    <t>মাস্কারার ফর্মুলাটি খুব ভিজে যার ফলে এটি চোখের পাতায় স্থানান্তরিত হয়</t>
  </si>
  <si>
    <t>চা দৃশ্যমান দাগ এবং চিহ্ন সহ পৌঁছেছে যা নিম্নমানের গুণমান নিয়ন্ত্রণ এবং পরিদর্শনের অভাবের প্রমাণ</t>
  </si>
  <si>
    <t>এই বীজগুলি রোপণের পর মোটামুটি বৃদ্ধি পেয়েছে তবে কিছু সমস্যা ছিল</t>
  </si>
  <si>
    <t>ইলেকট্রনিক টাইডাই মেশিনটি কাপড় রঙ করে কিন্তু রঙ মেশানো জটিল</t>
  </si>
  <si>
    <t>চার্জারের প্রংগুলি খুব ছোট নির্দিষ্ট আউটলেটগুলিতে একটি নিরাপদ সংযোগ প্রদান করে না৷</t>
  </si>
  <si>
    <t>পিষনটি খুব মোটা ছিল ফলে একটি দুর্বল এবং কম নিষ্কাশন করা হয়</t>
  </si>
  <si>
    <t>তাপ রক্ষাকারী স্প্রে আমার চুলকে আঠালো বোধ করে এবং ওজন কমিয়ে দেয় স্টাইলিংকে বাধা দেয়</t>
  </si>
  <si>
    <t>রুক্ষ অভ্যন্তরীণ আবরন আমার ভাল লাগে নেই</t>
  </si>
  <si>
    <t>সহজে পরিষ্কার করা যায় কিন্তু গন্ধ দূর করা কঠিন</t>
  </si>
  <si>
    <t>ডিজিটাল ফুড থার্মোমিটার তাপমাত্রা মাপে তবে প্রোবটি ছোট হতে পারে</t>
  </si>
  <si>
    <t>পোশাকটি খুবই ফ্যাশনেবল</t>
  </si>
  <si>
    <t>পোর্টেবল ব্লেন্ডারের ব্লেড সমাবেশ পরিষ্কার করা কঠিন খাদ্য কণা আটকে রাখে</t>
  </si>
  <si>
    <t>দেখতে ঠিক আছে তবে ব্যবহার করে তেমন আরামদায়ক নয়</t>
  </si>
  <si>
    <t>চায়ের কেটলির হুইসেল মেকানিজম খারাপ হয়ে গেছে দুর্বল শব্দ তৈরি করছে</t>
  </si>
  <si>
    <t>অতিরিক্ত ঘষলে স্ক্রিন ক্ষতিগ্রস্ত হতে পারে</t>
  </si>
  <si>
    <t>চায়ের স্বাস্থ্য উপকারিতা সম্পর্কে অতিরঞ্জিত দাবি সহ প্যাকেজিংটি বিভ্রান্তিকর ছিল</t>
  </si>
  <si>
    <t>গন্ধ হালকা খুব শক্তিশালী নয়</t>
  </si>
  <si>
    <t>চায়ের থলিটি খুব ছোট ছিল ঢালার সময় ছিটকে পড়েছিল</t>
  </si>
  <si>
    <t>বারবার ময়লা সমস্যা প্রতিস্থাপন এটি সমাধান করেনি</t>
  </si>
  <si>
    <t>এটি সহজে লেয়ারিং করা যায়</t>
  </si>
  <si>
    <t>রঙটি ঠিক ছবিতে দেখানোর মতো নয় কিন্তু গ্রহণযোগ্য</t>
  </si>
  <si>
    <t>স্মার্ট ব্যাগ ট্র্যাকারটি সুটকেস খুঁজে পায় তবে এর রেঞ্জ সীমিত</t>
  </si>
  <si>
    <t>সামগ্রিকভাবে প্রত্যাশা কম হয়েছে বিকল্প খুঁজছেন</t>
  </si>
  <si>
    <t>পোর্টেবল ডিভিডি রিপেয়ার কিটটি কিছু মারাত্মক মেরামত করতে সক্ষম কিন্তু গভীর স্ক্র্যাচের জন্য নয়</t>
  </si>
  <si>
    <t>অ্যান্টিফ্রিজ সিরাম আমার চুলকে চর্বিযুক্ত দেখায় এবং ফ্রিজ নিয়ন্ত্রণ করে না</t>
  </si>
  <si>
    <t>গুণমান ঠিক আছে যতটা আশা করা হয়েছিল ততটা টেকসই নয়</t>
  </si>
  <si>
    <t xml:space="preserve"> ঢাকনা ঠিকমতো ফিট হয়নি ঢালার সময় ছিটকে পড়ে</t>
  </si>
  <si>
    <t>এত ভাল কাজ করেছি যে আমি দ্বিতীয়টি কিনেছি</t>
  </si>
  <si>
    <t>কালো ঠিক আছে সাদা ঠিক আছে</t>
  </si>
  <si>
    <t>এটি একটি ন্যায্য পোশাক কিন্তু কোন বিশেষ উল্লেখ নেই</t>
  </si>
  <si>
    <t>কখনো কখনো কথা বলার সময় ব্লুটুথ সংযোগ বিচ্ছিন্ন হতে পারে</t>
  </si>
  <si>
    <t>অনির্ভরযোগ্য গুণমান হতাশাজনক নির্মাণ</t>
  </si>
  <si>
    <t>গল্পটি খুবই আবেগময়</t>
  </si>
  <si>
    <t>বিল্ড কোয়ালিটি কিছুটা সস্তা মনে হয়</t>
  </si>
  <si>
    <t>কারুশিল্পের জন্য এটি ব্যবহার করা যেতে পারে</t>
  </si>
  <si>
    <t>জরুরি অবস্থার জন্য মাঝারি মানের কিট</t>
  </si>
  <si>
    <t>ডিজিটাল কিউআর কোড জেনারেটর প্রিন্টারটি কোড ছাপে কিন্তু কালি দামি</t>
  </si>
  <si>
    <t>নিম্নমানের প্লাস্টিকের দাগ সহজে এবং পরিষ্কার করা কঠিন</t>
  </si>
  <si>
    <t>ডিশওয়াশারের ডিটারজেন্ট ডিসপেনসার খোলে না থালাবাসন নোংরা থাকে</t>
  </si>
  <si>
    <t>চায়ের উৎপত্তি দেশের নাম উল্লেখ করা হয়েছে</t>
  </si>
  <si>
    <t xml:space="preserve"> এটি সত্যিই একটি উচ্চমানের প্রোডাক্ট যা আপনার হাতকে পুষ্ট সুরক্ষিত এবং কোমল রাখবে</t>
  </si>
  <si>
    <t>গাড়িটির ব্রেকিং সিস্টেম খুবই কার্যকর</t>
  </si>
  <si>
    <t>ডিভাইসটির স্ক্রিন সাইজ যথেষ্ট বড়</t>
  </si>
  <si>
    <t>পেইন্টটিতে একটি শক্তিশালী রাসায়নিক গন্ধ ছিল যার সাথে কাজ করা অপ্রীতিকর</t>
  </si>
  <si>
    <t>পণ্যটির উপাদানে একটি অদ্ভুত গন্ধ ছিল সম্ভবত রাসায়নিক থেকে</t>
  </si>
  <si>
    <t>গাছের স্বাস্থ্য কিছুটা ভালো হলেও ফলনের পরিমাণ কম ছিল</t>
  </si>
  <si>
    <t>ডাস্ট অ্যাকুমুলেশন কম</t>
  </si>
  <si>
    <t>আইটেমটির প্যাকেজিং অত্যধিক এবং পরিবেশগতভাবে বন্ধুত্বপূর্ণ ছিল</t>
  </si>
  <si>
    <t>মানসিক চাপ কমাতে সাহায্য করে</t>
  </si>
  <si>
    <t>গন্ধ লক্ষণীয় কিন্তু সহনীয়</t>
  </si>
  <si>
    <t>এতে বহন করার জন্য একটি হ্যান্ডেল রয়েছে</t>
  </si>
  <si>
    <t>যা বিজ্ঞাপন দেওয়া হয়েছিল তার সাথে মেলে না৷</t>
  </si>
  <si>
    <t>ব্যবহার শেষে সংরক্ষণ করা সহজ</t>
  </si>
  <si>
    <t>নয়েজবাতিলকারী ইয়ারবাডগুলির অডিও গুণমান খারাপ আওয়াজ করা শব্দ</t>
  </si>
  <si>
    <t>ফ্রিজে রাখা যায় কিন্তু অতিরিক্ত ঠান্ডায় ফাটল ধরতে পারে</t>
  </si>
  <si>
    <t>ভ্যাকুয়াম ক্লিনারের স্তন্যপান ক্ষমতা দুর্বল ময়লা ফেলে</t>
  </si>
  <si>
    <t>সুগন্ধটি দুর্বল এবং অনুপ্রেরণাদায়ক ছিল প্রলুব্ধ করতে ব্যর্থ হয়েছিল</t>
  </si>
  <si>
    <t>ফোনের ক্যামেরা অ্যাপটি বিভিন্ন মোডের মধ্যে স্যুইচ করার সময় ক্র্যাশ হয়ে যায় নির্দিষ্ট শট ক্যাপচার করার চেষ্টা করার সময় হতাশার সৃষ্টি করে</t>
  </si>
  <si>
    <t xml:space="preserve"> সস্তা দাম দারুণ কাজ করে অসাধারণ</t>
  </si>
  <si>
    <t>এর স্বাদ এতই ভালো যে আমি দিনে তিনবার পান করি</t>
  </si>
  <si>
    <t>এই কফি আমার কাছে হয়ে উঠেছে একটি পুরস্কারের মতো</t>
  </si>
  <si>
    <t>ঢিলেঢালা বোতাম এবং বন্ধন সহ একটি   প্রাপ্তি পড়ে যাওয়ার ঝুঁকি তৈরি করে এবং বিব্রতকর অবস্থা সৃষ্টি করে</t>
  </si>
  <si>
    <t>দীর্ঘ সময় ধরে রঙের উজ্জ্বলতা বজায় রাখে</t>
  </si>
  <si>
    <t>অকাল পরিধান এবং টিয়ার দ্বারা হতাশ</t>
  </si>
  <si>
    <t>এই ব্লুটুথ স্পিকারের বেস অনেক গভীর এবং পরিষ্কার</t>
  </si>
  <si>
    <t>টুথপেস্টে বাইকার্বনেট সোডা আছে</t>
  </si>
  <si>
    <t>এই পণ্যটি অত্যন্ত সন্তোষজনক</t>
  </si>
  <si>
    <t>নতুন কফি শপের পরিবেশ খুবই আরামদায়ক</t>
  </si>
  <si>
    <t>কিছু ক্ষেত্রে সন্তুষ্টি এবং কিছু ক্ষেত্রে অসন্তুষ্টি রয়েছে</t>
  </si>
  <si>
    <t>গরম করার পর ব্যবহার করতে হয়</t>
  </si>
  <si>
    <t xml:space="preserve">  নকশায় বহুমুখীতার অভাব রয়েছে বিভিন্ন উদ্দেশ্যে এর কার্যকারিতা এবং উপযুক্ততা সীমিত করে</t>
  </si>
  <si>
    <t>বাচ্চাদের জন্য এই স্কুল ব্যাগটি খুব আরামদায়ক</t>
  </si>
  <si>
    <t>রাতেও সতেজ থাকে সকালে তাজা ফুলের মতো দেখায়</t>
  </si>
  <si>
    <t>ওয়াশিং মেশিনের দরজার সিল মোল্ড ব্যবহার করার সময় দুর্গন্ধ নির্গত হয়</t>
  </si>
  <si>
    <t>হেয়ার ড্রায়ারের গরম করার উপাদানটি একটি জ্বলন্ত গন্ধ নির্গত করে যা সম্ভাব্য আগুনের ঝুঁকি নির্দেশ করে</t>
  </si>
  <si>
    <t>ডাইনিং চেয়ারগুলোর উচ্চতা টেবিলের সাথে পারফেক্টভাবে মানানসই</t>
  </si>
  <si>
    <t>ভিতরের আস্তরণটি সহজেই ছিঁড়ে যায় ভিতরের প্যাডিংটি উন্মুক্ত করে দেয়</t>
  </si>
  <si>
    <t xml:space="preserve"> টার্নটেবল তার ট্র্যাক থেকে সহজেই সরে যায় যার ফলে গহ্বরের ভিতরে ছড়িয়ে পড়ে</t>
  </si>
  <si>
    <t>ইন্টিগ্রেশন সুবিধা উপলব্ধ নয়</t>
  </si>
  <si>
    <t>এটি মেকআপ প্রয়োগে দক্ষতা বাড়ায়</t>
  </si>
  <si>
    <t>খুব ভালো বাইনোকুলার</t>
  </si>
  <si>
    <t>এটি খুবই টেকসই এবং দীর্ঘস্থায়ী</t>
  </si>
  <si>
    <t>আলোর তীব্রতা মোটামুটি ঠিকঠাক</t>
  </si>
  <si>
    <t>কফির সুগন্ধ এতই মনোরম যে আমি এটিকে একটি সুগন্ধি হিসেবেও ব্যবহার করতে পারি</t>
  </si>
  <si>
    <t>ডিজাইন সাধারণ তবে কিছু বিশেষত্ব নেই</t>
  </si>
  <si>
    <t>এর স্বাদ আমাকে মনে করিয়ে দেয় বাড়ির আদরের কথা</t>
  </si>
  <si>
    <t>সব ধরনের ত্বকের জন্য উপযুক্ত বলে দাবি করা সত্ত্বেও মুখের তেল ব্রণ এবং ভিড় বাড়ায়</t>
  </si>
  <si>
    <t>কাপড়ের মান মোটামুটি তবে আরও উন্নতির সুযোগ রয়েছে</t>
  </si>
  <si>
    <t xml:space="preserve"> কন্ট্রোল প্যানেলটি মাঝে মাঝে কাজ করে রান্না করার সময় সেটিংস রিসেট করে</t>
  </si>
  <si>
    <t>চায়ের ব্লেন্ড সম্পর্কে বিস্তারিত তথ্যের অভাব</t>
  </si>
  <si>
    <t>বডি ওয়াশের পাম্প মেকানিজম জ্যাম হয়ে গেছে এটি বিতরণ করা অসম্ভব</t>
  </si>
  <si>
    <t>আলোটির রঙ পুরোপুরি সাদা নয়</t>
  </si>
  <si>
    <t>আমাদের কোম্পানির পরিবেশ কাজের জন্য খুবই উপযুক্ত</t>
  </si>
  <si>
    <t xml:space="preserve">আরও বেশি হওয়ার দরকার </t>
  </si>
  <si>
    <t xml:space="preserve">  স্প্রে আমার ত্বকে জ্বালা করে এবং লালভাব সৃষ্টি করে</t>
  </si>
  <si>
    <t>ছবি প্রতারণা করে বাস্তবে পোশাকটি প্রত্যাশা থেকে অনেক দূরে</t>
  </si>
  <si>
    <t xml:space="preserve">টি শার্ট টা আমার ভীষন ভীষন ভীষন পছন্দ হয়েছে গায়ে পড়ে এতটাই জোশ লাগছিলো এক কথায় অসাধারন </t>
  </si>
  <si>
    <t>ব্যাটারিটি বেশ দীর্ঘ সময় ধরে চলে</t>
  </si>
  <si>
    <t>নরম থেকে অনেক দূরে কিন্তু অনুভূতি সামান্য</t>
  </si>
  <si>
    <t>মধুটি পেট ফাঁপা কমায়</t>
  </si>
  <si>
    <t>কিটটিতে প্রয়োজনীয় সব প্রোডাক্ট একসাথে পাওয়া যায়</t>
  </si>
  <si>
    <t>মান আরও ভাল হতে পারত</t>
  </si>
  <si>
    <t>ত্বকের জীবনীশক্তি বাড়ায় এই বডি ওয়াশ</t>
  </si>
  <si>
    <t>সাইজিং চার্ট ভুল</t>
  </si>
  <si>
    <t xml:space="preserve"> ফার্মওয়্যার আপডেটগুলি পরিচিত সমস্যাগুলির সমাধান করতে ব্যর্থ হয়েছে ব্যবহারকারীদের হতাশ করেছে৷</t>
  </si>
  <si>
    <t>রোবট পোষ্য ফিডার অত্যধিক খাদ্য বিতরণ করে পোষা প্রাণীকে অতিরিক্ত খাওয়ায়</t>
  </si>
  <si>
    <t>শিশুটি প্রতিদিন সকালে দুধ খায়</t>
  </si>
  <si>
    <t>চা সেটের রঙ নিস্তেজ এবং বিবর্ণ ছিল প্রাণবন্ততার অভাব ছিল</t>
  </si>
  <si>
    <t>সৌরশক্তি চালিত এলইডি লাইট কয়েকদিন পরে কাজ করা বন্ধ করে দেয় অবিশ্বাস্য</t>
  </si>
  <si>
    <t>দারুণ ড্যাশক্যাম দারুণ মান এবং খুব দরকারী</t>
  </si>
  <si>
    <t>যত্নের নির্দেশাবলী অনুসরণ করা সত্ত্বেও প্রথম ধোয়ার পরে কাপড়টি উল্লেখযোগ্যভাবে সঙ্কুচিত হয় যা পোশাকটিকে পরিধানযোগ্য করে তোলে</t>
  </si>
  <si>
    <t>পণ্যটি ব্যবহার করে মেঝে চকচকে হয়</t>
  </si>
  <si>
    <t>পকেটে রাখা সম্ভব নয়</t>
  </si>
  <si>
    <t>প্লাস্টিকের ফুলটি পোকামাকড়ের আক্রমণ থেকে মুক্ত</t>
  </si>
  <si>
    <t>এর মধ্যে লুকানো রয়েছে হালকা সিট্রাস নোট</t>
  </si>
  <si>
    <t>প্যাডের কিনারা দিয়ে তরল ঢোকে না</t>
  </si>
  <si>
    <t>পণ্যটির দাম অনুযায়ী পেয়েছি</t>
  </si>
  <si>
    <t>আইস কিউব ট্রেটি বরফ জমায় তবে বরফ বের করা একটু কঠিন</t>
  </si>
  <si>
    <t>এটি মেকআপ লেয়ারিং সহজ করে</t>
  </si>
  <si>
    <t>খারাপ মানের পুঁতির বৈচিত্র্য</t>
  </si>
  <si>
    <t>আমি সম্প্রতি এই চায়ের ব্যাগগুলো সংগ্রহ করেছি</t>
  </si>
  <si>
    <t>এটি ত্বককে মসৃণ এবং কোমল করে তোলে</t>
  </si>
  <si>
    <t>সাইজিং ছোট হয় যার ফলে অল্প সময়ের জন্য পরার পর পায়ের আঙ্গুল এবং ফোস্কা পড়ে</t>
  </si>
  <si>
    <t>মহান পণ্য এবং সেট আপ ছাড়া চমত্কার স্বজ্ঞাত</t>
  </si>
  <si>
    <t>চায়ের পাত্রে ঢালার সময় থেকেই এর সুগন্ধ ঘরময় ছড়িয়ে পড়ে</t>
  </si>
  <si>
    <t>আমি লক্ষ্য করেছি যে এই বালিশগুলি ব্যবহারের সাথে সাথে আরও আরামদায়ক হয়ে ওঠে</t>
  </si>
  <si>
    <t>নতুন ল্যাপটপের কীবোর্ড খুব মসৃণ</t>
  </si>
  <si>
    <t>সানগ্লাসটি রোদ ঠেকায় কিন্তু ফ্রেম দুর্বল</t>
  </si>
  <si>
    <t>ব্লুটুথ স্পিকার ঘন ঘন সংযোগ বিচ্ছিন্ন করে সঙ্গীতে বাধা দেয়</t>
  </si>
  <si>
    <t xml:space="preserve">সাউন্ড কোয়ালিটি অনেক ভালো চার্জ এক ঘন্টায়  পার্সেন্ট যায় ডেলিভারি ম্যান অনেক ভালো ছিল ধন্যবাদ </t>
  </si>
  <si>
    <t>ভাল মান আরও ভাল হতে পারে</t>
  </si>
  <si>
    <t>দামের জন্য বেশ ভালো তবে ব্যতিক্রমী নয়</t>
  </si>
  <si>
    <t>দামের জন্য আরও ভালো হতে পারত</t>
  </si>
  <si>
    <t>নিয়ন্ত্রণ প্যানেল ব্যবহার করা যেতে পারে</t>
  </si>
  <si>
    <t>জটিল সেটআপ প্রক্রিয়া প্রাথমিক ব্যবহারকে হতাশাজনক করে তুলেছে</t>
  </si>
  <si>
    <t>এটি একটি মানসম্পন্ন ব্রাশ নয়</t>
  </si>
  <si>
    <t>মোবাইলটির স্ক্রিন টু বডি রেশিও অনেক বেশি</t>
  </si>
  <si>
    <t>খুবই ভালো একটি প্রোডাক্ট মনে হয় ওরজিনিয়ালি</t>
  </si>
  <si>
    <t>ব্যবহারের পর কোনো দাগ পড়েনি</t>
  </si>
  <si>
    <t>চারটি পা আছে প্লাস্টিকের এডজাস্টেবল ফুট সহ</t>
  </si>
  <si>
    <t>সারটি উপযুক্ত ছিল তবে ফসলের পরিমাণ তেমন বৃদ্ধি পায়নি</t>
  </si>
  <si>
    <t>মৃদু হওয়ার দাবি সত্ত্বেও উল্লেখযোগ্য চুল জট এবং ভাঙ্গার কারণ</t>
  </si>
  <si>
    <t>পণ্যটি মোটামুটি ভালো</t>
  </si>
  <si>
    <t>প্রোডাক্টটি খারাপ নয় এটি সত্যিই দারুণ</t>
  </si>
  <si>
    <t>কাপড়টি ত্বকের পক্ষে বন্ধুত্বপূর্ণ</t>
  </si>
  <si>
    <t>এই বডি ওয়াশ ব্যবহারে আপনার ত্বক হবে আরও আকর্ষক</t>
  </si>
  <si>
    <t>বাচ্চাদের জন্য নিরাপদ ভেঙে যাওয়ার ভয় নেই</t>
  </si>
  <si>
    <t>পুতুলটির চোখ বন্ধ হয়ে যায় যখন শুইয়ে রাখা হয় যা আমার মেয়েকে খুব মজার মনে হয়</t>
  </si>
  <si>
    <t>এটি একটি সাধারণ টুল</t>
  </si>
  <si>
    <t>এটি নিরাপদ তবে অধিকাংশ খেলনাই তাই</t>
  </si>
  <si>
    <t>ক্ষতিগ্রস্ত পণ্য প্রাপ্ত অগ্রহণযোগ্য</t>
  </si>
  <si>
    <t>ওজন সাধারণ সহজে নাড়াচাড়া করা যায়</t>
  </si>
  <si>
    <t>কাজ করে কিন্তু কোনো বিশেষ প্রভাব ফেলেনি</t>
  </si>
  <si>
    <t xml:space="preserve"> থার্মোমিটারের রিডিং অসামঞ্জস্যপূর্ণ শিশুর তাপমাত্রা সঠিকভাবে নিরীক্ষণ করা কঠিন করে তোলে</t>
  </si>
  <si>
    <t>শ্যাম্পুর সুগন্ধি খুব প্রিয়</t>
  </si>
  <si>
    <t>হেয়ার সিরাম আমার চুলকে চর্বিযুক্ত দেখায় এবং এটি ওজন করে</t>
  </si>
  <si>
    <t>তাপমাত্রা ধীরে ধীরে কমে</t>
  </si>
  <si>
    <t>কাপগুলোর গঠন সাধারণ কোনো বিশেষ ডিজাইন নেই</t>
  </si>
  <si>
    <t>ছবি এবং ভিডিওগুলির জন্য নিখুঁত</t>
  </si>
  <si>
    <t>বয়স অনুযায়ী রঙ রয়েছে তবে রঙ পছন্দের সুযোগ নেই</t>
  </si>
  <si>
    <t>ট্রাভেল জুয়েলারি অর্গানাইজারটি গহনা রাখে কিন্তু জায়গা কম</t>
  </si>
  <si>
    <t>আধুনিক এবং স্টাইলিশ ডিজাইন</t>
  </si>
  <si>
    <t>এই কফি মেশিনের অপারেশন খুব সহজ এবং কার্যকর</t>
  </si>
  <si>
    <t>এর কেবলটি বেশ শক্ত এবং দীর্ঘস্থায়ী</t>
  </si>
  <si>
    <t>খোলা পাত্র সম্ভাব্য স্বাস্থ্যবিধি সমস্যা</t>
  </si>
  <si>
    <t>ব্রাশের আকার ও আকৃতি কর্নারের পক্ষপাতগুলিতেও পৌঁছাতে সাহায্য করে</t>
  </si>
  <si>
    <t>ভাল এটি ক্রয় মূল্য</t>
  </si>
  <si>
    <t>ইলেকট্রনিক নেইল ফাইলটি নখ ঘষে তবে আওয়াজ বেশি করে</t>
  </si>
  <si>
    <t>খাবারের গন্ধ আটকায় না যা কিছু ক্ষেত্রে সমস্যা তৈরি করে</t>
  </si>
  <si>
    <t>ভ্রু জেলটি খুব বেশি সর্দি এটি নিয়ন্ত্রণ করা কঠিন করে তোলে এবং এর ফলে ভ্রু অগোছালো হয়</t>
  </si>
  <si>
    <t>অসন্তোষজনক শব্দ গুণমান এবং সংযোগ</t>
  </si>
  <si>
    <t>ঠিক আছে প্রাককিশোরীদের জন্য উপহার</t>
  </si>
  <si>
    <t>বাড়িকে সুন্দর দেখায় তবে অতিরিক্ত নয়</t>
  </si>
  <si>
    <t>বেবি বিবের ভেলক্রো ক্লোজার দুর্বল যার ফলে এটি সহজে পূর্বাবস্থায় ফিরে আসে</t>
  </si>
  <si>
    <t>পেরেক অপূর্ণতা আবরণ মনে হয়েছে</t>
  </si>
  <si>
    <t>এই ট্যাবলেটটি পড়াশোনার জন্য আদর্শ</t>
  </si>
  <si>
    <t>একেবারে নিখুঁত একটি শিল্পকর্ম</t>
  </si>
  <si>
    <t>ব্যবহারের পর ধীরে ধীরে ঠান্ডা হয়</t>
  </si>
  <si>
    <t>আমি অংশগ্রহণ করতে কিছুটা  আগ্রহী ছিলাম</t>
  </si>
  <si>
    <t>হিমায়িত বুরিটোটির টর্টিলা স্যাজি ছিল এবং স্বাদটি ফ্রিজার বার্নের মতো লাগছিল</t>
  </si>
  <si>
    <t>এটি খুবই প্রতিফলিত এবং মূল্যবান মনে হয়</t>
  </si>
  <si>
    <t>প্রথম দিকে ভালো পরে কিছু সমস্যা হয়েছে</t>
  </si>
  <si>
    <t>আমি যখনই এই কানের দুলগুলো পরি তখনই কেউ না কেউ কমপ্লিমেন্ট করে</t>
  </si>
  <si>
    <t>ঘড়ির স্ট্র্যাপটি অনেক আরামদায়ক</t>
  </si>
  <si>
    <t>বেশ ভাল তবে আরাম উষ্ণতা বা চেহারার দিক থেকে ব্যতিক্রমী নয়</t>
  </si>
  <si>
    <t>সৌরচালিত বাগানের আলো ঠিকমতো চার্জ হয় না কয়েক ঘণ্টা পর ম্লান হয়ে যায়</t>
  </si>
  <si>
    <t>রান্নাঘরের ছুরি সেটের ব্লেডগুলি মাত্র কয়েকটি ব্যবহারের পরে নিস্তেজ হয়ে যায় যার জন্য ক্রমাগত ধারালো করা প্রয়োজন</t>
  </si>
  <si>
    <t>নতুন ল্যাপটপটি পড়াশোনার জন্য উপযুক্ত</t>
  </si>
  <si>
    <t>কিনারগুলো মোটামুটি নিরাপদ</t>
  </si>
  <si>
    <t>সুন্দর এবং মহান মানের কিছু সীমাবদ্ধতা সঙ্গে</t>
  </si>
  <si>
    <t>আনারসের মান কিছুটা কম</t>
  </si>
  <si>
    <t>মোবাইলটির ব্যাটারি লাইফটাইম অনেক দীর্ঘ</t>
  </si>
  <si>
    <t>এটি কাজ করে কিন্তু কোনো অতিরিক্ত বৈশিষ্ট্য নেই</t>
  </si>
  <si>
    <t xml:space="preserve">  ধোয়া আমার ত্বক শুকিয়ে এবং এটি চুলকানি করা</t>
  </si>
  <si>
    <t xml:space="preserve"> দাম অনুযায়ী প্রোডাক্টের মান খুব ভালো সাউন্ড কোয়ালিটিতে খুশি</t>
  </si>
  <si>
    <t>আমাদের ক্লাসে সবার মধ্যে ভাল সম্পর্ক রয়েছে</t>
  </si>
  <si>
    <t>বেশ সুস্বাদু তবে তীব্র</t>
  </si>
  <si>
    <t>দুর্বল তাপ অপচয় অকার্যকর কুলিং</t>
  </si>
  <si>
    <t>ফুলটি আমার ঘরে একটি শান্ত পরিবেশ সৃষ্টি করেছে</t>
  </si>
  <si>
    <t>বইটি পড়ে ভালো লেগেছে কিন্তু এটি প্রত্যাশা পুরোপুরি পূরণ করেনি</t>
  </si>
  <si>
    <t>টাকার জন্য দারুণদারুণ কাজ করে</t>
  </si>
  <si>
    <t>ড্রয়ার খোলা এবং বন্ধ করা একটু কঠিন</t>
  </si>
  <si>
    <t xml:space="preserve">অনেক অনেক ধন্যবাদ </t>
  </si>
  <si>
    <t>ওভেন মিটটি সময়মতো কাজ করে তবে ব্যাটারি দ্রুত শেষ হয়</t>
  </si>
  <si>
    <t>এটি শরীরের পানির পরিমাণ নিয়ন্ত্রণ করে</t>
  </si>
  <si>
    <t xml:space="preserve">দারুণ  দ্বিতীয়টি কিনেছিমিস করবেন না প্রোডাক্টটি </t>
  </si>
  <si>
    <t>লিপস্টিক একটি অদ্ভুত রাসায়নিক স্বাদ আছে এবং অপ্রীতিকর গন্ধ আছে</t>
  </si>
  <si>
    <t>খুব ভালো আমি সন্তুষ্ট</t>
  </si>
  <si>
    <t>জলাশয়ের আকার যথেষ্ট বড়</t>
  </si>
  <si>
    <t>এই সেটের বালিশগুলি পরিপূর্ণ সমর্থন প্রদান করে আমার ঘাড় ও কাঁধের ব্যথা অনেকটাই কমে গেছে</t>
  </si>
  <si>
    <t>বৃষ্টির শব্দ ছাতায় পড়লে একটা মধুর অনভূতি হয়</t>
  </si>
  <si>
    <t>অটোমেটিক ফাংশনটি মোটামুটি কার্যকর</t>
  </si>
  <si>
    <t>ফ্রিজারে রাখা যায় কিন্তু অত্যধিক ঠান্ডায় বিকৃত হতে পারে</t>
  </si>
  <si>
    <t>বিজ্ঞাপনের মতো সুগন্ধিমুক্ত নয় পন্ডের কোল্ড ক্রিমের মতো গন্ধ</t>
  </si>
  <si>
    <t>গন্ধটা ভালো তবে পানীয়টা একটু অস্বাভাবিক</t>
  </si>
  <si>
    <t>দামে সাশ্রয়ী হলেও কার্যকারিতা সেভাবে আশা মতো ছিল না</t>
  </si>
  <si>
    <t>এটি আধুনিক লুক দেয় তবে অতি আধুনিক নয়</t>
  </si>
  <si>
    <t>সব আইটেম একসাথে কেনা যায় কিন্তু দাম একটু বেশি</t>
  </si>
  <si>
    <t>প্যাকেজিং অত্যধিক ছিল মোড়ানো এবং প্যাডিংয়ের অপ্রয়োজনীয় স্তর সহ</t>
  </si>
  <si>
    <t>ঘড়িটির সামগ্রী উচ্চমানের</t>
  </si>
  <si>
    <t>আগমনের পরে পেইন্ট টিউবগুলি শুকিয়ে গেছে</t>
  </si>
  <si>
    <t>হেডফোনের মাইক্রোফোনটি খুব স্পষ্ট এবং কার্যকর</t>
  </si>
  <si>
    <t>এটি বাচ্চাদের জন্য নিরাপদ হতে পারে</t>
  </si>
  <si>
    <t>নতুন টেবিলটির ডিজাইন এবং রঙ ঘরের সঙ্গে মানানসই</t>
  </si>
  <si>
    <t>অর্থের অপচয় অনুপ্রাণিত চিত্র ক্ষীণ পুতুল</t>
  </si>
  <si>
    <t>গাছের স্বাস্থ্য উন্নত হয়েছে তবে কিছু ফুল শুকিয়ে গেছে</t>
  </si>
  <si>
    <t>জাল কিছুটা হতাশাজনক লেগেছে</t>
  </si>
  <si>
    <t>বোস সাউন্ডলিংক ফ্লেক্স ব্লুটুথ স্পিকার মাইক্রোফোন সহ পোর্টেবল স্পিকার ওয়্যারলেস ওয়াটারপ্র মিশ্র পর্যালোচনা</t>
  </si>
  <si>
    <t>দুর্দান্ত পণ্য কিন্তু কিছু অংশ খুব উজ্জ্বল নাও হতে পারে</t>
  </si>
  <si>
    <t>ওয়াটার ফিল্টারের কাজ একদম নির্ভুল</t>
  </si>
  <si>
    <t>আমার এখন ভাল কফির মানদণ্ড এটাই অন্য সব কফি এর সাথে তুলনা করি</t>
  </si>
  <si>
    <t>ভালো তবে চিনির পরিমাণ কম হওয়া উচিত ছিল</t>
  </si>
  <si>
    <t>ফ্যাব্রিকের কঠিনতা সহজলভ্য ও মুক্ত চলার বিরুদ্ধে বাধা প্রদান করে</t>
  </si>
  <si>
    <t>প্রত্যাশার চেয়ে বড় তবে এটি সকল ক্ষেত্রে উপযোগী নয়</t>
  </si>
  <si>
    <t>ব্যাগের মেটিরিয়াল বায়োডিগ্রেডেবল</t>
  </si>
  <si>
    <t>মোবাইলটির স্পিকার কোয়ালিটি অসাধারণ</t>
  </si>
  <si>
    <t>নতুন এবং পেশাদার উভয়ের জন্য উপযুক্ত</t>
  </si>
  <si>
    <t xml:space="preserve"> গাড়ির সিটের স্ট্র্যাপগুলি সামঞ্জস্য করা কঠিন এটি শিশুকে সঠিকভাবে সুরক্ষিত করা কঠিন করে তোলে</t>
  </si>
  <si>
    <t>ধোয়ার পর কিছুটা সংকুচিত হয়েছে তবে এখনও ব্যবহারযোগ্য</t>
  </si>
  <si>
    <t>হ্যাঙ্গারগুলো কাপড় ধরে রাখে কিন্তু প্লাস্টিকের মান ভালো নয়</t>
  </si>
  <si>
    <t>ফ্যানটি খুব ভাল কাজ করে সর্বদা</t>
  </si>
  <si>
    <t>দৃষ্টান্তে সজীবতার অভাব নিস্তেজ এবং অনুপ্রাণিত</t>
  </si>
  <si>
    <t>ওয়ালমাউন্টটি টিভি স্থাপন করার জন্য খুবই কার্যকর</t>
  </si>
  <si>
    <t xml:space="preserve">মিস করবেন না প্রোডাক্টটি </t>
  </si>
  <si>
    <t>মেকআপ কিটটির প্রাইমার ত্বককে মসৃণ করে তোলে</t>
  </si>
  <si>
    <t>স্থায়ী ময়লা সমস্যা প্রতিস্থাপন সত্ত্বেও অমীমাংসিত</t>
  </si>
  <si>
    <t>এওপি  ডি এই এসএসডি পছন্দ করে</t>
  </si>
  <si>
    <t>এতে একটি ফিডব্যাক সিস্টেম আছে</t>
  </si>
  <si>
    <t>প্লেটের আকার এবং ওজন পরিবেশন করার জন্য একেবারে সঠিক</t>
  </si>
  <si>
    <t>নিরাপদ কঠিন এবং নির্ভরযোগ্য</t>
  </si>
  <si>
    <t>খুব বেশি নয় সামান্য</t>
  </si>
  <si>
    <t>ফোনের ব্যাটারি অনেকক্ষণ টিকে</t>
  </si>
  <si>
    <t>ডিভাইসটির ভয়েস রেকগনিশন খুবই সঠিক</t>
  </si>
  <si>
    <t>রেইন কোটটি পানি ঠেকায় তবে পরার সময় গরম লাগে</t>
  </si>
  <si>
    <t xml:space="preserve">  জিপারটি ত্রুটিপূর্ণ ছিল এবং আটকে যাচ্ছিল এটি লাগাতে বা খুলে ফেলা কঠিন করে তোলে</t>
  </si>
  <si>
    <t>আগমনের পরে পোশাকে দাগ বা বিবর্ণতা খুঁজে পেয়ে হতাশ যা ধোয়া সত্ত্বেও অপসারণ করা যায়নি</t>
  </si>
  <si>
    <t>জুতাগুলির রঙ মাত্র কয়েকটি পরার পরে দ্রুত বিবর্ণ হয়ে যায় তাদের নান্দনিক আবেদন হ্রাস করে</t>
  </si>
  <si>
    <t>আমি আইফোন  এবং আইপ্যাড ম জেনারেশনে কাজ করেছি তবে অ্যাপল প্লাগইন এবং কর্ড খুঁজে পাওয়া সহজ নয়</t>
  </si>
  <si>
    <t>একটি অদ্ভুত মানানসই ছিল কোমররেখা খুব উঁচুতে বসেছিল এবং স্কার্টটি বিশ্রীভাবে জ্বলছিল</t>
  </si>
  <si>
    <t>নিরাপত্তা ফিচার আছে</t>
  </si>
  <si>
    <t>গোড়ালির চারপাশে প্যাডিং অপর্যাপ্ত যার ফলে ঘষা এবং জ্বালা হয়</t>
  </si>
  <si>
    <t>দুর্গন্ধ প্রতিরোধক ব্যবস্থা কিছুটা উন্নত হতে পারে</t>
  </si>
  <si>
    <t xml:space="preserve"> টি সীম বরাবর ছিঁড়ে এসেছিল এটি মেরামত ছাড়াই পরিধানযোগ্য নয়</t>
  </si>
  <si>
    <t>ডিশওয়াশার সেফ তবে রঙ ফিকে হয়ে যায়</t>
  </si>
  <si>
    <t>টিনজাত স্যুপের স্বাদ মসৃণ এবং কৃত্রিম স্বাদের কোনো গভীরতা নেই</t>
  </si>
  <si>
    <t xml:space="preserve">  ক্রিমটি আমার ত্বককে যথেষ্ট ময়শ্চারাইজ করেনি</t>
  </si>
  <si>
    <t>প্রতিটি কামড়েই একটা মজার অনুভূতি হচ্ছে</t>
  </si>
  <si>
    <t>এত সুন্দর সুগন্ধি চুল ধোয়ার পর সারাদিন ভাল লাগে</t>
  </si>
  <si>
    <t>ব্যবহারের পর ধোয়া যায়</t>
  </si>
  <si>
    <t>পণ্য ক্ষতিগ্রস্ত বা ত্রুটিপূর্ণ আগত</t>
  </si>
  <si>
    <t>জোস  একটা জিনিস</t>
  </si>
  <si>
    <t>পরিবারে সবাই এটি ব্যবহার করতে পারবে আশা করা যায়</t>
  </si>
  <si>
    <t>রুম এক ঘন্টার মধ্যে গরম হয়</t>
  </si>
  <si>
    <t>অগন্ধযুক্ত হিসাবে লেবেল করা সত্ত্বেও অতিরিক্ত শক্তিশালী ঘ্রাণ মাথাব্যথা এবং অ্যালার্জির প্রতিক্রিয়া সৃষ্টি করে</t>
  </si>
  <si>
    <t>চেয়ারটির আকার এবং নকশা বসার জন্য একদম সঠিক</t>
  </si>
  <si>
    <t>ওয়্যারলেস ইয়ারবডস মোটামুটি ঠিক আছে</t>
  </si>
  <si>
    <t>এই শ্যাম্পুর সুগন্ধি খুব ভাল লাগে</t>
  </si>
  <si>
    <t>দুই মাস ব্যবহারের পরও ভালোভাবে কাজ করছে</t>
  </si>
  <si>
    <t>টুথপেস্টের স্বাদ মিন্ট জাতীয়</t>
  </si>
  <si>
    <t>সোপটির প্রতিটি ব্যবহারে ত্বক মোলায়েম হয়</t>
  </si>
  <si>
    <t>চায়ের পাত্রের হাতলটি আরামে ধরার জন্য খুব ছোট ছিল</t>
  </si>
  <si>
    <t>ক্যামেরার লেন্স মাউন্ট পরা এবং ছিঁড়ে যাওয়ার প্রবণতা যার ফলে সংযোগ ছিন্ন এবং সম্ভাব্য ক্ষতি হয়</t>
  </si>
  <si>
    <t>গন্ধটি সমতল এবং প্রাণহীন ছিল কোন স্মরণীয় বৈশিষ্ট্যের অভাব ছিল</t>
  </si>
  <si>
    <t>কম্প্রেসর খুব নিশব্দে কাজ করে বাইরে থেকে কোনো বিরক্তিকর শব্দ আসে না</t>
  </si>
  <si>
    <t>বর্ণিত হিসাবে ভাল আইটেম দ্রুত শিপিং ভালো দাম</t>
  </si>
  <si>
    <t>চুলের অবস্থার কোন উন্নতি নেই পরিবর্তে ভাঙ্গন বিভক্ত প্রান্ত এবং সামগ্রিক ক্ষতির কারণ হয়</t>
  </si>
  <si>
    <t>প্যাকেজ করা ফলের কাপে তাজা ফলের গন্ধ থেকে অনেক দূরে মশলাযুক্ত ফল এবং সিরাপী তরল থাকে</t>
  </si>
  <si>
    <t>প্রতিবার এই কফি খেয়ে আমি নতুন স্বাদ অনুভব করি</t>
  </si>
  <si>
    <t>কাপগুলিতে একটি অপ্রীতিকর গন্ধ ছিল সম্ভবত অনুপযুক্ত উত্পাদন থেকে</t>
  </si>
  <si>
    <t>অস্থিরতার কারণে ফিরে এসেছি অসন্তুষ্ট</t>
  </si>
  <si>
    <t>বিস্কুটের মধ্যে সেরা</t>
  </si>
  <si>
    <t>সর্বত্র ঝুলানো আলগা থ্রেড সঙ্গে একটি   প্রাপ্ত</t>
  </si>
  <si>
    <t>ফ্লোর ল্যাম্পটি আলো দেয় কিন্তু বেস অস্থির</t>
  </si>
  <si>
    <t>ডিজাইনটি অত্যন্ত নান্দনিক</t>
  </si>
  <si>
    <t>পরিবারের সদস্যরা গ্রহণ করেছেন</t>
  </si>
  <si>
    <t>এটি বিভিন্ন ধরনের মেকআপের জন্য ব্যবহার করা যায়</t>
  </si>
  <si>
    <t>আমি যা চেয়েছিলাম কিন্তু নিখুঁত নয়</t>
  </si>
  <si>
    <t>এটি কিছুটা ক্লাসিকের মতো</t>
  </si>
  <si>
    <t>স্মার্ট প্ল্যান্ট মনিটরটি গাছের স্বাস্থ্য পরীক্ষা করে তবে অ্যাপটি ধীর</t>
  </si>
  <si>
    <t>হেয়ার মাস্কটি ধুয়ে ফেলা কঠিন ছিল এবং আমার চুলকে ভারী বোধ করছিল</t>
  </si>
  <si>
    <t>এই বেডশীটটির মধ্যে ব্যবহৃত কাঁথা অত্যন্ত উন্নত এবং দারুণ লাগে</t>
  </si>
  <si>
    <t>যারা নরম ব্রিসল এবং ফ্রেশ ফ্লেভার পছন্দ করেন তাদের জন্য এটি ভালো হতে পারে</t>
  </si>
  <si>
    <t>নতুন কোল্ড ড্রিঙ্কটির স্বাদ অসাধারণ</t>
  </si>
  <si>
    <t>উপরের অংশটা শুকনো থাকে</t>
  </si>
  <si>
    <t>গদিটি অস্বস্তিকর এবং পর্যাপ্ত সমর্থনের অভাব ঘুমের সময় পিঠে ব্যথা এবং অস্বস্তি সৃষ্টি করে</t>
  </si>
  <si>
    <t>যতটা আশা করা হয়েছিল ততটা তীক্ষ্ণ নয়</t>
  </si>
  <si>
    <t>পকেট প্রজেক্টরটি ছবি দেখায় কিন্তু রেজোলিউশন নিম্ন</t>
  </si>
  <si>
    <t>প্লাস্টিকের ফুলটি বিভিন্ন ঋতুতে ঘর সাজাতে সাহায্য করে</t>
  </si>
  <si>
    <t>প্যাকেজে পুষ্টি তথ্য স্পষ্টভাবে দেওয়া আছে</t>
  </si>
  <si>
    <t>এই স্কার্ফটি খুবই নরম এবং আরামদায়ক</t>
  </si>
  <si>
    <t>এই ল্যাম্পটি পড়াশোনা করার জন্য একেবারে উপযুক্ত</t>
  </si>
  <si>
    <t xml:space="preserve">বেবির অনেক পছন্দ হয়েছে </t>
  </si>
  <si>
    <t>ইন্টেরিয়র ডিজাইনের জন্য পারফেক্ট</t>
  </si>
  <si>
    <t>ফ্যাব্রিক ঠিক আছে তবে রঙ হালকা</t>
  </si>
  <si>
    <t>ওয়্যারলেস চার্জিং প্যাড অতিরিক্ত গরম হয় ব্যবহার করা অনিরাপদ</t>
  </si>
  <si>
    <t>শ্যাম্পুর ব্যবহারে চুলের শুষ্কতা কমে গেছে</t>
  </si>
  <si>
    <t>আসবাবগুলোর রং আমার ঘরের ডেকোরের সাথে চমৎকারভাবে মিলেছে</t>
  </si>
  <si>
    <t>বিউটি সোপটির প্রতিটি ব্যবহারেই ত্বক সতেজ থাকে</t>
  </si>
  <si>
    <t>দীর্ঘক্ষণ ব্যবহারে কিছুটা অস্বস্তিকর হতে পারে</t>
  </si>
  <si>
    <t>কাপড়ের মান মোটামুটি তবে দাগ লেগে যেতে পারে</t>
  </si>
  <si>
    <t>পোশাকটির নকশা খুবই সুন্দর</t>
  </si>
  <si>
    <t>বাহ্যিক আবরণ সহজেই খোসা ছাড়ে অন্তর্নিহিত উপাদানটি প্রকাশ করে</t>
  </si>
  <si>
    <t>গন্ধটি খুব শক্তিশালী ছিল যে কোনও সূক্ষ্মতাকে ছাড়িয়ে যায়</t>
  </si>
  <si>
    <t>সিভার জন্য সাধারণ টুল</t>
  </si>
  <si>
    <t>মপ সংরক্ষণের জন্য হুক সরবরাহ করা হয়েছে</t>
  </si>
  <si>
    <t>ওয়্যারলেস কী ফাইন্ডারটি চাবি খুঁজে পায় তবে ব্যাটারি পরিবর্তন জটিল</t>
  </si>
  <si>
    <t>আমার প্রত্যাশা পূরণ হয়েছে</t>
  </si>
  <si>
    <t>সীল ছাড়াই পৌঁছেছে পণ্যের অবস্থা অস্পষ্ট</t>
  </si>
  <si>
    <t>সেরা পণ্য হতে পারতো</t>
  </si>
  <si>
    <t>স্থায়িত্ব খুবই দুর্বল এই জিনিসের</t>
  </si>
  <si>
    <t>উত্তম সম্পর্কে</t>
  </si>
  <si>
    <t>হেমিং নৃশংস একজন অপেশাদারের কাজের অনুরূপ</t>
  </si>
  <si>
    <t>অযোগ্য ডিজাইন বিভিন্ন অবসরের জন্য অনুপযুক্ত পোশাক সৃষ্টি করে</t>
  </si>
  <si>
    <t>এটি একটি অত্যন্ত কার্যকর এয়ার কুলার</t>
  </si>
  <si>
    <t>ব্যাটারির আয়ুষ্কাল তুলনামূলকভাবে সংক্ষিপ্ত লেগেছে</t>
  </si>
  <si>
    <t>রোদে শুকিয়ে যাওয়ার ভয় নেই সবসময় সজীব থাকে</t>
  </si>
  <si>
    <t>চার্জারটি দেখতে সুন্দর কিন্তু কিছুটা ধীর গতিতে চার্জ দেয়</t>
  </si>
  <si>
    <t>কীবোর্ড কীগুলি মসৃণ বোধ করে এবং স্পর্শকাতর প্রতিক্রিয়ার অভাব হয় যা টাইপিং গতি এবং নির্ভুলতাকে বাধা দেয়</t>
  </si>
  <si>
    <t>চায়ের সেটে দাগ এবং বিবর্ণতা এসেছে দেখতে নোংরা</t>
  </si>
  <si>
    <t>আলমারির ভিতরের তাপমাত্রা নিয়ন্ত্রণ সিস্টেম বইগুলোকে ভাল রাখে</t>
  </si>
  <si>
    <t>পেইন্টিং সেটে পরিষ্কারের জন্য যথেষ্ট দ্রাবক অন্তর্ভুক্ত ছিল না</t>
  </si>
  <si>
    <t xml:space="preserve"> কানের হুকগুলি খুব শক্ত বা খুব ঢিলেঢালা যার ফলে সেগুলি হয় কানের মধ্যে খনন করে বা কার্যকলাপের সময় পর্যাপ্ত সমর্থন প্রদান করতে ব্যর্থ হয়</t>
  </si>
  <si>
    <t>শ্যাম্পুটি আমার চুলকে শুষ্ক এবং ভঙ্গুর বোধ করে কোন চকচকে বা বাউন্স ছাড়াই</t>
  </si>
  <si>
    <t>এই কফি আমাকে মনে করিয়ে দেয় ইতালীয় ক্যাফের কথা</t>
  </si>
  <si>
    <t>ওয়ারেন্টি কভারেজ নির্দিষ্ট মাত্রার</t>
  </si>
  <si>
    <t>রঙগুলি দ্রুত শুকিয়ে যায় যা স্মিয়ারিং কমায়</t>
  </si>
  <si>
    <t>মানিব্যাগের সেলাই পূর্বাবস্থায় এসেছে যার ফলে কার্ডগুলি পড়ে গেছে</t>
  </si>
  <si>
    <t>আমাদের ক্লাসে সবসময় আনন্দের পরিবেশ থাকে</t>
  </si>
  <si>
    <t>এর অ্যান্টিব্যাকটেরিয়াল কোটিং আমার ঘরের বাতাসকে জীবাণুমুক্ত রাখে স্বাস্থ্যের জন্য খুব ভালো</t>
  </si>
  <si>
    <t>তাপ রক্ষাকারী স্প্রে আমার চুলকে আঠালো এবং চটচটে অনুভব করে</t>
  </si>
  <si>
    <t xml:space="preserve"> ভেন্ট গ্রিল ধুলো এবং ধ্বংসাবশেষে আটকে থাকে যা সঠিক বায়ুপ্রবাহকে বাধা দেয়</t>
  </si>
  <si>
    <t>এই অতিরিক্ত দামের নিম্নমানের আইটেমটি এড়িয়ে চলুন</t>
  </si>
  <si>
    <t>কষ্টকর রিফিলিং প্রক্রিয়া ধ্রুব মনোযোগ প্রয়োজন</t>
  </si>
  <si>
    <t>এটি গরম রাখে তবে তাপমাত্রা নিয়ন্ত্রণ করা কঠিন</t>
  </si>
  <si>
    <t>কুকারটি দ্রুত এবং সমানভাবে খাবার রান্না করে</t>
  </si>
  <si>
    <t>শরীরের স্ক্রাবের দানাগুলি খুব কঠোর ছিল যার ফলে লালভাব এবং জ্বালা ছিল</t>
  </si>
  <si>
    <t>যেকোনো ঘরের জন্য আদর্শ</t>
  </si>
  <si>
    <t>লিপস্টিকের রঙ অমসৃণভাবে বিবর্ণ হয়ে যায় ঠোঁটের চারপাশে রঙের আংটি রেখে যায়</t>
  </si>
  <si>
    <t>কাঁচের মান ঠিক লেগেছে</t>
  </si>
  <si>
    <t>এই মোবাইলের সাউন্ড কোয়ালিটি দারুণ</t>
  </si>
  <si>
    <t>এটি মাঝারি শীতল</t>
  </si>
  <si>
    <t>ব্রাশটি কাজ করে তবে মান তেমন ভালো নয়</t>
  </si>
  <si>
    <t>কাপের আকার একদম ঠিক চা খাওয়ার জন্য উপযুক্ত</t>
  </si>
  <si>
    <t>গুণমান শালীন ব্যতিক্রমী নয়</t>
  </si>
  <si>
    <t>সব সুন্দর রঙ ব্যতিক্রমী নয়</t>
  </si>
  <si>
    <t xml:space="preserve"> দরজার সিলটি ঢিলেঢালা যার ফলে বাষ্প বেরিয়ে যেতে পারে এবং ভিতরে আর্দ্রতা তৈরি হতে পারে</t>
  </si>
  <si>
    <t>মাউস প্যাডটি কাজ করে কিন্তু সাইজ একটু ছোট</t>
  </si>
  <si>
    <t>প্রতিটি প্যাড পৃথকভাবে মোড়ানো</t>
  </si>
  <si>
    <t>হ্যান্ড ক্রিমটি খুব বেশি সুগন্ধযুক্ত কিছু ব্যবহারকারীর মধ্যে অ্যালার্জি এবং সংবেদনশীলতা সৃষ্টি করে</t>
  </si>
  <si>
    <t>প্লাস্টিকের ফুলটি অবিশ্বাস্যরকম বাস্তবসদৃশ</t>
  </si>
  <si>
    <t>সাধারণ ডিজাইন</t>
  </si>
  <si>
    <t>আকার ঠিক আছে তবে কিছুটা অনমনীয় মনে হয়</t>
  </si>
  <si>
    <t>জিপার সঠিকভাবে বন্ধ থাকে না</t>
  </si>
  <si>
    <t>দৈনন্দিন কাজের জন্য যথেষ্ট তবে দীর্ঘস্থায়ী হবে কি না বলা কঠিন</t>
  </si>
  <si>
    <t>প্যাকেজ করা গ্রানোলা বারগুলি অত্যধিক মিষ্টি ছিল এবং কৃত্রিম স্বাদ সহ পুষ্টির মানের অভাব ছিল</t>
  </si>
  <si>
    <t>এটি আমার প্রয়োজন মেটায় তবে আমি বিশেষভাবে মুগ্ধ নই</t>
  </si>
  <si>
    <t>দাম অনুযায়ী গুণমান মোটামুটি</t>
  </si>
  <si>
    <t>একটি ভাঙা জিপার নিয়ে এসেছিল এটি মেরামত ছাড়া পরা অসম্ভব</t>
  </si>
  <si>
    <t>মেকআপ ব্রাশ নিখুঁত লুক তৈরি করে</t>
  </si>
  <si>
    <t>হেয়ারস্প্রে আমার চুলের স্টাইল ঠিক রাখে নি এবং আমার চুল কুঁচকে যায়</t>
  </si>
  <si>
    <t>পণ্যের অনেক অনেক ছোট এবং সহজেই হারিয়ে গেছে</t>
  </si>
  <si>
    <t>পোশাকটিতে আলগা সিকুইন ছিল যা সহজেই পড়ে যায় ফ্যাব্রিকের উপর টাক পড়ে যায়</t>
  </si>
  <si>
    <t xml:space="preserve">কথায় বলে বুঝানো যাবে না প্রোডাক্টটা খুবই ভালো </t>
  </si>
  <si>
    <t>ভারী প্রবাহের দিনগুলোর জন্য উপযোগী</t>
  </si>
  <si>
    <t>কোন সিল নেই পণ্য অব্যবহৃত কিনা তা নিশ্চিত নয়</t>
  </si>
  <si>
    <t>অ্যামাজন বেসিকস মাইক্রো এসডিএক্সসি ডিজিটাল স্টোরেজের আনসাং হিরো</t>
  </si>
  <si>
    <t>দ্রুত গতির দৃশ্যের সময়  স্ক্রীনে লক্ষণীয় মোশন ব্লার ছিল যা ছবির গুণমানকে প্রভাবিত করে</t>
  </si>
  <si>
    <t>প্যাকেটে কফি সংরক্ষণের নির্দেশনা দেওয়া আছে</t>
  </si>
  <si>
    <t>পোর্টেবল হওয়ায় যেখানে ইচ্ছা নিয়ে যেতে পারি পিকনিকে নিয়ে গেলে মজা দ্বিগুণ</t>
  </si>
  <si>
    <t>সবচেয়ে ভালো যে এই ডিনার সেটটি মাইক্রোওয়েভ এবং ডিশওয়াশার সেফ এটি ব্যবহার ও পরিষ্কার করা খুবই সহজ করে তুলেছে</t>
  </si>
  <si>
    <t>ডিভাইসটির স্টোরেজ ক্যাপাসিটি অনেক বেশি</t>
  </si>
  <si>
    <t>স্পাউট থেকে ক্রমাগত ফোঁটা ফোঁটা কাউন্টারটপে একটি পুঁজ তৈরি করে</t>
  </si>
  <si>
    <t>গত সপ্তাহে আমার মেয়ের জন্মদিনে এই পুতুলটি কিনেছিলাম প্রথম দেখাতেই সে মুগ্ধ হয়ে গেল</t>
  </si>
  <si>
    <t>ব্যবহারের সময় নড়াচড়া হলে জল ছিটকে যেতে পারে</t>
  </si>
  <si>
    <t>ফিল্টার খুব কার্যকর</t>
  </si>
  <si>
    <t>মপের কাপড়টি দীর্ঘস্থায়ী হতে পারে</t>
  </si>
  <si>
    <t>বোতল ভেঙে যাওয়ার ভয় আছে</t>
  </si>
  <si>
    <t>ক্রিকেট স্টাম্প হালকা কিন্তু টেকসই নয়</t>
  </si>
  <si>
    <t>এর প্যাকেজিং বেশ আকর্ষণীয়</t>
  </si>
  <si>
    <t>স্মার্ট ওয়াটার বোতলের ঢাকনার কব্জা ভেঙে গেছে ঠিকমতো বন্ধ করা যাচ্ছে না</t>
  </si>
  <si>
    <t>আমার পুরানো এয়ারপডগুলোর তুলনায় ভালো কিন্তু খুব বেশি উন্নতি নয়</t>
  </si>
  <si>
    <t>পটল ছিঁড়ে ফাটল ধরেছে যা এটিকে ব্যবহার করার অযোগ্য করেছে</t>
  </si>
  <si>
    <t>ডিজাইনটি ঐতিহ্যবাহী</t>
  </si>
  <si>
    <t>সারটি জমির জন্য উপযুক্ত তবে অন্যান্য সমস্যাগুলি এখনও রয়ে গেছে</t>
  </si>
  <si>
    <t>স্নানের বোমাগুলির রঙগুলি আমার ত্বকে দাগ ফেলেছিল যা অপসারণের জন্য স্ক্রাবিং প্রয়োজন</t>
  </si>
  <si>
    <t>প্রতি চুমুকে আমি অনুভব করি এর পিছনের পরিশ্রম ও ভালোবাসা</t>
  </si>
  <si>
    <t>কিটটির প্রতিটি প্রোডাক্ট উচ্চমানের</t>
  </si>
  <si>
    <t>কারুশিল্পের দোকানে সস্তার চেয়ে মান ভালো তবে দীর্ঘস্থায়ী নাও হতে পারে</t>
  </si>
  <si>
    <t>অসাধারণ একটি প্রোডাক্ট সবাই নিতে পারেন যেমনটা দেখেছিলাম ঠিক তেমনটাই পেয়েছি</t>
  </si>
  <si>
    <t>কুইল্টার তুলা নয় তবে সাধারণ মনে হয়েছে</t>
  </si>
  <si>
    <t>সেটের সাথে আসা প্যাকেজিং খুবই আকর্ষণীয় ছিল এটি উপহার হিসেবে দেওয়ার জন্যও উপযুক্ত</t>
  </si>
  <si>
    <t>স্বাদ মাঝারি খুব তিক্ত বা অম্ল নয়</t>
  </si>
  <si>
    <t>গাছের স্বাস্থ্য কিছুটা ভালো হলেও সারটি ফলনে খুব বেশি সাহায্য করতে পারেনি</t>
  </si>
  <si>
    <t>প্রতিটি অধ্যায় ছিল রোমাঞ্চকর</t>
  </si>
  <si>
    <t>এই ল্যাম্পের আলো খুবই কোমল এবং চোখের জন্য আরামদায়ক</t>
  </si>
  <si>
    <t>পণ্যের বিল্ড কোয়ালিটি প্রশ্নবিদ্ধ ছিল</t>
  </si>
  <si>
    <t>বিকৃত আকারটি এটি উল্টে যাওয়ার প্রবণতা তৈরি করে</t>
  </si>
  <si>
    <t>অতিরিক্ত চাপ দিলে স্ক্রিন ক্ষতিগ্রস্থ হতে পারে</t>
  </si>
  <si>
    <t>মেডিকেল পরামর্শ ছাড়া ব্যবহার করা ঠিক নয়</t>
  </si>
  <si>
    <t>যে কোনও ট্র্যাকিং ডিভাইসের সর্বোত্তম মানের এবং  দুর্দান্ত ব্যাটারি লাইফ</t>
  </si>
  <si>
    <t>পোশাকের উপাদান ক্ষতিকারক রাসায়নিক নির্গত করে যা বাড়ির ভিতরের বাতাসের গুণমান এবং স্বাস্থ্যের জন্য ঝুঁকি তৈরি করে</t>
  </si>
  <si>
    <t>টাচস্ক্রিন মাঝে মাঝে প্রতিক্রিয়াশীল নয় ইনপুট নিবন্ধন করতে একাধিক ট্যাপ প্রয়োজন</t>
  </si>
  <si>
    <t>অন্য ব্র্যান্ডের তুলনায় কিছুটা কম দাম</t>
  </si>
  <si>
    <t>পণ্যের আকার বা মাত্রা ব্যবহারিক ব্যবহারের জন্য অসুবিধাজনক ছিল</t>
  </si>
  <si>
    <t>এটি সাধারণ একটি শার্পনার বলে মনে হচ্ছে</t>
  </si>
  <si>
    <t>নোংরা খরগোশ আবার আঘাত করে ময়লা বা ধুলোয় ঢাকা</t>
  </si>
  <si>
    <t>ওয়্যারলেস ইয়ারবাডের চার্জিং কেস ইয়ারবাডগুলিকে ধারাবাহিকভাবে চার্জ করতে ব্যর্থ হয়েছে৷</t>
  </si>
  <si>
    <t>নরমতা এবং কোমলতার জন্য এটি অসাধারণ</t>
  </si>
  <si>
    <t>কিছু পরার পর সহজেই ফ্যাব্রিক বড়ি</t>
  </si>
  <si>
    <t>পেইন্টের রঙগুলির একটি দানাদার টেক্সচার ছিল যা মসৃণ প্রয়োগকে প্রভাবিত করে</t>
  </si>
  <si>
    <t>প্যাকেজ করা গুয়াকামোলের একটি কৃত্রিম স্বাদ ছিল এবং একটি পাতলা টেক্সচার সহ ঘরে তৈরির সতেজতার অভাব ছিল</t>
  </si>
  <si>
    <t>শাওয়ার জেলের বোতলটি ফাটল এবং ফাঁস হয়ে গেছে পণ্য নষ্ট করে এবং একটি বিশৃঙ্খলা সৃষ্টি করে</t>
  </si>
  <si>
    <t>উচ্চ ভলিউমেও কোনো ডিসটরশন নেই খুব পরিষ্কার শব্দ পাওয়া যায়</t>
  </si>
  <si>
    <t>দামের তুলনায় এর গুণগত মান অনেক বেশি একটি সুন্দর বিনিয়োগ বলে মনে করি</t>
  </si>
  <si>
    <t>প্রতিবার দেখলে নতুন কিছু খুঁজে পাওয়া যায়</t>
  </si>
  <si>
    <t>ডেলিভারি ম্যান অনেক ভালো ছিল সময়মতো প্রোডাক্ট ডেলিভারি দিয়েছেন ডেলিভারি সার্ভিস খুবই সন্তোষজনক</t>
  </si>
  <si>
    <t>ব্যাগটি অনেক বড় অনেক কিছু রাখতে পারবেন তাই আপনারা চাইলে এখান থেকে নিতে পারেন</t>
  </si>
  <si>
    <t>হেয়ার জেল চুলে নমনীয় হোল্ডের পরিবর্তে একটি কুঁচকানো শক্ত টেক্সচার ছেড়ে দেয়</t>
  </si>
  <si>
    <t>আমার রিংটি এখন পুরোপুরি ফিট করে তবে কিছু সাইজার ভুল ছিল</t>
  </si>
  <si>
    <t xml:space="preserve"> প্রোডাক্টটা অনেক ভালো ব্যাটারি ব্যাকআপও চমৎকার একদম প্রিমিয়াম ফিল</t>
  </si>
  <si>
    <t>এটি ব্যবহার করা যায় তবে অতিরিক্ত সুবিধা নেই</t>
  </si>
  <si>
    <t>বিভিন্ন সংখ্যা শেখায় কিন্তু সীমিত সংখ্যক</t>
  </si>
  <si>
    <t>দামের জন্য দুর্দান্ত ক্যামেরা</t>
  </si>
  <si>
    <t>স্মার্ট কিউ কার্ড রিডার তার ওজনের উপরে পাঞ্চ করে অনেক ভাল আপনারা নিতে পারেন</t>
  </si>
  <si>
    <t>ব্রাশের হ্যান্ডেলে ব্র্যান্ড নাম লেখা</t>
  </si>
  <si>
    <t>ঘরে প্রকৃতির সান্নিধ্য আনে</t>
  </si>
  <si>
    <t>দামের তুলনায় এর মান অসাধারণ এটি একটি দীর্ঘস্থায়ী বিনিয়োগ যা আমি বছরের পর বছর ব্যবহার করতে পারব</t>
  </si>
  <si>
    <t>স্পিকার ব্যবহার করে আমার বাড়িতে একটি মিনি কনসার্ট হল তৈরি হয়েছে</t>
  </si>
  <si>
    <t>ডিভাইসটির ব্যাটারি চার্জিং স্পিড অত্যন্ত দ্রুত</t>
  </si>
  <si>
    <t>গ্রীষ্মের রোদেও এটি ব্যবহার করি  ইউভি রশ্মি থেকে সুরক্ষা পাই</t>
  </si>
  <si>
    <t xml:space="preserve"> বিল্ড কোয়ালিটি সাবপার সস্তা   উপকরণ যা ভঙ্গুর এবং ভাঙার প্রবণতা অনুভব করে</t>
  </si>
  <si>
    <t>ফ্যাব্রিক মধ্যে গর্ত বা  স্ন্যাগস পাওয়া গেছে</t>
  </si>
  <si>
    <t>অর্থের জন্য ভালো হেডফোন অসাধারণ নয়</t>
  </si>
  <si>
    <t>হোম প্রিন্টারসহজ নিখুঁত এবং দ্রুত</t>
  </si>
  <si>
    <t>ছোট ছোট আইটেমগুলো কাজটি কিছুটা নির্ভরযোগ্যভাবে করে না</t>
  </si>
  <si>
    <t>মিষ্টি ভালো তবে খানিকটা ভারী</t>
  </si>
  <si>
    <t>এটি এত জনপ্রিয় হয়েছে যে আমার মেয়ের বন্ধুরাও এখন এরকম পুতুল চায়</t>
  </si>
  <si>
    <t>বিভিন্ন গন্ধ পাওয়া যায় তবে কিছুটা কৃত্রিম মনে হতে পারে</t>
  </si>
  <si>
    <t>চায়ের পাত্রের হাতলটি খারাপভাবে সংযুক্ত ছিল তোলার সময় টলমল করছিল</t>
  </si>
  <si>
    <t>সারা বছর ধরে অম্লান সৌন্দর্যের অধিকারী</t>
  </si>
  <si>
    <t>স্থানান্তরগুলি প্রত্যাশার চেয়ে ধীর বিশেষ করে বড় ফাইলগুলির জন্য</t>
  </si>
  <si>
    <t>এর স্বাদ এখনো মুখে লেগে আছে</t>
  </si>
  <si>
    <t>ব্যবহারের সময় নড়াচড়া করলে পানি সরে যায়</t>
  </si>
  <si>
    <t>আমার কাজটি খুব দরকারী</t>
  </si>
  <si>
    <t>জিনিসের দাম অত্যধিক</t>
  </si>
  <si>
    <t>আমার ছোট ফ্ল্যাটে এই স্পিকার দিয়ে সম্পূর্ণ সারাউন্ড সাউন্ড অনুভব করি</t>
  </si>
  <si>
    <t>চায়ের ঢাকনাটি খুব শক্ত ছিল সরানো কঠিন</t>
  </si>
  <si>
    <t>এটি অতিরিক্ত গরম হয়ে যায় না</t>
  </si>
  <si>
    <t>ডিজেআই মিনি  প্রো এনডি ফিল্টার সেট এনডি  অনেক ভাল কাজ করছে</t>
  </si>
  <si>
    <t>তাজা ভাজা হওয়া সত্ত্বেও কফির স্বাদ বাসি</t>
  </si>
  <si>
    <t>দাম অনুযায়ী গুণমান ভালো তবে স্বাদে কিছুটা তীব্র</t>
  </si>
  <si>
    <t>প্যাটার্নটি সিমগুলিতে সঠিকভাবে লাইন আপ করে না যার ফলে একটি ঢালু এবং অব্যবসায়ী চেহারা হয়</t>
  </si>
  <si>
    <t>মেকআপ ব্রাশ বিভিন্ন স্টাইলে পাওয়া যায়</t>
  </si>
  <si>
    <t>পণ্যটি ভালো কিছু সীমাবদ্ধতা আছে</t>
  </si>
  <si>
    <t>ডিজাইন ভালো তবে সাইজ বড় এসেছে</t>
  </si>
  <si>
    <t>বক্সযুক্ত প্যানকেক মিশ্রণটি ঘন স্বাদহীন প্যানকেক তৈরি করে যেগুলিতে ঘরে তৈরি করা হালকাতার অভাব ছিল</t>
  </si>
  <si>
    <t xml:space="preserve">  ওয়াশ আমার ত্বক শুকিয়ে গেছে এবং এটিকে টানটান বোধ করেছে</t>
  </si>
  <si>
    <t>ওয়াইফাইসংযোগ অবিশ্বস্ত ঘন ঘন সিগন্যাল ড্রপ করে এবং ম্যানুয়াল পুনসংযোগের প্রয়োজন হয়</t>
  </si>
  <si>
    <t>কফির গুণমান দেখে আমি অবাক দামের তুলনায় অনেক ভালো</t>
  </si>
  <si>
    <t>ঘরের মেজাজ পরিবর্তন করতে সহায়ক</t>
  </si>
  <si>
    <t>পাত্রগুলির উপরের অংশ এতটাই মসৃণ যে আমি কাঁটাচামচ ও ছুরি ব্যবহার করার সময় কোনও আওয়াজ শুনি না</t>
  </si>
  <si>
    <t>ব্রাশটি ব্যবহারযোগ্য তবে নিখুঁত নয়</t>
  </si>
  <si>
    <t>মপটি কোণে কিছুটা প্রবেশ করতে পারবে</t>
  </si>
  <si>
    <t>মেকআপ ব্রাশ ত্বকের রঙের সাথে মিশে যায়</t>
  </si>
  <si>
    <t>হেমিং খারাপভাবে কার্যকর করা হয় অসম দৈর্ঘ্য এবং দৃশ্যমান সেলাই যা পোশাকের সামগ্রিক চেহারা থেকে বিঘ্নিত হয়</t>
  </si>
  <si>
    <t>দীর্ঘস্থায়ী হওয়ায় পরিবেশবান্ধব</t>
  </si>
  <si>
    <t>বালিশগুলির ওজন ঠিক সঠিক এগুলি হালকা কিন্তু একই সাথে পর্যাপ্ত সমর্থন দেয়</t>
  </si>
  <si>
    <t>বালিশগুলির উপরের অংশ এমনভাবে তৈরি করা হয়েছে যে এগুলি সহজেই ময়লা হয় না</t>
  </si>
  <si>
    <t xml:space="preserve"> রিমোট কন্ট্রোলে একটি অপ্রতিক্রিয়াশীল টাচপ্যাড ছিল যা নেভিগেশনকে কঠিন করে তোলে</t>
  </si>
  <si>
    <t>খাবার সংরক্ষণের জন্য ব্যবহার করা যায় তবে তাজা রাখার ক্ষমতা সীমিত</t>
  </si>
  <si>
    <t xml:space="preserve">খুব মুগ্ধদারুণ কাজ করে out of  দাওয়া যায় </t>
  </si>
  <si>
    <t>এর আল্ট্রাথিন ডিজাইন খুবই সুবিধাজনক যা পরিধান করার সময় একেবারে বোঝা যায় না</t>
  </si>
  <si>
    <t>বন্ধুরা লক্ষ্য করেছে তবে মুগ্ধ হয়নি</t>
  </si>
  <si>
    <t>জগাখিচুড়ি জিনিসজ তেমন ভালো লাগে নাই তবে অনেক ঘুরার জায়গা আছে</t>
  </si>
  <si>
    <t>আমার নতুন ছাতাটি ব্যবহার করে আমি মুগ্ধ এর উজ্জ্বল রঙ মেঘলা দিনেও মনে আনন্দ ছড়ায়</t>
  </si>
  <si>
    <t>দাম মোটামুটি ঠিক আছে তবে মান আরও ভালো হতে পারত</t>
  </si>
  <si>
    <t>সহজ উজ্জ্বল কিন্তু সবসময় কাজ করে না</t>
  </si>
  <si>
    <t>প্যাকেজিং মটরশুটিগুলিকে আলো এবং বাতাস থেকে রক্ষা করেনি যার ফলে নষ্ট হয়ে যায়</t>
  </si>
  <si>
    <t>চাপাতার সিরামিকটি অসমভাবে চকচকে ছিল খালি মাটির প্যাচ দিয়ে</t>
  </si>
  <si>
    <t>অব্যবহারিক নকশা যা চলাচল এবং কার্যকারিতা সীমিত করে</t>
  </si>
  <si>
    <t>অভ্যন্তরীণ অংশগুলি খারাপভাবে স্থাপন করা হয় যার ফলে স্থানের অদক্ষ ব্যবহার হয়</t>
  </si>
  <si>
    <t>কম্পিউটার মনিটরে ব্যবহার করা যেতে পারে</t>
  </si>
  <si>
    <t>ডাম্বেল গ্রিপ ভালো কিন্তু রাবার দ্রুত খুলে যায়</t>
  </si>
  <si>
    <t>অগ্রহণযোগ্য স্থায়িত্ব চলমান সমস্যা</t>
  </si>
  <si>
    <t xml:space="preserve"> সফ্টওয়্যার আপডেটগুলি রোল আউট করার জন্য ধীরগতির এটি নিরাপত্তার হুমকি এবং কর্মক্ষমতা সংক্রান্ত সমস্যাগুলির জন্য ঝুঁকিপূর্ণ রেখে৷</t>
  </si>
  <si>
    <t>এটি পরিষ্কার করা সহজ কিন্তু শুকনো রাখা কঠিন</t>
  </si>
  <si>
    <t>ব্যাটারি লাইফ ভালো তবে ব্যতিক্রমী নয়</t>
  </si>
  <si>
    <t>ঢাকনাটি কিছুটা খোলার জন্য কঠিন</t>
  </si>
  <si>
    <t>আমি যা চাচ্ছিলাম তা পাইনি কিন্তু ভাল লেগেছে</t>
  </si>
  <si>
    <t>এসিটির ফ্যান স্পিড অ্যাডজাস্ট করা খুব সহজ আমি এখন আমার পছন্দমতো বাতাসের প্রবাহ পাই</t>
  </si>
  <si>
    <t>ক্যামেরার নির্মাণ সস্তা এবং ক্ষীণ স্থায়িত্বের অভাব অনুভব করে</t>
  </si>
  <si>
    <t>একটি অপ্রীতিকর রাসায়নিক গন্ধ সঙ্গে একটি   প্রাপ্ত subpar উপকরণ এবং দরিদ্র উত্পাদন প্রক্রিয়া ইঙ্গিত</t>
  </si>
  <si>
    <t>বেশ ভালো স্বাদ তবে কনসেন্ট্রেটের পরিমাণ আরও বাড়ালে ভালো হতো</t>
  </si>
  <si>
    <t xml:space="preserve"> দরজা খোলা কঠিন এটি খোলার জন্য অতিরিক্ত শক্তি প্রয়োজন</t>
  </si>
  <si>
    <t>চমৎকার উপহার</t>
  </si>
  <si>
    <t>লিপ বামে মেনথল থাকে যা শীতল অনুভূতি সৃষ্টি করে কিন্তু সংবেদনশীল ঠোঁটের জন্য বিরক্তিকর হতে পারে</t>
  </si>
  <si>
    <t>সাদা মাটা</t>
  </si>
  <si>
    <t>সোপটি ত্বকের শুষ্কতা কমায়</t>
  </si>
  <si>
    <t>চালানো সহজ এবং সুবিধাজনক</t>
  </si>
  <si>
    <t>দীর্ঘস্থায়ী ব্যবহারে বিশেষ সুবিধা দেখা যায় না</t>
  </si>
  <si>
    <t>প্যাকেটটিতে যথেষ্ট সংখ্যক প্যাড রয়েছে</t>
  </si>
  <si>
    <t>গুণমান সাধারণ এবং ফিটটি সাধারণ</t>
  </si>
  <si>
    <t>খুব চিত্তাকর্ষক</t>
  </si>
  <si>
    <t>সুন্দর এবং মোটামুটি ভালো মানের</t>
  </si>
  <si>
    <t xml:space="preserve"> কন্ট্রোল প্যানেল স্পর্শ করার জন্য প্রতিক্রিয়াশীল নয় সক্রিয় করার জন্য অতিরিক্ত চাপের প্রয়োজন</t>
  </si>
  <si>
    <t>পণ্যটি চুলের গঠন এবং চকচকে উন্নতির দাবি মেনে চলে না</t>
  </si>
  <si>
    <t>দাম অনুযায়ী ল্যাপটপটি অনেক ভালো সম্পূর্ণ সন্তুষ্ট প্রোডাক্টটির মূল্যের তুলনায় এর পারফরম্যান্স সত্যিই চমৎকার</t>
  </si>
  <si>
    <t>স্বাদ মন্দ না তবে কৃত্রিম গন্ধ ছিল</t>
  </si>
  <si>
    <t>ফুলটি আমার ঘরে একটি রোমান্টিক মেজাজ সৃষ্টি করেছে</t>
  </si>
  <si>
    <t>সুগন্ধটি অত্যধিক সুগন্ধিযুক্ত ছিল চা পাতার প্রাকৃতিক ঘ্রাণকে মাস্ক করে</t>
  </si>
  <si>
    <t>অ্যাঙ্কার সাউন্ডকোর লাইফ কিউ ঠিক আছে দামের কথা চিন্তা করলে অসাধারণ না</t>
  </si>
  <si>
    <t>সেলাই ঠিকঠাক কিছু জায়গায় আরও শক্ত হওয়া উচিত</t>
  </si>
  <si>
    <t>ত্বকের ব্যাকটেরিয়া দূর করে এই বডি ওয়াশ</t>
  </si>
  <si>
    <t>আলমারির রং আমার ঘরের অন্যান্য আসবাবপত্রের সাথে চমৎকারভাবে মানানসই</t>
  </si>
  <si>
    <t xml:space="preserve">  কুয়াশা একটি সস্তা কৃত্রিম ঘ্রাণ ছিল যে আমি দাঁড়াতে পারে না</t>
  </si>
  <si>
    <t>চায় একটি ধাতব আফটারটেস্ট ছিল সম্ভবত অনুপযুক্ত চোলাই সরঞ্জামের কারণে</t>
  </si>
  <si>
    <t xml:space="preserve">প্রোডাক্টটি খুবই সুন্দর এবং ভালোগ্রেট পণ্যখুব সুন্দরসেরা </t>
  </si>
  <si>
    <t>ভাল দেখাচ্ছে ভাল কাজ করে দ্বিতীয়টি কিনবে</t>
  </si>
  <si>
    <t>শাওয়ারে   তেল ধুয়ে ফেলা কঠিন ছিল</t>
  </si>
  <si>
    <t>আমি পারসোনালি সাজেস্ট করছিআপনারা নিতে পারেন ব্যাকগ্রাউন্ড নয়েজ অনেক স্মোথভাবে রিমোভ করে</t>
  </si>
  <si>
    <t>দ্রুত চার্জিং ক্ষমতা আমার খুব ভালো লেগেছে</t>
  </si>
  <si>
    <t>উচ্চ মূল্যের সাথে সামান্য গুণমান এবং ডিজাইনের ত্রুটির সাথে সাম্প্রতিকতম সাথে মেল নেই</t>
  </si>
  <si>
    <t>কিটঅন্তর্ভুক্ত কর্ডের চেয়ে কিছুটা ভাল</t>
  </si>
  <si>
    <t>স্বাদ ঠিক তবে কিছুটা ভারী</t>
  </si>
  <si>
    <t>মানের উদ্বেগ স্থায়িত্বের অভাব</t>
  </si>
  <si>
    <t>টিনজাত ফলের একটি ধাতব স্বাদ ছিল যা নিম্নমানের নির্দেশ করে</t>
  </si>
  <si>
    <t>প্যাকেজ করা তাত্ক্ষণিক ওটমিলের একটি পেস্টি টেক্সচার এবং অত্যধিক মিষ্টি গন্ধ ছিল বাড়িতে তৈরি ওটসের আন্তরিকতার অভাব ছিল</t>
  </si>
  <si>
    <t>রঙটি বেশিদিন টিকে</t>
  </si>
  <si>
    <t>কাজটি করার জন্য ভালো ধারণা লাগবে</t>
  </si>
  <si>
    <t>এটি সহজে পরিষ্কার করা যায়</t>
  </si>
  <si>
    <t>এই শ্যাম্পুর ব্যবহার চুলের শুষ্কতা কমায়</t>
  </si>
  <si>
    <t>পোর্টেবল ইংক জেট প্রিন্টার টেস্টারটি কার্ট্রিজ পরীক্ষা করে তবে ডিসপ্লে ছোট</t>
  </si>
  <si>
    <t>টিভির রিমোটটি ব্যবহার করা অনেক সহজ</t>
  </si>
  <si>
    <t>ঠিক আছে মোজা অসাধারণ নয়</t>
  </si>
  <si>
    <t xml:space="preserve"> অভ্যন্তরীণ আলো কেনার পরপরই কাজ করা বন্ধ করে দেয় যার ফলে ভিতরে দেখতে অসুবিধা হয়</t>
  </si>
  <si>
    <t>ছেলেটি দৌড় প্রতিযোগিতায় প্রথম স্থান অর্জন করেছে</t>
  </si>
  <si>
    <t>কিছু সীমাবদ্ধতা সহ দুর্দান্ত কাজ করে</t>
  </si>
  <si>
    <t>চুল পড়া অনেক কমে গেছে এই শ্যাম্পুর ব্যবহারে</t>
  </si>
  <si>
    <t>ড্রাই র্যাকটি কাপড় শুকোনোর কাজে লাগে তবে এটি বেশি স্থান নেয়</t>
  </si>
  <si>
    <t xml:space="preserve"> ব্লুটুথ কানেক্টিভিটি অবিশ্বস্ত ঘন ঘন সংযোগ বাদ দেয় বা প্লেব্যাকের সময় লেটেন্সি সমস্যার সম্মুখীন হয়</t>
  </si>
  <si>
    <t xml:space="preserve"> ফ্যাব্রিক ত্বকের বিরুদ্ধে রুক্ষ এবং চুলকানি অনুভূত হয় যখন পরিধান করা হয় তখন অস্বস্তি এবং জ্বালা সৃষ্টি করে</t>
  </si>
  <si>
    <t>খেলনা অনেক ভাল হয়েছে বাচ্চার ভাল লেগেছে</t>
  </si>
  <si>
    <t>শিশুটি প্রতিদিন সকালে তার দাদার সাথে হাঁটতে যায়</t>
  </si>
  <si>
    <t>মপের কাপড়টি ভালোভাবে পানি ধরে রাখতে পারে মনে হয়</t>
  </si>
  <si>
    <t>অবিশ্বস্ত ক্লোজার মেকানিজম বিষয়বস্তু সুরক্ষিত রাখতে ব্যর্থ হয়</t>
  </si>
  <si>
    <t>হেয়ারস্প্রে আমার চুলের স্টাইল ঠিক রাখে নি এবং আমার চুল শক্ত হয়ে গেছে</t>
  </si>
  <si>
    <t>ডিজাইনটা বেশ সুন্দর তবে কাপড়টা একটু পাতলা</t>
  </si>
  <si>
    <t>পরলে আমি নিজেকে অনেক বেশি আকর্ষণীয় মনে করি</t>
  </si>
  <si>
    <t xml:space="preserve">পন্যটা কিছুটা কার্যকর আমি যেমন ভাবেছিলাম তেমন মটেও না </t>
  </si>
  <si>
    <t xml:space="preserve">  সিরাম আঠালো অনুভূত এবং সঠিকভাবে শোষণ না</t>
  </si>
  <si>
    <t>হালকা এবং আরামদায়ক</t>
  </si>
  <si>
    <t>প্রতিটি পাওয়ার সাইকেলের পরে  ছবি সেটিংস ডিফল্টে রিসেট হয়ে যায় যার জন্য ধ্রুবক পুনর্বিন্যাস প্রয়োজন</t>
  </si>
  <si>
    <t>অশ্রু এবং দাগ সহ একটি   পেয়েছি একেবারে হতাশাজনক</t>
  </si>
  <si>
    <t>খেলনার চাকাগুলো মসৃণভাবে ঘুরতে পারেনি সহজেই আটকে যায়</t>
  </si>
  <si>
    <t>পোশাকটির ভাঁজ সহজে পড়ে না</t>
  </si>
  <si>
    <t>রঙ পরিবর্তন কিছুটা ধীরগতির</t>
  </si>
  <si>
    <t>এর মসৃণ নকশা থাকা সত্ত্বেও ডিভাইসটি তার দ্রুত এবং দক্ষ কর্মক্ষমতার প্রতিশ্রুতি দিতে ব্যর্থ হয়েছে আমাকে হতাশ এবং হতাশ করেছে</t>
  </si>
  <si>
    <t>আমি এই কানের দুলগুলো পরে অফিসে যাই এবং সহকর্মীরা প্রশংসা করে</t>
  </si>
  <si>
    <t>স্কুলের নতুন খেলাধুলার সরঞ্জামগুলি অনেক ভালো</t>
  </si>
  <si>
    <t xml:space="preserve">এটি আমার মেয়ের শিক্ষা ও বিকাশের একটি গুরুত্বপূর্ণ </t>
  </si>
  <si>
    <t xml:space="preserve"> টি ফটোগুলির তুলনায় ব্যক্তিগতভাবে অনেক বেশি ফ্রাম্পিয়ার দেখায় ক্রেতাকে হতাশ করে৷</t>
  </si>
  <si>
    <t>ভ্যাকুয়ামসিল করা মাংসে একটি অপ্রস্তুত গন্ধ এবং অপ্রীতিকর স্বাদ ছিল যা নষ্ট হওয়ার ইঙ্গিত দেয়</t>
  </si>
  <si>
    <t xml:space="preserve">চালাকি না আসলে ভালো </t>
  </si>
  <si>
    <t>ব্যবহারযোগ্য তবে প্রত্যাশা পূরণ করেনি</t>
  </si>
  <si>
    <t>দেখতেই বেশ সুন্দর হাতে নেওয়ার পরেও প্রিমিয়াম ফিলিং আসে</t>
  </si>
  <si>
    <t>উদ্ভাবনী উদ্ভাবনটি দৈনন্দিন কাজগুলিকে সহজ করার প্রতিশ্রুতি দিয়েছিল কিন্তু এর অজ্ঞাত ইন্টারফেস এবং গ্লিচি কর্মক্ষমতা সহ তাদের আরও জটিল করে তুলেছে</t>
  </si>
  <si>
    <t>আমি যা অর্ডার করেছি ঠিক তাই হয়েছে কিছু আইটেম ক্ষতিগ্রস্থ হয়েছে</t>
  </si>
  <si>
    <t>বৈদ্যুতিক প্রেসার কুকারের স্টিম রিলিজ ভালভ লিক হয়ে যায় বিশৃঙ্খলা সৃষ্টি করে</t>
  </si>
  <si>
    <t>নোটপ্যাডে আঁকা পুরোপুরি গ্রহণযোগ্য</t>
  </si>
  <si>
    <t>শুকনো শ্যাম্পু আমার চুলের মধ্যে একটি অবশিষ্টাংশ রেখেছিল যা ব্রাশ করা কঠিন ছিল</t>
  </si>
  <si>
    <t>এই শ্যাম্পুটি চুলে একটি ন্যাচারাল লুক দেয়</t>
  </si>
  <si>
    <t>এই পুরুষদের পোশাকটি ব্যবহারের পর থেকে স্টাইল অনেক উন্নত হয়েছে</t>
  </si>
  <si>
    <t>আইটেমটি সন্তোষজনক</t>
  </si>
  <si>
    <t>চমৎকার ট্র্যাকার</t>
  </si>
  <si>
    <t>প্রতিদিন নতুন দৃষ্টিভঙ্গি থেকে দেখার সুযোগ দেয়</t>
  </si>
  <si>
    <t>কিটটির প্রতিটি প্রোডাক্ট স্বাস্থ্যসম্মত উপকরণ দিয়ে তৈরি</t>
  </si>
  <si>
    <t xml:space="preserve">  লোশনটি খুব জলযুক্ত অনুভূত হয়েছিল এবং যথেষ্ট হাইড্রেশন প্রদান করেনি</t>
  </si>
  <si>
    <t>অপ্রীতিকর স্বাদ দূষিত পানীয়</t>
  </si>
  <si>
    <t>যেকোনো জায়গায় নিয়ে যেতে পারি</t>
  </si>
  <si>
    <t>ব্যবহারের আগে পানির তাপমাত্রা পরীক্ষা করতে হয়</t>
  </si>
  <si>
    <t>পোর্টেবল ফ্যানের ব্যাটারি দ্রুত নিশেষ হয়ে যায় অপর্যাপ্ত শীতলতা প্রদান করে</t>
  </si>
  <si>
    <t>পানীয়ের গন্ধ ভালো তবে কিছুটা অস্পষ্ট</t>
  </si>
  <si>
    <t>মোবাইলটির র্যাম ব্যবস্থাপনা খুবই স্মুথ</t>
  </si>
  <si>
    <t>লেখকের অভিব্যক্তি প্রশংসার যোগ্য</t>
  </si>
  <si>
    <t>প্যাকেটে প্যাডের সংখ্যা যথেষ্ট আছে মনে হচ্ছে</t>
  </si>
  <si>
    <t>সোপটির সুগন্ধি খুবই প্রশান্তিদায়ক</t>
  </si>
  <si>
    <t>কাট স্টাইলিশ তবে রঙটা তেমন পছন্দ হয়নি</t>
  </si>
  <si>
    <t>একবার খেলে বারবার খেতে ইচ্ছে করে</t>
  </si>
  <si>
    <t>রঙ উজ্জ্বল তবে ফ্যাব্রিকের কোয়ালিটি মোটামুটি</t>
  </si>
  <si>
    <t>অপ্রতুল স্থায়িত্ব স্থায়ীভাবে নির্মিত নয়</t>
  </si>
  <si>
    <t>জটিল ইনস্টলেশন প্রক্রিয়া এবং অবিশ্বস্ত কার্যকারিতা সহ স্থানসংরক্ষণ সমাধানটি মূল্যের চেয়ে বেশি ঝামেলার প্রমাণিত হয়েছে</t>
  </si>
  <si>
    <t xml:space="preserve"> উপাদানগুলি ভঙ্গুর এবং চাপে ক্র্যাক হওয়ার ঝুঁকিপূর্ণ</t>
  </si>
  <si>
    <t>ফ্রিজ থার্মোমিটারটি তাপমাত্রা দেখায় তবে নম্বর ছোট</t>
  </si>
  <si>
    <t>খাবার রাখার জন্য ব্যবহার করা যায় কিন্তু দুর্গন্ধ আটকায় না</t>
  </si>
  <si>
    <t>শার্পনারগুলো ঠিক আছে তবে মান ভালো নয়</t>
  </si>
  <si>
    <t>ডিজাইনটা ইউনিক তবে কাপড় একটু মোটা</t>
  </si>
  <si>
    <t>চা সেটের টুকরোগুলি খুব ভঙ্গুর ছিল সহজেই ভেঙে যায়</t>
  </si>
  <si>
    <t>গিগাবাইট জেড অরাস এলিট এএক্স মাদারবোর্ডের সীমিত সামঞ্জস্যের জন্য অতিরিক্ত মূল্য পরিশোধ করতে হয়</t>
  </si>
  <si>
    <t>ঢালু হেমিং এবং আলগা থ্রেড পোশাকের চেহারা থেকে বিঘ্নিত করে</t>
  </si>
  <si>
    <t>ফ্যাব্রিক শক্ত এবং অস্বস্তিকর বোধ করে চলাচলে বাধা দেয়</t>
  </si>
  <si>
    <t xml:space="preserve"> স্নানের থার্মোমিটারের রিডিং সঠিক নয় যা চুলকানোর ঝুঁকি তৈরি করে</t>
  </si>
  <si>
    <t>এয়ারট্যাগ ধারকটি প্রত্যাশিত থেকে পাতলা লেগেছে</t>
  </si>
  <si>
    <t>মেকআপ ব্রাশ বিভিন্ন ত্বকের টোনের জন্য উপযুক্ত</t>
  </si>
  <si>
    <t>প্রদত্ত চার্ট অনুসরণ করা সত্ত্বেও সাইজিং সমস্যাগুলি রয়ে গেছে</t>
  </si>
  <si>
    <t>কিটটির প্রতিটি প্রোডাক্টের গন্ধ সুন্দর</t>
  </si>
  <si>
    <t>ফ্যাব্রিক মান ভালো তবে ওয়াশের পর সাইজ ছোট হয়ে গেছে</t>
  </si>
  <si>
    <t>বালিশগুলির গন্ধ খুব মনোরম এটি আমাকে একটি স্পাতে থাকার অনুভূতি দেয়</t>
  </si>
  <si>
    <t>অত্যধিক কম্পনের কারণে হ্যান্ডলিং কিছুটা চ্যালেঞ্জিং</t>
  </si>
  <si>
    <t>পণ্যের নকশা বিস্তারিত মনোযোগ অভাব</t>
  </si>
  <si>
    <t>শব্দ করে কিন্তু খুব বেশি উচ্চ আওয়াজ না</t>
  </si>
  <si>
    <t>দরিদ্র মান নিয়ন্ত্রণ স্পষ্ট ত্রুটি</t>
  </si>
  <si>
    <t xml:space="preserve"> ঘূর্ণায়মান টার্নটেবল মাঝে মাঝে তার ট্র্যাক থেকে পিছলে যায় যার ফলে খাবার ছিটকে যায়</t>
  </si>
  <si>
    <t>হেয়ার ড্রায়ারের কর্ডটি খুব ছোট স্টাইলিং করার সময় চলাচল সীমিত করে</t>
  </si>
  <si>
    <t>দ্রুত আকৃতি হারায় বাজে দেখায়</t>
  </si>
  <si>
    <t xml:space="preserve"> মাইক্রোফোন সহজেই ব্যাকগ্রাউন্ডের শব্দ তুলে নেয় ফলে কলের মান খারাপ হয় এবং যোগাযোগে অসুবিধা হয়</t>
  </si>
  <si>
    <t>গদির ফেনা দ্রুত ক্ষয় হয়ে যায় যার ফলে একটি গলদা এবং অসম ঘুমের পৃষ্ঠ হয়</t>
  </si>
  <si>
    <t>প্রোডাক্টটা অনেক ভালো কম প্রাইজে একদম ঠিক আছে সাউন্ড কোয়ালিটি অনেক ভালো</t>
  </si>
  <si>
    <t>মেকআপ ব্রাশ মেকআপ রুটিন দ্রুত করে</t>
  </si>
  <si>
    <t>পোর্টেবল সিডি বার্নারটি ডিস্ক তৈরি করে কিন্তু প্রক্রিয়া ধীর</t>
  </si>
  <si>
    <t>এটি ঠান্ডা পানীয় বা স্মুদি তৈরিতে ব্যবহার করা যায়</t>
  </si>
  <si>
    <t>দুর্দান্ত ব্যাটারি</t>
  </si>
  <si>
    <t>কিছু রিভিউতে ডেলিভারি এবং প্রোডাক্ট নিয়ে অভিযোগ করা হয়েছে</t>
  </si>
  <si>
    <t>ব্যাকপ্যাকের ফ্যাব্রিক সহজেই ছিঁড়ে যায় এর সামগ্রিক স্থায়িত্বের সাথে আপস করে</t>
  </si>
  <si>
    <t>এটি একটি দীর্ঘস্থায়ী এবং নির্ভরযোগ্য পণ্য</t>
  </si>
  <si>
    <t>মধুটি প্রতিদিনের খাদ্যতালিকায় সহজে অন্তর্ভুক্ত করা যায়</t>
  </si>
  <si>
    <t>বিভিন্ন অংশ রয়েছে তবে সবগুলো একই রকম মনে হয়</t>
  </si>
  <si>
    <t>জিপার সস্তায় তৈরি এবং জ্যামিং বা ভাঙ্গার প্রবণতা হতাশা এবং অসুবিধার কারণ</t>
  </si>
  <si>
    <t>মাথাব্যথায় ব্যবহার করা যেতে পারে</t>
  </si>
  <si>
    <t>এই হেডফোনে শব্দ বিচ্ছিন্নতা খুব ভালো</t>
  </si>
  <si>
    <t>কফির ভারসাম্যের অভাব ছিল একটি নোট অন্যদের উপর প্রভাব ফেলে</t>
  </si>
  <si>
    <t>লেখকের শব্দচয়ন খুবই সুন্দর</t>
  </si>
  <si>
    <t>কম্ফর্টার ব্ল্যাঙ্কেট ঠিক আছে কিছু অসাধারণ নয়</t>
  </si>
  <si>
    <t>ব্যাচের মধ্যে পণ্যের গুণমান অসামঞ্জস্যপূর্ণ যা বিভিন্ন ফলাফলের দিকে পরিচালিত করে</t>
  </si>
  <si>
    <t>ফ্যাব্রিকটি পাতলা এবং দেখতে পাওয়া যায় অতিরিক্ত স্তর প্রয়োজন আছে</t>
  </si>
  <si>
    <t>ফসলের সঙ্কট সত্ত্বেও কিছুটা উন্নতি লক্ষ্য করেছি কিন্তু সমস্যার সমাধান হয়নি</t>
  </si>
  <si>
    <t>মপের কাপড়টি মজবুত বলে মনে হয়</t>
  </si>
  <si>
    <t>এমএসআই এমএজি  টোমাহক বাগ ক্রমাগত ক্র্যাশ</t>
  </si>
  <si>
    <t>একটি মহান কিট সঙ্গে আশ্চর্যজনক ক্যামেরা</t>
  </si>
  <si>
    <t>সাজসজ্জার একটি অপরিহার্য অংশ হয়ে ওঠে</t>
  </si>
  <si>
    <t>প্যাডটি দীর্ঘস্থায়ী এবং কার্যকরী দিনের যেকোনো সময় ব্যবহার করতে পারি</t>
  </si>
  <si>
    <t>ফ্রিজের আলো অনেক উজ্জ্বল এবং সহজে সবকিছু দেখা যায়</t>
  </si>
  <si>
    <t>সুন্দর তবে গুণমান গড়</t>
  </si>
  <si>
    <t>এই স্পিকার দিয়ে পুরনো গানগুলো নতুন করে শুনছি অনেক নতুন ডিটেইল ধরা পড়ছে</t>
  </si>
  <si>
    <t>একটি চুক্তি আছে কিছু আইটেম দরকারী নয়</t>
  </si>
  <si>
    <t>এটি খুবই রিলায়েবল এবং সুবিধাজনক</t>
  </si>
  <si>
    <t>আলোর প্রয়োজন কম ছায়ায় রাখলেও সুন্দর দেখায়</t>
  </si>
  <si>
    <t>পাওয়ার ব্যাঙ্কের বাহ্যিক সারফেস যখন ধরে থাকে তখন পিচ্ছিল হয়ে যায় দুর্ঘটনাজনিত ড্রপ হওয়ার ঝুঁকি বাড়ায়</t>
  </si>
  <si>
    <t>রাতে ঘুমানোর আগে ব্যবহার করা যেতে পারে</t>
  </si>
  <si>
    <t>খুব চালাক বা ব্যবহারিক নয়</t>
  </si>
  <si>
    <t>চা পাতাগুলি পুরানো এবং বাসি ছিল যা চোলাইয়ের সতেজতাকে প্রভাবিত করে</t>
  </si>
  <si>
    <t>প্রতিটি ঋতুতে ঘরে বসন্তের ছোঁয়া আনে</t>
  </si>
  <si>
    <t>এগুলো ঠিক আছে</t>
  </si>
  <si>
    <t>বিভিন্ন মৌসুমে ঘরে নতুনত্ব আনে</t>
  </si>
  <si>
    <t>বৈদ্যুতিক সার্কিট ওভারলোড হয় না</t>
  </si>
  <si>
    <t xml:space="preserve">  কাঠ নিম্নমানের দৃশ্যমান গিঁট এবং অপূর্ণতা যা এর সামগ্রিক নান্দনিকতাকে প্রভাবিত করে</t>
  </si>
  <si>
    <t>গ্লিটার যুক্ত</t>
  </si>
  <si>
    <t>পাওয়ার অপশন সীমিত লেগেছে</t>
  </si>
  <si>
    <t>আরামদায়কভাবে ফিট করে  দিবো</t>
  </si>
  <si>
    <t>আমাদের অফিসে সব সময় নতুন সুযোগ তৈরি হয়</t>
  </si>
  <si>
    <t>কফির সুগন্ধ এতই মনোরম যে আমি চোখ বন্ধ করে উপভোগ করি</t>
  </si>
  <si>
    <t>এটি আমার চুলের বিভিন্ন অংশে সহজেই পৌঁছাতে পারে</t>
  </si>
  <si>
    <t xml:space="preserve">অনেক মজার ছিল খাবার খেয়ে মজা পেয়েছি </t>
  </si>
  <si>
    <t>আমাদের বাগানের গাছপালা সবসময় সবুজ থাকে</t>
  </si>
  <si>
    <t>নির্মাতা কোম্পানির ওয়ারেন্টি রয়েছে</t>
  </si>
  <si>
    <t>অপর্যাপ্ত লকিং ব্যবস্থা পরিবহনের সময় ঢাকনা সুরক্ষিত রাখতে ব্যর্থ হয়</t>
  </si>
  <si>
    <t>সহজে ছড়িয়ে দেওয়া যায়</t>
  </si>
  <si>
    <t>ইনসোলটি খুব পাতলা এবং সামান্য থেকে কোন প্রভাব শোষণ করে না প্রতিটি ধাপে অস্বস্তি সৃষ্টি করে</t>
  </si>
  <si>
    <t>শিশুর মনোযোগ বাড়াতে সাহায্য করে কিন্তু অল্প সময়ের জন্য</t>
  </si>
  <si>
    <t>মেকআপ ব্রাশ বিভিন্ন লুক তৈরি করতে সাহায্য করে</t>
  </si>
  <si>
    <t>মোবাইলটির ডিসপ্লে ব্রাইটনেস অনেক বেশি</t>
  </si>
  <si>
    <t>ওজন হালকা এবং ব্যবহার করা সহজ</t>
  </si>
  <si>
    <t>দীর্ঘমেয়াদী ব্যবহারের জন্য পণ্যটির নকশায় কিছু স্থায়িত্বের অভাব ছিল</t>
  </si>
  <si>
    <t>সারটি কিছুটা কার্যকরী হলেও বিশেষ কোনো ফলন বৃদ্ধি পায়নি</t>
  </si>
  <si>
    <t xml:space="preserve">     নির্মাণটি নিকৃষ্ট দৃশ্যমান ফাঁক এবং অসম প্রান্ত সহ</t>
  </si>
  <si>
    <t>দেখতে সাধারণ</t>
  </si>
  <si>
    <t>ভালো করে ধরে না আমার নড়বড়ে ছিল</t>
  </si>
  <si>
    <t>টেক্সচার খুবই ভালো  বাইরে ক্রিস্পি কিন্তু ভিতরে কোমল</t>
  </si>
  <si>
    <t>মেকআপ ব্রাশ সুন্দর দেখতে</t>
  </si>
  <si>
    <t>অপর্যাপ্ত সুরক্ষা আইটেমটিকে ক্ষতির ঝুঁকিতে ফেলেছে</t>
  </si>
  <si>
    <t>প্রক্রিয়া দ্রুত হলেও শব্দটি একটু বেশি হতে পারে</t>
  </si>
  <si>
    <t>বালিশগুলির নকশা এমন যে এগুলি সহজেই যেকোনো শয়নকক্ষের সাজসজ্জার সাথে মানানসই হয়</t>
  </si>
  <si>
    <t xml:space="preserve"> অন্তর্নির্মিত অ্যাপগুলি প্রায়শই ক্র্যাশ হয় কার্যকারিতা পুনরায় চালু করার জন্য একটি রিবুট প্রয়োজন৷</t>
  </si>
  <si>
    <t>আইটেম এর অপারেশন ছিল গোলমাল বা ব্যাঘাতমূলক</t>
  </si>
  <si>
    <t>বরফ প্রস্তুতকারক ঘন ঘন আটকে যায় বরফ বিতরণ করার চেষ্টা করার সময় অসুবিধার সৃষ্টি করে</t>
  </si>
  <si>
    <t>শ্যাম্পুর ব্যবহারে চুল অনেক স্বাস্থ্যকর হয়ে গেছে</t>
  </si>
  <si>
    <t>আইটেমটির পৃষ্ঠটি খুব পিচ্ছিল ছিল তাই এটি সহজেই হাত থেকে পড়ে যেতে পারত</t>
  </si>
  <si>
    <t>প্যাকেজিং ছিল অনেকটা সঠিক</t>
  </si>
  <si>
    <t>ব্যাগের ডিজাইনটি পুরানো এবং অনুপ্রাণিত ছিল আমি যে মসৃণ এবং আধুনিক নান্দনিকতার সন্ধান করছিলাম তার অভাব ছিল</t>
  </si>
  <si>
    <t>শ্যাম্পুর ব্যবহার চুলের শুষ্কতা দূর করে</t>
  </si>
  <si>
    <t>প্লাস্টিকের ফুলটি কখনও ম্লান হয় না সবসময় তাজা দেখায়</t>
  </si>
  <si>
    <t>ফ্রিজটি প্রত্যাশার চেয়ে ছোট বড় পরিবারের জন্য স্টোরেজ ক্ষমতা সীমিত করে</t>
  </si>
  <si>
    <t xml:space="preserve">লজিটেক এমএক্স কী এস ওয়্যারলেস কীবোর্ড লো প্রোফাইল শান্ত টাইপিং ব্যাকলাইটিং ব্লুটুট সব আমার খুবি ভাল লেগেছে </t>
  </si>
  <si>
    <t>আপনারা নিতে পারেন প্রোডাক্ট কোয়ালিটি ঠিক আছে দাম অনুযায়ী</t>
  </si>
  <si>
    <t>নরম এবং লাইটওয়েট তবে নরম হতে পারে</t>
  </si>
  <si>
    <t xml:space="preserve"> এই ফোন নিয়ে আমি খুবই সন্তুষ্ট চার্জিং স্পিড ব্যাটারি লাইফ সাউন্ড কোয়ালিটি স্ক্রিনের রেসপন্সিভনেসসব কিছুই দারুণ কোনো সমস্যা নেই</t>
  </si>
  <si>
    <t>কেনার পরিমাণ সীমিত</t>
  </si>
  <si>
    <t>বৈচিত্র্য এবং মূল্য মাঝারি</t>
  </si>
  <si>
    <t>ইলেকট্রিক গিটার টিউনারটি সুর মেলায় তবে ডিসপ্লে ছোট</t>
  </si>
  <si>
    <t>ম্যানুয়াল ফোকাস অস্পষ্ট এবং সঠিকভাবে অর্জন করা কঠিন বিশেষ করে ম্যাক্রো ফটোগ্রাফিতে</t>
  </si>
  <si>
    <t>এই কুশনগুলি ঘরের পরিবেশকে অনেক আরামদায়ক করে তোলে</t>
  </si>
  <si>
    <t>আমাদের ক্লাসে সবাই সবসময় মনোযোগী</t>
  </si>
  <si>
    <t>স্টারলাইট ফিচারটি কাজ করে কিন্তু সংবেদনশীল হতে পারে</t>
  </si>
  <si>
    <t>পণ্যটি কুইল্ট সুরক্ষিত রেখেছে তবে নিখুঁত নয়</t>
  </si>
  <si>
    <t>সম্পূর্ণ ব্যবহারযোগ্য তবে কিছু সীমাবদ্ধতা রয়েছে</t>
  </si>
  <si>
    <t>গাছের স্বাস্থ্য কিছুটা ভালো তবে ফলনের পরিমাণ অনেক কম ছিল</t>
  </si>
  <si>
    <t>ভাল ব্র্যান্ড ভাল মানের বিজ্ঞাপন হিসাবে  নির্ভরযোগ্য</t>
  </si>
  <si>
    <t>কিছু আউটডোর কুশন আরাম দেয়</t>
  </si>
  <si>
    <t>পুঁতি  কিছু নিম্নমানের</t>
  </si>
  <si>
    <t>ইমাত্র গেঞ্জি নিয়ে আসলাম তাই এখনো পরে দেখিনি তাই কেমন হবে ঠিক বলতে পারছি না</t>
  </si>
  <si>
    <t>যেমনটা আশা করা হয়েছিল কিন্তু ব্যতিক্রম কিছু নয়</t>
  </si>
  <si>
    <t>বালিশগুলির প্রতিটি কোণ নিখুঁতভাবে সেলাই করা কোথাও কোনও ত্রুটি নেই</t>
  </si>
  <si>
    <t>প্যাডটি খুবই সাশ্রয়ী মূল্যের যা সব মহিলাদের জন্য উপযুক্ত</t>
  </si>
  <si>
    <t>কনট্যুর প্যালেটের শেডগুলি কর্দমাক্ত এবং নির্বিঘ্নে মিশ্রিত করা কঠিন</t>
  </si>
  <si>
    <t>এই স্পিকার ব্যবহার করে আমি আবার নতুন করে সংগীতপ্রেমী হয়ে উঠেছি</t>
  </si>
  <si>
    <t>ফ্যাশনের জন্য সুন্দর তবে দৈনন্দিন ব্যবহারের জন্য নয়</t>
  </si>
  <si>
    <t>তাড়াতাড়ি পৌঁছালেও কিছু ক্ষতি হয়েছে</t>
  </si>
  <si>
    <t>সোলিড গুণগত</t>
  </si>
  <si>
    <t>ক্রমাগত ময়লা সমস্যা পরিচ্ছন্নতার উদ্বেগ</t>
  </si>
  <si>
    <t>সময় দেখার জন্য সঠিক</t>
  </si>
  <si>
    <t>এটি পুনব্যবহারযোগ্য তবে কয়েকবার ব্যবহারের পর আকার বিকৃত হয়</t>
  </si>
  <si>
    <t>পেইন্টিং সেটে বিষাক্ত পদার্থ পরিচালনার জন্য পর্যাপ্ত প্রতিরক্ষামূলক গিয়ার অন্তর্ভুক্ত ছিল না</t>
  </si>
  <si>
    <t>এই বডি ওয়াশ ব্যবহারে আপনি অনুভব করবেন শীতলতা</t>
  </si>
  <si>
    <t>স্বজলযুক্ত উদ্ভিদ পাত্রটি ফুটো হয়ে যাওয়ায় গাছপালাগুলো অতিরিক্ত জল পাচ্ছে</t>
  </si>
  <si>
    <t>চামচের হ্যান্ডেলটি ধরে রাখা খুবই আরামদায়ক</t>
  </si>
  <si>
    <t>ফলন সামান্য বৃদ্ধি পেলেও সারটি তেমন কোনো উল্লেখযোগ্য প্রভাব ফেলতে পারেনি</t>
  </si>
  <si>
    <t>কঠিন শীতেও এটি যথেষ্ট উষ্ণ রাখে</t>
  </si>
  <si>
    <t>পিঠ সমতল তবে বিশেষ কিছু নয়</t>
  </si>
  <si>
    <t>ভ্রু পেন্সিলের রঙ খুব উষ্ণ এটিকে শীতলটোনড ভ্রুতে অপ্রাকৃতিক দেখায়</t>
  </si>
  <si>
    <t>পাতলা এবং সবেমাত্র কার্যকরী</t>
  </si>
  <si>
    <t>পোশাকের কাট আকর্ষণীয় তবে কাপড় পাতলা</t>
  </si>
  <si>
    <t>ব্যবহার করা সহজ</t>
  </si>
  <si>
    <t>প্রতিদিনের ব্যবহারের জন্য উপযোগী তবে উন্নতির কিছু সুযোগ রয়েছে</t>
  </si>
  <si>
    <t>লাউঞ্জ চেয়ারের রিক্লাইনিং ফাংশন অত্যন্ত মসৃণ</t>
  </si>
  <si>
    <t>পোর্টেবল ব্লেন্ডারের ব্লেড আটকে যায় মসৃণভাবে মিশ্রিত করতে পারে না</t>
  </si>
  <si>
    <t>ডিজাইন সুন্দর তবে ফ্যাব্রিক উন্নত নয়</t>
  </si>
  <si>
    <t>প্লাস্টিকের ফুলটি কখনও পানি দেওয়ার প্রয়োজন হয় না</t>
  </si>
  <si>
    <t>মুছা কাগজের উপর কোনো প্রভাব ফেলে না</t>
  </si>
  <si>
    <t>ব্যবহারের পর কিছু পরিবর্তন লক্ষ্য করা গেছে</t>
  </si>
  <si>
    <t xml:space="preserve">  জিপার টেকসই নয় এবং ন্যূনতম ব্যবহারের পরে ভেঙে যায়</t>
  </si>
  <si>
    <t>পেইন্টিং কিটটিতে প্রয়োজনীয় রঙের অভাব ছিল যা সৃজনশীলতাকে সীমাবদ্ধ করে</t>
  </si>
  <si>
    <t>মৃদু পরিষ্কার করা সত্ত্বেও  বাহ্যিক পৃষ্ঠটি সহজেই স্ক্র্যাচ হয়ে যায়</t>
  </si>
  <si>
    <t>প্যাকেজিং মোটামুটি ছিল</t>
  </si>
  <si>
    <t>হালকা তবে কিছুটা অপ্রয়োজনীয় মনে হয়</t>
  </si>
  <si>
    <t>মোটকথা এই বিছানার চাদরটি সত্যিই অসাধারণ এবং ব্যবহার করার জন্য সেরা</t>
  </si>
  <si>
    <t>শিশুটি তার খেলনা গাড়িটি নিয়ে মজা করছে</t>
  </si>
  <si>
    <t>প্যাকেজিং পুনব্যবহারযোগ্য নয়</t>
  </si>
  <si>
    <t>ফুলদানির নকশা চোখ জুড়িয়ে দেয়</t>
  </si>
  <si>
    <t>এটি কিছুটা কার্যকর</t>
  </si>
  <si>
    <t xml:space="preserve"> স্ট্র্যাপের সংযুক্তি পয়েন্টগুলি দুর্বল এবং মূল শরীর থেকে দূরে ছিঁড়তে শুরু করেছে</t>
  </si>
  <si>
    <t>জলাশয়ের আকার উপযুক্ত</t>
  </si>
  <si>
    <t>নতুন ল্যাম্পটি ঘরের আলো একদম উপযুক্তভাবে ছড়ায়</t>
  </si>
  <si>
    <t>মধুটি ত্বকের আর্দ্রতা বজায় রাখে</t>
  </si>
  <si>
    <t>সহজে পরিষ্কার করা যায় কিন্তু দাগ সহজে যায় না</t>
  </si>
  <si>
    <t>সেরা ক্রয় আমি এই ক্রিসমাস তৈরি করেছি</t>
  </si>
  <si>
    <t>পাওয়ার ব্যাংক ফ্যানটি বাতাস দেয় তবে আওয়াজ বেশি</t>
  </si>
  <si>
    <t>হেডফোনের বেস খুব গভীর এবং স্পষ্ট</t>
  </si>
  <si>
    <t>ডিজাইনটা এত সুন্দর যে আমার লিভিং রুমের শোভা বাড়িয়েছে</t>
  </si>
  <si>
    <t>কম্প্রেসরের নিশব্দ অপারেশন আমাকে মুগ্ধ করেছে আমি এখন নির্বিঘ্নে ঘুমাতে পারি</t>
  </si>
  <si>
    <t>বোতলজাত সালাদ ড্রেসিং একটি কৃত্রিম স্বাদ এবং জলীয় সামঞ্জস্য ছিল তাজাতার অভাব ছিল</t>
  </si>
  <si>
    <t>প্রতিটি অধ্যায় ছিল চমৎকার</t>
  </si>
  <si>
    <t>পণ্যের উপকরণ অপ্রীতিকর গন্ধ নির্গত</t>
  </si>
  <si>
    <t>প্লাস্টিকের ফুলটি রোদে রাখলেও রঙ ফ্যাকাশে হয় না</t>
  </si>
  <si>
    <t xml:space="preserve"> তারের নিরোধক সহজেই ফাটল অভ্যন্তরীণ তারগুলিকে ক্ষতির সম্মুখীন করে</t>
  </si>
  <si>
    <t>খেতে খুবই মজা লাগে</t>
  </si>
  <si>
    <t>উচ্চমানের ফ্যাব্রিক দিয়ে তৈরি</t>
  </si>
  <si>
    <t>প্লেডেটগুলির জন্য মোটামুটি ঠিক</t>
  </si>
  <si>
    <t xml:space="preserve"> শব্দ বিচ্ছিন্নতা অকার্যকর বাহ্যিক শব্দ অডিও প্লেব্যাকে হস্তক্ষেপ করতে দেয় এবং নিমজ্জন হ্রাস করে</t>
  </si>
  <si>
    <t>সাবপার স্থায়িত্ব ইতিমধ্যে গর্ত দেখাচ্ছে</t>
  </si>
  <si>
    <t>ব্লেন্ডারের মোটর দুর্বল হিমায়িত উপাদানগুলিকে মিশ্রিত করতে সংগ্রাম করে</t>
  </si>
  <si>
    <t>টেবিল টেনিস বোর্ডের মসৃণতা ভালো কিন্তু প্রান্ত ভেঙে যায়</t>
  </si>
  <si>
    <t>ফুলটি আমার ঘরের অন্যান্য সাজসজ্জার সাথে সুন্দরভাবে মিলে গেছে</t>
  </si>
  <si>
    <t>অগভীর গভীরতা স্টোরেজ ক্ষমতাকে সীমাবদ্ধ করে</t>
  </si>
  <si>
    <t xml:space="preserve"> সঙ্গে আগত যে লোহা আউট হবে না</t>
  </si>
  <si>
    <t xml:space="preserve"> স্মার্ট বৈশিষ্ট্যগুলি অপ্রয়োজনীয় ছিল যা মৌলিক স্ট্রিমিং অ্যাপের বাইরে সামান্য কার্যকারিতা প্রদান করে</t>
  </si>
  <si>
    <t>দুলগুলো পরে একটি ফটোশুট করেছি এবং ছবিগুলো দারুণ এসেছে</t>
  </si>
  <si>
    <t>রক্ষণাবেক্ষণ খরচ যোগ করা ফিল্টার প্রতিস্থাপন কঠিন</t>
  </si>
  <si>
    <t>বইয়ের আলমারিটির সাথে দেওয়া অতিরিক্ত হার্ডওয়্যার খুব উপযোগী</t>
  </si>
  <si>
    <t>ব্র্যান্ড রেপুটেশন ভালো কিন্তু মধ্যবিত্তরা এটা কিনতে পারে না</t>
  </si>
  <si>
    <t>মেকআপ ব্রাশ বিভিন্ন অনুষ্ঠানের জন্য উপযুক্ত</t>
  </si>
  <si>
    <t>ছুটি থ্রেড এবং অযথা হেমিং দেখে নিশ্চিত হয় যে পোশাকের আকর্ষণ নেই</t>
  </si>
  <si>
    <t>পোশাক এবং আনুষাঙ্গিক বিভিন্ন ধরনের সংগঠিত করার জন্য সীমিত বিকল্প সহ পোশাক এর নকশা বহুমুখিতা অভাব</t>
  </si>
  <si>
    <t>স্নানের লবণগুলি সঠিকভাবে দ্রবীভূত হয় নি টবে নোংরা অবশিষ্টাংশ রেখেছিল</t>
  </si>
  <si>
    <t xml:space="preserve">সঠিক অনেক ভাল হয়েছে </t>
  </si>
  <si>
    <t>ত্বকের ময়লা অপসারণ করে এই বডি ওয়াশ</t>
  </si>
  <si>
    <t>দাম ঠিক আছে কিন্তু দৃঢ়তা নয়</t>
  </si>
  <si>
    <t>টিভি রিমোটটির ব্যবহার অনেক সহজ</t>
  </si>
  <si>
    <t>গরম করার পর সাবধানে নাড়াচাড়া করতে হয়</t>
  </si>
  <si>
    <t>পণ্যের মান মূল্য অনুযায়ী যথেষ্ট ভালো</t>
  </si>
  <si>
    <t>শিশুটি প্রতিদিন সকালে নাস্তা করে</t>
  </si>
  <si>
    <t>ঘরের মুড উন্নত করে তবে নাটকীয়ভাবে নয়</t>
  </si>
  <si>
    <t>পানীয়টি ভালো তবে দামটি কিছুটা বেশি</t>
  </si>
  <si>
    <t>ব্রাশ ভ্রমণের জন্য ডিজাইন করা হয়নি</t>
  </si>
  <si>
    <t>আইটেম পরিষ্কার বা বজায় রাখা কঠিন ছিল</t>
  </si>
  <si>
    <t>পরিমাপ অনুসারে অর্ডার দেওয়ার পরেও আকার দেওয়ার সমস্যাগুলি রয়ে গেছে</t>
  </si>
  <si>
    <t>চার্জিং ক্যাবল কিছুটা ছোট</t>
  </si>
  <si>
    <t>এটি ত্বকের ক্ষতি করে না</t>
  </si>
  <si>
    <t>বোতলের মুখটি প্রশস্ত হবে</t>
  </si>
  <si>
    <t>ব্যবহারের পরে কিছু সমস্যা হতে পারে</t>
  </si>
  <si>
    <t>অতিরিক্ত চাপ ক্ষতির কারণ হতে পারে</t>
  </si>
  <si>
    <t>কার্বন পেপারের গুণমান সবার প্রত্যাশা অনুযায়ী নয় তবে এটি ব্যবহার করা প্রয়োজন</t>
  </si>
  <si>
    <t>আড়ম্বরপূর্ণ চেহারা সত্ত্বেও পদার্থের অভাব</t>
  </si>
  <si>
    <t>এই কলম কিনতে বিরক্ত করবেন না এগুলি সস্তায় তৈরি এবং সহজেই আলাদা হয়ে যায়</t>
  </si>
  <si>
    <t>পেইন্টের রঙগুলির একটি খড়ি জমিন ছিল মিশ্রিত করা কঠিন</t>
  </si>
  <si>
    <t xml:space="preserve"> কানের টিপস খুব বড় বা খুব ছোট যার ফলে সেগুলি ঘন ঘন পড়ে যায় এবং শোনার অভিজ্ঞতা ব্যাহত হয়</t>
  </si>
  <si>
    <t>স্নানের বালিশটি তার স্তন্যপান হারিয়ে ফেলে এবং পানিতে পড়ে যেতে থাকে</t>
  </si>
  <si>
    <t>চুল পড়ার সমস্যা কমাতে এই শ্যাম্পুটি খুব কার্যকর</t>
  </si>
  <si>
    <t>গন্ধ কিছুটা অপ্রীতিকর মনে হয়েছে</t>
  </si>
  <si>
    <t>আগমনের পর এটি একটি তীব্র রাসায়নিক গন্ধ ছড়ায় যা ধোয়ার পরও দূর হয় না যা পরিধান অযোগ্য করে তোলে</t>
  </si>
  <si>
    <t>চাদরটির নকশা এবং রঙের সমন্বয় খুবই আধুনিক এবং স্টাইলিশ</t>
  </si>
  <si>
    <t>আমাদের টিম একসাথে কাজ করতে অনেক ভালোবাসে</t>
  </si>
  <si>
    <t>ওয়ে স্যুইং মোড পুরো ঘরে সমানভাবে বাতাস ছড়ায় কোনো কোণই এখন গরম থাকে না</t>
  </si>
  <si>
    <t>পণ্যটি ভালো ছিল কিন্তু সরবরাহে কিছু সমস্যা ছিল</t>
  </si>
  <si>
    <t>এটি সঠিক পরিমাণে মেকআপ নেয়</t>
  </si>
  <si>
    <t>রান্নাঘরে ব্যবহার করা যায় তবে তাপ সহনশীল নয়</t>
  </si>
  <si>
    <t>প্লাস্টিকের ফুলটি সূর্যের আলোতে ঝকঝক করে</t>
  </si>
  <si>
    <t>ফ্যাব্রিক ক্ষীণ এবং ন্যূনতম ব্যবহারের সাথে ছিঁড়ে যাওয়ার প্রবণতা অনুভব করে</t>
  </si>
  <si>
    <t>এটির গুণগত মানের একটি দৃষ্টিনন্দন আকার রয়েছে এবং কিছুটা প্রশস্ততা প্রদান করে</t>
  </si>
  <si>
    <t>চশমার স্টাইল সুন্দর তবে স্ক্র্যাচ রোধকারী নয়</t>
  </si>
  <si>
    <t>ফ্যাব্রিক উন্নত তবে রঙ উজ্জ্বল নয়</t>
  </si>
  <si>
    <t>প্রতিবার এই চা খেয়ে আমি নতুন স্বাদ অনুভব করি</t>
  </si>
  <si>
    <t>বাক্সযুক্ত ব্রাউনি মিশ্রণের একটি রাসায়নিক স্বাদ ছিল এবং সমানভাবে বেক করা হয়নি</t>
  </si>
  <si>
    <t>রাতে জ্বলে তবে আলো খুব কম</t>
  </si>
  <si>
    <t>টিনজাত পাস্তার একটি মসৃণ টেক্সচার ছিল এবং এর স্বাদের অভাব ছিল এমনভাবে স্বাদ পাওয়া যায় যেন এটি অনেকক্ষণ ধরে সসে বসে ছিল</t>
  </si>
  <si>
    <t>যন্ত্রাংশটি সঠিকভাবে কাজ করতে খুব কম জায়গা প্রয়োজন</t>
  </si>
  <si>
    <t>এটি খুবই আরামদায়ক ঠান্ডা রাতে উষ্ণ এবং আরামদায়ক অনুভূতি প্রদান করে</t>
  </si>
  <si>
    <t>এই চাদরটি খুবই আরামদায়ক শরীরে চুলকানি বা কোন অস্বস্তি হয় না</t>
  </si>
  <si>
    <t>এর মধ্যে লুকানো রয়েছে হালকা ফুলের সুবাস</t>
  </si>
  <si>
    <t>এটি বিভিন্ন আকারে পাওয়া যায় না</t>
  </si>
  <si>
    <t xml:space="preserve"> কন্ট্রোল প্যানেলের বোতামগুলি আটকে থাকে এটি সেটিংস সামঞ্জস্য করা কঠিন করে তোলে</t>
  </si>
  <si>
    <t>আইটেমের উপাদানটির ধারালো কোণ ছিল আঘাতের ঝুঁকি ছিল</t>
  </si>
  <si>
    <t>বিনিয়োগের মূল্য নয় দুর্বল কারিগর</t>
  </si>
  <si>
    <t>এটি একটি ছোট কেনাকাটা ছিল</t>
  </si>
  <si>
    <t>অস্বস্তিকর ফিট ফোস্কা এবং কাঁচা দাগ সৃষ্টি করে</t>
  </si>
  <si>
    <t xml:space="preserve"> অভ্যন্তরীণ লাইটবাল্বটি সময়ের আগেই পুড়ে যায় প্রতিস্থাপনের প্রয়োজন হয়</t>
  </si>
  <si>
    <t>চুলের গোড়া শক্তিশালী করতে এই শ্যাম্পুটি দারুণ</t>
  </si>
  <si>
    <t>চুলের শুষ্কতা কমাতে সহায়ক এই শ্যাম্পু</t>
  </si>
  <si>
    <t>ওয়্যারলেস ব্রেথ এনালাইজারটি নিশ্বাস পরীক্ষা করে কিন্তু ক্যালিব্রেশন কঠিন</t>
  </si>
  <si>
    <t xml:space="preserve"> রান্নার সময় সেটিংস ভুল যার ফলে খাবার রান্না করা হয় না</t>
  </si>
  <si>
    <t>ক্রিমটি হালকা গ্রীষ্মেও ব্যবহার করা যায়</t>
  </si>
  <si>
    <t>ন্যূনতম সফ্টওয়্যার ইনস্টলেশন সত্ত্বেও ল্যাপটপের কর্মক্ষমতা সময়ের সাথে উল্লেখযোগ্যভাবে কমে যায়</t>
  </si>
  <si>
    <t>আমি এটি সকলকে সুপারিশ করছি</t>
  </si>
  <si>
    <t>মুখের স্ক্রাবটিতে কঠোর এক্সফোলিয়েন্ট রয়েছে যা ত্বকে মাইক্রোটিয়ার সৃষ্টি করে যা জ্বালা এবং সংবেদনশীলতার দিকে পরিচালিত করে</t>
  </si>
  <si>
    <t>দুর্দান্ত ছবির স্থায়িত্ব প্রশ্নবিদ্ধ</t>
  </si>
  <si>
    <t>স্যুটকেসটি বেশ মজবুত এবং হালকা</t>
  </si>
  <si>
    <t>মেয়েটির হাসি খুবই মিষ্টি এবং আনন্দদায়ক</t>
  </si>
  <si>
    <t>সস্তা দাম দারুণ কাজ করে</t>
  </si>
  <si>
    <t>বিছানার ফ্রেমের ধাতব অংশগুলি সহজেই মরিচা ধরে এর কাঠামোগত অখণ্ডতা এবং চেহারার সাথে আপস করে</t>
  </si>
  <si>
    <t>ক্যামেরার ভিডিও কোয়ালিটি সন্তোষজনক</t>
  </si>
  <si>
    <t xml:space="preserve">  ক্রিমটি আমার ত্বকে ভারী এবং দমবন্ধ অনুভূত হয়েছিল</t>
  </si>
  <si>
    <t xml:space="preserve"> নিষ্কাশন ফ্যান দুর্বল কার্যকরভাবে বাষ্প এবং গন্ধ অপসারণ করতে ব্যর্থ</t>
  </si>
  <si>
    <t>প্যাডিং ইলেকট্রনিক্সের জন্য পর্যাপ্ত সুরক্ষা প্রদানের জন্য খুব পাতলা</t>
  </si>
  <si>
    <t>আকার এবং ব্যবহার হতাশাজনক</t>
  </si>
  <si>
    <t>মেকআপ ব্রাশ ব্যবহার করা আত্মবিশ্বাস দেয়</t>
  </si>
  <si>
    <t>মূল্যের জন্য ঠিকই আছে তবে আরও ভালো কিছু পাওয়া যেত</t>
  </si>
  <si>
    <t>ফ্যাব্রিকটি ভালো তবে ব্যতিক্রমী নয়</t>
  </si>
  <si>
    <t>এই খারাপভাবে তৈরি অতিরিক্ত দামের আইটেমটি এড়িয়ে চলুন</t>
  </si>
  <si>
    <t>পণ্যটি গড়</t>
  </si>
  <si>
    <t>মান ঠিক আছে</t>
  </si>
  <si>
    <t>রঙ উজ্জ্বল তবে টেকসই নয়</t>
  </si>
  <si>
    <t>আমি এগুলো ভালোবাসি</t>
  </si>
  <si>
    <t>ভয়েস নিয়ন্ত্রণ তেমন  উপলব্ধ নয়</t>
  </si>
  <si>
    <t>দুলগুলো পরে আমি নিজেকে একজন সেলিব্রিটির মতো মনে করি</t>
  </si>
  <si>
    <t>ক্রাফটম্যানশিপের অজানা দোষ অসমতবাদী সেলাই এবং ফিনিশিং দেখায়</t>
  </si>
  <si>
    <t>রান্নাঘরের জন্য মাইক্রোওয়েভটি উপযুক্ত এবং কার্যকর</t>
  </si>
  <si>
    <t>বইয়ের গল্পটি খুবই মজার এবং শিক্ষামূলক</t>
  </si>
  <si>
    <t>হেডফোনের সাউন্ড কোয়ালিটি খুবই ভালো</t>
  </si>
  <si>
    <t>ঝরনার মধ্যে লুফাহের হাতলটি ভেঙে পড়ে যার ফলে এটি ভেঙে পড়ে</t>
  </si>
  <si>
    <t>রঙগুলি ধুয়ে ফেলা এবং নিস্তেজ দেখায় প্রাণবন্ততা এবং গভীরতার অভাব ছিল</t>
  </si>
  <si>
    <t>উপাদান সহজে লিন্ট এবং ধুলো আকর্ষণ করে এটি পরিষ্কার রাখা চ্যালেঞ্জিং করে তোলে</t>
  </si>
  <si>
    <t>প্লেডো কিছুটা আঠালো</t>
  </si>
  <si>
    <t>স্থাপন করা সহজ এবং দ্রুত</t>
  </si>
  <si>
    <t>অসন্তোষজনক গুণমান প্রভাবিত করতে ব্যর্থ</t>
  </si>
  <si>
    <t>আমাদের বাগানে সবসময় পাখি গান গায়</t>
  </si>
  <si>
    <t>বৈদ্যুতিক টুথব্রাশের ব্রিসলগুলি কয়েকবার ব্যবহারের পরে পড়ে যায় কার্যকারিতা হ্রাস করে</t>
  </si>
  <si>
    <t>সারটি ব্যবহার করার পর কিছু ফলন বৃদ্ধি পেয়েছে তবে অন্যান্য গাছের অবস্থা তেমন ভালো নয়</t>
  </si>
  <si>
    <t>পণ্যটি ব্যবহার করে মেঝে দ্রুত শুকায়</t>
  </si>
  <si>
    <t>প্যাকেজ করা ডেলি মাংসের একটি পাতলা টেক্সচার ছিল এবং এর স্বাদ পাওয়া যায় যা ইঙ্গিত করে যে এটি তার প্রাইম পেরিয়ে গেছে</t>
  </si>
  <si>
    <t>রোবোটিক পোষা ফিডারের খাদ্য সরবরাহকারী জ্যাম সঠিকভাবে খাবার বিতরণ করে না</t>
  </si>
  <si>
    <t>সময়ের সঠিকতা অত্যন্ত নির্ভুল</t>
  </si>
  <si>
    <t>পানীয়টি অনেক তাজা তবে স্বাদ বেশ সাধারণ</t>
  </si>
  <si>
    <t>এসিটির ফিল্টার পরিবর্তন করা খুব সহজ আমি নিজেই করতে পারি টেকনিশিয়ানের প্রয়োজন হয় না</t>
  </si>
  <si>
    <t xml:space="preserve"> আপনার সৃজনশীল প্রকল্পগুলিকে নতুন উচ্চতায় নিয়ে যেতে সাহায্য করবে</t>
  </si>
  <si>
    <t>প্লাস্টিকের ফুলটি সহজেই পরিষ্কার করা যায়</t>
  </si>
  <si>
    <t>কলমের স্কেল কিছুটা অস্থির লেগেছে</t>
  </si>
  <si>
    <t>আমার পুরানো ট্রাক জন্য সন্ত্রস্ত আপগ্রেড</t>
  </si>
  <si>
    <t>বিকেলে চায়ের সাথে এই বিস্কুটটি একেবারে অসাধারণ</t>
  </si>
  <si>
    <t>আইটেমের উপাদানটিতে একটি চর্বিযুক্ত অবশিষ্টাংশ ছিল স্পর্শ করা অপ্রীতিকর বোধ করে</t>
  </si>
  <si>
    <t>মাস্কারা ক্লাম্পগুলি একসাথে দোররা ফলে একটি মাকড়সার প্রভাব পড়ে</t>
  </si>
  <si>
    <t>কারুশিল্পের উন্নত পুঁতির ব্রেসলেট ট্রে কীভাবে আমার গহনা সংগ্রহে অন্তর্ভুক্ত হলো</t>
  </si>
  <si>
    <t>ডিজাইন অব্যবহারিক এবং দৈনন্দিন পরিধানের জন্য উপযুক্ত নয়</t>
  </si>
  <si>
    <t>ত্বকের সমস্যাগুলো সমাধান করে এই বডি ওয়াশ</t>
  </si>
  <si>
    <t>টেকসই হিসাবে বর্ণনা করা সত্ত্বেও গহনাগুলি সহজেই আকৃতির বাইরে চলে যায় ন্যূনতম পরিধানের পরে তার আসল রূপ হারায়</t>
  </si>
  <si>
    <t>বইয়ের আলমারিটির উপরের অংশে থাকা কার্নিশ খুব সুন্দর দেখাচ্ছে</t>
  </si>
  <si>
    <t>ডাইনিং চেয়ারগুলোর কুশন সহজেই পরিবর্তন করা যায়</t>
  </si>
  <si>
    <t>জিনিসটা ভাল</t>
  </si>
  <si>
    <t>যারা ভালো বিস্কুট খুঁজছেন তাদের জন্য এটি উপযুক্ত</t>
  </si>
  <si>
    <t>শুকনো অবস্থায় ব্যবহার করা ভালো</t>
  </si>
  <si>
    <t>এটি ধোয়া সম্ভব কিনা নিশ্চিত নয়</t>
  </si>
  <si>
    <t>এই বডি ওয়াশ ব্যবহার করে আমার বডি সতেজ নির্মল থাকে</t>
  </si>
  <si>
    <t>আকার অনুযায়ী ঘর গরম করতে পারে</t>
  </si>
  <si>
    <t>অপ্রতুল সমর্থন ন্যূনতম পরিধানের পরে অস্বস্তি</t>
  </si>
  <si>
    <t>বইয়ের আলমারিটির দরজার নব গুণগত মানসম্পন্ন ধাতু দিয়ে তৈরি</t>
  </si>
  <si>
    <t>ব্র্যান্ড নামের জন্য সেরা দাম</t>
  </si>
  <si>
    <t>ইমো সেরা ভেন্ট ফোন হোল্ডার</t>
  </si>
  <si>
    <t>ব্যবহার করার সময় ভিপিএন সংযুক্ত থাকা পছন্দ করে না অন্যথায় ভাল বিনিয়োগ</t>
  </si>
  <si>
    <t>এর হালকা সোনালি রং আমাকে মুগ্ধ করে</t>
  </si>
  <si>
    <t>খেলনার কব্জাগুলি শক্ত ছিল যা চলাচলকে কঠিন করে তুলেছিল</t>
  </si>
  <si>
    <t>ডিজাইন আকর্ষণীয় তবে সাইজ ঠিক হয়নি</t>
  </si>
  <si>
    <t>শালীন পোশাক উন্নতির জায়গা আছে</t>
  </si>
  <si>
    <t>ভারী এবং ভারী নির্মাণ এটি সরানো কঠিন করে তোলে</t>
  </si>
  <si>
    <t>শরীরে মিলিলিটার চিহ্নের কারণে জল পরিমাপ করা যেতে পারে</t>
  </si>
  <si>
    <t>প্রত্যাশা পূরণে ব্যর্থ সাবপার গুণমান</t>
  </si>
  <si>
    <t>একটি মহান পণ্য যা আমার সমস্ত চাহিদা পূরণ করে</t>
  </si>
  <si>
    <t>মেয়েটি তার নতুন ড্রেস পরে অনেক খুশি</t>
  </si>
  <si>
    <t>দরিদ্র স্থিতিশীলতার কারণে ফিরে এসেছে অসুখী</t>
  </si>
  <si>
    <t>ক্যাফেইনের মাত্রা মধ্যম খুব শক্তিশালী নয়</t>
  </si>
  <si>
    <t>চার্জারের ডিজাইনটি ভারী এবং কষ্টকর পাওয়ার স্ট্রিপ বা আউটলেটগুলিতে খুব বেশি জায়গা নেয়</t>
  </si>
  <si>
    <t>টোস্টার ওভেনের কাচের দরজা কুয়াশাচ্ছন্ন রান্না করার সময় খাবার দেখতে পাচ্ছে না</t>
  </si>
  <si>
    <t xml:space="preserve"> অন্তর্নির্মিত মাইক্রোফোন পরিবেষ্টিত শব্দ তুলে নেয় যার ফলে ভয়েস কমান্ড ব্যর্থ হয়</t>
  </si>
  <si>
    <t>ফ্যাশনের জন্য ভালো তবে দৈনন্দিন ব্যবহারে অযোগ্য</t>
  </si>
  <si>
    <t>এটি ব্যথা উপশমে সাহায্য করে</t>
  </si>
  <si>
    <t>শক্তিশালী চুম্বক বেস সম্পূর্ণরূপে গতিহীন নয়  দামের জন্য বেশ ভাল</t>
  </si>
  <si>
    <t>জুতার সোলটি আরামদায়ক এবং দীর্ঘস্থায়ী</t>
  </si>
  <si>
    <t xml:space="preserve"> মাখন ভারী অনুভূত এবং দ্রুত শোষণ না</t>
  </si>
  <si>
    <t>হাতলগুলি তীক্ষ্ণ এবং খারাপভাবে সমাপ্ত দরজা খোলার এবং বন্ধ করার সময় আঘাতের ঝুঁকি তৈরি করে৷</t>
  </si>
  <si>
    <t>রঙটি অনেক আকর্ষণীয় এবং নকশাটি খুবই চমৎকার</t>
  </si>
  <si>
    <t>পোর্টেবল ভ্যাকুয়াম সিলার ব্যাগ খাবার সিল করে তবে সিল দুর্বল</t>
  </si>
  <si>
    <t>এর ফ্লোরেসেন্ট ডিসপ্লে রাতেও সহজে দেখা যায় আর আলো জ্বালিয়ে তাপমাত্রা দেখতে হয় না</t>
  </si>
  <si>
    <t>এটি একটি যোগ্য ফ্রেম যা আমাকে সন্তুষ্ট করে আরো বিকল্প থাকলে এটি আরও নিখুঁত হতে পারত</t>
  </si>
  <si>
    <t>প্রতিচ্ছবি দেখা যায় তবে অতি উজ্জ্বল নয়</t>
  </si>
  <si>
    <t xml:space="preserve">কম্পিউটার ক্যামেরা দামের জন্য দারুণ কাজ করেমিস করবেন না প্রোডাক্টটি </t>
  </si>
  <si>
    <t>দাগযুক্ত পৃষ্ঠাগুলি পড়ার অভিজ্ঞতা থেকে বিরত থাকে</t>
  </si>
  <si>
    <t>এটি হালকা এবং আরামদায়ক যা গরমের সময়ও আরাম দেয়</t>
  </si>
  <si>
    <t>চুম্বক শক্তিশালী</t>
  </si>
  <si>
    <t>বুকশেলফটি প্রতিদিনের ব্যবহারের জন্য যথাযথ</t>
  </si>
  <si>
    <t>কার্পেটের উপর ব্যবহার করা যাবে কিনা তা নিশ্চিত নয়</t>
  </si>
  <si>
    <t>ব্রাশগুলি ক্যানভাসে তুষারপাত করে</t>
  </si>
  <si>
    <t>বাচ্চাদের অল্প সময়ের জন্য ব্যস্ত রাখে</t>
  </si>
  <si>
    <t>হুপটি মজবুত তবে ফিটিং কঠিন</t>
  </si>
  <si>
    <t>বাক্সযুক্ত সিরিয়াল অত্যধিক চিনিযুক্ত এবং পুষ্টির মানের অভাব ছিল খালি ক্যালোরি সরবরাহ করে</t>
  </si>
  <si>
    <t>বৈদ্যুতিক কেটলির ভিত্তি নড়বড়ে একটি নিরাপত্তা বিপত্তি তৈরি করে</t>
  </si>
  <si>
    <t>শিশুটি তার খেলনা নিয়ে সারাদিন মজা করে</t>
  </si>
  <si>
    <t>বইটি পড়ে আমি অনেক অনুপ্রাণিত হয়েছি</t>
  </si>
  <si>
    <t>আমাদের ক্লাসে সব শিক্ষার্থী খুব মনোযোগী</t>
  </si>
  <si>
    <t>পানীয়টি ভালো তবে পরিমাণ একটু কম</t>
  </si>
  <si>
    <t>শিপিংয়ের সময় সস্তা প্যাকেজিং আইটেমটিকে রক্ষা করেনি</t>
  </si>
  <si>
    <t>নিকেলমুক্ত হিসাবে বর্ণনা করা সত্ত্বেও গয়নাটি আমার ত্বকে একটি মারাত্মক অ্যালার্জির প্রতিক্রিয়া সৃষ্টি করে এটিকে লাল স্ফীত এবং চুলকায়</t>
  </si>
  <si>
    <t>পণ্যের ডিজাইন সবাইকে দেখানো হয়েছে</t>
  </si>
  <si>
    <t>পানীয়টা ভালো তবে দামটা কিছুটা বেশি মনে হচ্ছে</t>
  </si>
  <si>
    <t>প্রতিটি ক্ষুদ্র অংশও অনেক যত্ন নিয়ে আঁকা</t>
  </si>
  <si>
    <t>বলের ওজন একটু ভারী হলেও অনুশীলনের জন্য ঠিক আছে</t>
  </si>
  <si>
    <t>এটি আমার ডিভাইসের ব্যাটারি লাইফও ভালো রাখে</t>
  </si>
  <si>
    <t>দ্রুত রঙের বিবর্ণতা এটিকে অকালে পুরানো দেখায়</t>
  </si>
  <si>
    <t>মেকআপ রিমুভার ত্বককে জ্বালাতন করে এবং পিছনে একটি আঠালো অবশিষ্টাংশ ছেড়ে যায়</t>
  </si>
  <si>
    <t xml:space="preserve">  প্রান্তগুলি তীক্ষ্ণ এবং খারাপভাবে সমাপ্ত বিশেষ করে শিশুদের জন্য একটি নিরাপত্তা বিপত্তি তৈরি করে৷</t>
  </si>
  <si>
    <t>মানটি সাধারণ পর্যায়ের</t>
  </si>
  <si>
    <t>মেকআপ ব্রাশ বিভিন্ন স্টাইলের জন্য অপরিহার্য</t>
  </si>
  <si>
    <t>আকর্ষণীয় টিল্ট সুরক্ষা ক্যামেরার নির্ভরযোগ্যতা এখনও নিশ্চিত নয়</t>
  </si>
  <si>
    <t>পাওয়ার ব্যাঙ্ক বেশিক্ষণ চার্জ ধরে রাখে না ঘন ঘন রিচার্জ করতে হয়</t>
  </si>
  <si>
    <t>ফ্যাশনের জন্য সুন্দর তবে খুব আরামদায়ক নয়</t>
  </si>
  <si>
    <t>অসংলগ্ন কর্মক্ষমতা দুর্বল মানের নিয়ন্ত্রণ</t>
  </si>
  <si>
    <t>এটি খুবই সুন্দর এবং আধুনিক ফ্যান</t>
  </si>
  <si>
    <t>হতাশাজনক অভিজ্ঞতা পণ্যের সমস্যাগুলির সাথে সহায়তার জন্য গ্রাহক পরিষেবাতে পৌঁছানোর চেষ্টা করে৷</t>
  </si>
  <si>
    <t>কিছু গাছ ভালো হয়েছে তবে সারটি একেবারে কার্যকরী ছিল না</t>
  </si>
  <si>
    <t>বিউটি সোপটি ত্বকের স্বাভাবিক তেল বজায় রাখে</t>
  </si>
  <si>
    <t>পণ্যটি ভালো তবে কিছু সীমাবদ্ধতা রয়েছে</t>
  </si>
  <si>
    <t>ঘড়িটির ডিজাইন সময়ের সাথে তাল মিলিয়ে চলে</t>
  </si>
  <si>
    <t>নখের আকার প্রত্যাশার চেয়ে বড় দেখায়</t>
  </si>
  <si>
    <t>বাক্সটিতে একটি শার্পনার আছে যা খুব সুবিধাজনক</t>
  </si>
  <si>
    <t>ডিভাইসটির ব্যাটারি ব্যাকআপ চমৎকার</t>
  </si>
  <si>
    <t>ভয়ানক গুণ সম্ভব হলে এড়িয়ে চলুন</t>
  </si>
  <si>
    <t xml:space="preserve">অনেক মজবুতভাবেই প্যাক করেছে </t>
  </si>
  <si>
    <t>সেলাই কাজটি ঠিক ছিল তবে এটি কিছুটা দুর্বল মনে হচ্ছে</t>
  </si>
  <si>
    <t>অনেক দিন ধরে রাখার মতো একটি জিনিশ</t>
  </si>
  <si>
    <t>স্ক্রিন সহজেই স্ক্র্যাচ করার প্রবণ সুরক্ষার জন্য একটি স্ক্রিন প্রটেক্টর প্রয়োজন৷</t>
  </si>
  <si>
    <t>অপ্রতিরোধ্য পণ্য অপ্রতুল মৃত্যুদন্ড</t>
  </si>
  <si>
    <t>হাতলগুলি খারাপভাবে সংযুক্ত এবং সহজেই ঢিলে হয়ে যায় আঘাতের ঝুঁকি তৈরি করে</t>
  </si>
  <si>
    <t>সাশ্রয়ী মূল্যের এবং ব্যবহার করা সহজ</t>
  </si>
  <si>
    <t>সাশ্রয়ী তবে পারফেক্ট নয়</t>
  </si>
  <si>
    <t>ব্যবহারে কিছু ঝামেলা আছে সহজ নয়</t>
  </si>
  <si>
    <t>এটি সন্তোষজনক কিন্তু আরও ভালো বিকল্প রয়েছে</t>
  </si>
  <si>
    <t>হেয়ার স্ট্রেইটনারের তাপমাত্রা নিয়ন্ত্রণে ত্রুটি চুল অতিরিক্ত গরম করে</t>
  </si>
  <si>
    <t>কাজটির নিয়মিত পরিবর্তন প্রয়োজন</t>
  </si>
  <si>
    <t>ভাঁজ পড়ার সম্ভাবনা রয়েছে</t>
  </si>
  <si>
    <t>স্নানের সল্টের প্যাকেজিং খোলা কঠিন ছিল কাঁচি প্রয়োজন</t>
  </si>
  <si>
    <t>গুণমান ঠিক আছে তবে কিছু উন্নতির সম্ভাবনা আছে</t>
  </si>
  <si>
    <t>এটি নিরাপদ মনে হয় তবে ছোট অংশগুলো আলাদা হয়ে যেতে পারে</t>
  </si>
  <si>
    <t>তুচ্ছ এবং অতিরিক্ত দামে অন্য কোথাও কিনুন</t>
  </si>
  <si>
    <t>প্যাডের উপরের অংশটা একটু নরম মনে হয়েছে</t>
  </si>
  <si>
    <t>রিচার্জেবল ফ্ল্যাশলাইট দ্রুত চার্জ হারায় জরুরী পরিস্থিতিতে নির্ভরযোগ্য নয়</t>
  </si>
  <si>
    <t>ঢাকনা সীল সূর্যালোক এক্সপোজার থেকে ক্ষয় প্রবণ হয়</t>
  </si>
  <si>
    <t>প্রত্যাশিত অডিও গুণমানের চেয়ে ভাল হবে</t>
  </si>
  <si>
    <t>কানের দুলগুলির ডিজাইন অনেক দৃষ্টিনন্দন</t>
  </si>
  <si>
    <t>টুথপেস্টের ফেনা মাঝারি</t>
  </si>
  <si>
    <t>ভ্রমণের প্রয়োজনীয় জিনিসটি যেকোন কিছুতেই পরিণত হয়েছে</t>
  </si>
  <si>
    <t>বাচ্চারাও খুব পছন্দ করে</t>
  </si>
  <si>
    <t>দেখতে সুন্দর কিন্তু সাইজ ছোট হয়ে এসেছে</t>
  </si>
  <si>
    <t>এর স্বাদ এতই সমৃদ্ধ যে আমি কখনও ক্রিম বা চিনি যোগ করি না</t>
  </si>
  <si>
    <t>ইনস্টল এবং ব্যবহার করা সহজ</t>
  </si>
  <si>
    <t>সৌরচালিত এলইডি লাইটের মোশন সেন্সর অত্যন্ত সংবেদনশীল অপ্রয়োজনীয়ভাবে ট্রিগার করে</t>
  </si>
  <si>
    <t>ইয়ারবাড কাজ করে কিন্তু নিরাপদে কানে থাকে না</t>
  </si>
  <si>
    <t xml:space="preserve">  হেমটি অসমান ছিল এটি একটি অব্যবসায়ী এবং অসমাপ্ত চেহারা দিয়েছে</t>
  </si>
  <si>
    <t>পেইন্টিং করার সময় পেইন্টব্রাশের ব্রিস্টলগুলি ঝরে যায় বিপথগামী চুল রেখে যায়</t>
  </si>
  <si>
    <t>বাটিগুলোর আকৃতি সাধারণ কোনো বিশেষত্ব নেই</t>
  </si>
  <si>
    <t>মোট কর্মক্ষমতা গ্রহণযোগ্য</t>
  </si>
  <si>
    <t>পোশাক আরামদায়ক তবে সেলাই ভালো নয়</t>
  </si>
  <si>
    <t xml:space="preserve"> কম ভাজা হয়েছিল যার ফলে একটি টক এবং অনুন্নত স্বাদ ছিল</t>
  </si>
  <si>
    <t>কম্পিউটারের মনিটরের রেজোলিউশন খুবই স্পষ্ট</t>
  </si>
  <si>
    <t>বালিশগুলির প্রান্তের অংশ এমনভাবে সেলাই করা হয়েছে যে এগুলি কখনও খসে যায় না</t>
  </si>
  <si>
    <t>হিমায়িত প্রাতরাশের স্যান্ডউইচে ভেজা পাউরুটি এবং রাবারি ডিম ছিল স্বাদ এবং টেক্সচারের অভাব ছিল</t>
  </si>
  <si>
    <t xml:space="preserve">  ক্রিম খুব পুরু এবং আমার ছিদ্র আটকে ছিল</t>
  </si>
  <si>
    <t>মধুটি প্রাকৃতিকভাবে সংগ্রহ করা হয়</t>
  </si>
  <si>
    <t>সব আইটেম একসাথে রাখা যায় কিন্তু বেশি জায়গা লাগে</t>
  </si>
  <si>
    <t>তারা সাময়িকভাবে কাজ করে</t>
  </si>
  <si>
    <t>টিভিটি একটি ফাটলযুক্ত স্ক্রিন নিয়ে এসেছিল এটিকে বাক্সের বাইরে ব্যবহার করার অযোগ্য করে তুলেছে</t>
  </si>
  <si>
    <t>স্পর্শ স্ক্রীন স্পর্শ অঙ্গভঙ্গির জন্য প্রতিক্রিয়াশীল নয় এটি নির্দিষ্ট অ্যাপ্লিকেশন নেভিগেট করা কঠিন করে তোলে</t>
  </si>
  <si>
    <t>প্লাস্টিকের ফুলটি রাতেও সুন্দর দেখায়</t>
  </si>
  <si>
    <t xml:space="preserve"> উপাদানটিতে একটি অপ্রীতিকর রাসায়নিক গন্ধ রয়েছে যা সময়ের সাথে সাথে বিলীন হয় না</t>
  </si>
  <si>
    <t>সাধারণ ব্যাথায় উপশম দিতে পারে</t>
  </si>
  <si>
    <t>মিশ্র পর্যালোচনা ছিল</t>
  </si>
  <si>
    <t>তাকগুলি ক্ষীণ বোধ করে এবং ভারী জিনিসগুলি নিরাপদে ধরে রাখতে পারে না</t>
  </si>
  <si>
    <t xml:space="preserve"> অডিও ক্যাবলটি বিচ্ছিন্ন এবং বিভক্ত হওয়ার প্রবণতা সময়ের সাথে সাথে শব্দের গুণমান এবং স্থায়িত্বের সাথে আপস করে</t>
  </si>
  <si>
    <t>পাখা যোগ করা সম্ভবত আরও সুবিধা প্রদান করত</t>
  </si>
  <si>
    <t>মোবাইলটির ক্যামেরার জুম ফিচার অনেক ভালো</t>
  </si>
  <si>
    <t>অনলাইনে দেখে কেনার পর বাস্তবে দেখেছি</t>
  </si>
  <si>
    <t>শপিকারটি ব্যবহার করা সহজ</t>
  </si>
  <si>
    <t>গরম রাখে তবে মাঝে মাঝে অতিরিক্ত গরম হয়ে যায়</t>
  </si>
  <si>
    <t>প্রতিফলন স্পষ্ট তবে চোখ ধাঁধানো নয়</t>
  </si>
  <si>
    <t>বৈদ্যুতিক কেটলির ঢাকনার কব্জা ভেঙে গেছে এটি খোলা এবং বন্ধ করা কঠিন করে তুলেছে</t>
  </si>
  <si>
    <t>প্রতিদিনের ব্যবহারের জন্য ডিজাইন অযোগ্য এবং প্রত্যাশার সাথে মিল নেই</t>
  </si>
  <si>
    <t>প্যাডের উপরের অংশটি সমতল এবং নির্দিষ্টভাবে তৈরি</t>
  </si>
  <si>
    <t>জুতা সেলাই সহজে পূর্বাবস্থায় আসে নিম্নমানের কারুকার্য নির্দেশ করে</t>
  </si>
  <si>
    <t>হেয়ার পোমেড আমার চুলকে ওজন করে ফেলেছে এটিকে সমতল এবং প্রাণহীন দেখায়</t>
  </si>
  <si>
    <t>বাজারে সেরা এয়ারট্যাগ প্রটেক্টর</t>
  </si>
  <si>
    <t>মেকআপ রিমুভার ওয়াইপগুলি খুব শুষ্ক মেকআপ অপসারণের জন্য অতিরিক্ত ঘষা প্রয়োজন</t>
  </si>
  <si>
    <t>প্যাডের সুরক্ষা ভালো তবে আকার একটু ছোট</t>
  </si>
  <si>
    <t>মজবুত তবে অসাধারণ নয়</t>
  </si>
  <si>
    <t>বেবি স্যাডল কম্বলের ফ্যাব্রিক রুক্ষ শিশুর ত্বকে জ্বালা সৃষ্টি করে</t>
  </si>
  <si>
    <t>ব্রাশের ডিজাইন খুবই আধুনিক এবং ব্যবহার উপযোগী</t>
  </si>
  <si>
    <t>মাঝারি মানের ছবি তবে আরো ভাল হতে পারতো</t>
  </si>
  <si>
    <t>ব্যাটারি লাইফ অসাধারণ একবার চার্জ দিলে সারাদিন চলে যায়</t>
  </si>
  <si>
    <t>বইটি সংগ্রহ করার মতো তবে সব অংশ সমানভাবে উপভোগ্য নয়</t>
  </si>
  <si>
    <t>প্রোডাক্টটি খুবই সুন্দর এবং ভালোগ্রেট পণ্যখুব সুন্দরসেরা   মিস করবেন না</t>
  </si>
  <si>
    <t xml:space="preserve"> অন্তর্নির্মিত স্পিকারগুলি কম শক্তিযুক্ত ছিল শব্দ দিয়ে একটি ঘর পূরণ করতে ব্যর্থ হয়েছিল</t>
  </si>
  <si>
    <t>রোদের সময়ও এটি ব্যবহার করি</t>
  </si>
  <si>
    <t xml:space="preserve"> সামগ্রিকভাবে মূল্য দেওয়া মূল্য নয়</t>
  </si>
  <si>
    <t>অতিরিক্ত ব্যবহারে ত্বক শুষ্ক হতে পারে</t>
  </si>
  <si>
    <t>আমার ঘুমের গুণগত মান অনেক বেড়ে গেছে</t>
  </si>
  <si>
    <t>টিনজাত স্যুপে জলীয় সামঞ্জস্য ছিল এবং পদার্থের অভাব ছিল এতে শাকসবজি বা মাংসের আসল অংশ ছিল না</t>
  </si>
  <si>
    <t>অতিরিক্ত ভিজে পানি জমে যেতে পারে</t>
  </si>
  <si>
    <t>বিভিন্ন স্পোর্টসের ছবি আছে কিন্তু খুব ছোট</t>
  </si>
  <si>
    <t>এটি ধোয়া সহজ কিন্তু রঙ কিছুটা ফিকে হয়ে যায়</t>
  </si>
  <si>
    <t>বৈদ্যুতিক ওপেনার এর মোটর অতিরিক্ত গরম হতে পারে অপারেশন চলাকালীন বন্ধ হয়ে যায়</t>
  </si>
  <si>
    <t>অসামঞ্জস্যপূর্ণ ফোকাস ট্র্যাকিং চলমান বিষয়গুলিকে সঠিকভাবে ক্যাপচার করা কঠিন করে তোলে</t>
  </si>
  <si>
    <t>আমাদের বাসার জানালা থেকে সূর্যোদয় দেখতে খুব সুন্দর লাগে</t>
  </si>
  <si>
    <t>বক্স স্প্রিং কভারের জন্য পণ্য ঠিক আছে</t>
  </si>
  <si>
    <t xml:space="preserve">  তেলের একটি শক্তিশালী ঘ্রাণ ছিল যা আমি পছন্দ করি না</t>
  </si>
  <si>
    <t>আমাদের ক্লাসে সব শিক্ষার্থী খুব আগ্রহী</t>
  </si>
  <si>
    <t>সৌরচালিত এলইডি লাইটের ব্যাটারি চার্জ ধরে না ঘন ঘন প্রতিস্থাপনের প্রয়োজন</t>
  </si>
  <si>
    <t>পণ্যের গুণমান ছিল সাবপার দামের মতো নয়</t>
  </si>
  <si>
    <t>গাড়ির জন্য খুব ভালো সমর্থক</t>
  </si>
  <si>
    <t>ডিভাইসটির ওয়্যারলেস চার্জিং ফিচার খুব সুবিধাজনক</t>
  </si>
  <si>
    <t>চমৎকার কিন্তু কিছুটা হতাশ</t>
  </si>
  <si>
    <t>এই সানগ্লাসটি খুবই আরামদায়ক এবং স্টাইলিশ</t>
  </si>
  <si>
    <t>লুফাহের ফাইবারগুলি ঝরঝরে হয়ে পড়ে এবং ঝরনার মধ্যে বিশৃঙ্খলা সৃষ্টি করে</t>
  </si>
  <si>
    <t>ডেস্কটি কাজ করার জন্য একটি আরামদায়ক ও প্রশস্ত জায়গা প্রদান করে</t>
  </si>
  <si>
    <t>মাঝে মাঝে আলো ম্লান হয়ে যায়</t>
  </si>
  <si>
    <t>আমআর ভাবনা থেকে অনেক ভাল</t>
  </si>
  <si>
    <t>এটি পরিষ্কার করা খুবই সহজ</t>
  </si>
  <si>
    <t>পণ্যের কর্মক্ষমতা খরচ ন্যায্যতা না</t>
  </si>
  <si>
    <t>লেখার ধরণ সহজবোধ্য কিন্তু কয়েকটি অধ্যায় বিরক্তিকর লেগেছে</t>
  </si>
  <si>
    <t>মেয়েটি সবসময় তার ছোট ভাইকে সাহায্য করে</t>
  </si>
  <si>
    <t>মেয়েটি তার পড়াশোনায় সবসময় মনোযোগী</t>
  </si>
  <si>
    <t>কফির কাপের আকার হাতে ধরার জন্য একদম উপযুক্ত</t>
  </si>
  <si>
    <t>হেয়ারস্প্রেতে একটি শক্তিশালী ঘ্রাণ ছিল যা ঘণ্টার পর ঘণ্টা লেগে থাকত আমার মাথা ব্যথা করে</t>
  </si>
  <si>
    <t>শিশুটি তার নতুন খেলনা নিয়ে খেলে</t>
  </si>
  <si>
    <t>সেলাইয়ের মান মাঝারি</t>
  </si>
  <si>
    <t>পোশাকটিতে অসম হেমলাইন ছিল যা এটিকে ঢালু এবং অব্যবসায়ী দেখায়</t>
  </si>
  <si>
    <t>বাথরোবের সেলাইটি কয়েকটা পরার পরেই পূর্বাবস্থায় পড়েছিল ভেঙে পড়েছিল</t>
  </si>
  <si>
    <t>মেকআপ ব্রাশ ব্যবহার করা একটি শিল্প</t>
  </si>
  <si>
    <t>পরিধানে খুবই আরামদায়ক</t>
  </si>
  <si>
    <t>লাউঞ্জ চেয়ারের ফুটরেস্ট অত্যন্ত আরামদায়ক</t>
  </si>
  <si>
    <t xml:space="preserve">  এক্সফোলিয়েন্ট আমার ত্বকে জ্বালা করে এবং লাল করে ফেলে</t>
  </si>
  <si>
    <t>এর ব্লু ফিন প্রযুক্তি দীর্ঘস্থায়ী পারফরম্যান্স নিশ্চিত করে এটি একটি বুদ্ধিমান বিনিয়োগ</t>
  </si>
  <si>
    <t>পোশাকের সামগ্রিক নির্মাণ সস্তা এবং অস্থির স্থায়িত্বের অভাব অনুভব করে</t>
  </si>
  <si>
    <t>কমফোর্টারটি খুব সুন্দর এবং আরামদায়ক</t>
  </si>
  <si>
    <t>গ্রেট ভ্যালু প্যাকটি ভালো মানের তবে কিছুটা কম উপকারী</t>
  </si>
  <si>
    <t>একটু বড়</t>
  </si>
  <si>
    <t>মোবাইলটির ব্যাটারি স্ট্যান্ডবাই টাইম দীর্ঘ</t>
  </si>
  <si>
    <t>এর শার্পনারে পেনসিলটি খুব ভালোভাবে শার্প হয় কোন সমস্যা হয় না</t>
  </si>
  <si>
    <t>টিনজাত মটরশুটিগুলি চিকন এবং স্বাদযুক্ত ছিল যেন তারা অনেক দিন ধরে তাকের মধ্যে পড়ে ছিল</t>
  </si>
  <si>
    <t>প্রথম দিকে ভালো ছিল পরে কিছু সমস্যা হয়েছে</t>
  </si>
  <si>
    <t>পুরো সেটটির রং কম্বিনেশন অত্যন্ত আকর্ষণীয় ও সমন্বিত</t>
  </si>
  <si>
    <t>ডিজাইনটিতে বহুমুখীতার অভাব রয়েছে বিভিন্ন অনুষ্ঠানের জন্য এর আবেদন সীমিত করে</t>
  </si>
  <si>
    <t>তাঁবুর বাঁক সহজেই বেঁকে যায় বাতাসের পরিস্থিতিতে স্থিতিশীলতার সাথে আপস করে</t>
  </si>
  <si>
    <t>গরম করার উপাদান অল্প সময়ের ব্যবহারের পরে ব্যর্থ হয়েছে এটি অকেজো হয়ে গেছে</t>
  </si>
  <si>
    <t>ধন্যবাদ আমি আরও কিছু অভিজ্ঞতা শেয়ার করছি</t>
  </si>
  <si>
    <t>শিশুটি তার বন্ধুদের সাথে খেলার মাঠে খেলতে যায়</t>
  </si>
  <si>
    <t>ইলেকট্রনিক হরমোনিকাটি বাজানো যায় কিন্তু সাউন্ড কৃত্রিম শোনায়</t>
  </si>
  <si>
    <t>ধারাবাহিক ইতিবাচক অভিজ্ঞতার পরে ডেলিভারি প্রক্রিয়ার সাথে একটি সমস্যার সম্মুখীন হওয়া</t>
  </si>
  <si>
    <t>পোশাকটি দেখতে ভালো তবে ওয়াশের পর শেপ নষ্ট হয়ে গেছে</t>
  </si>
  <si>
    <t>চামচকাঁটাছুরির ওজন হালকা ব্যবহারে কিছুটা অস্বস্তি হয়</t>
  </si>
  <si>
    <t>এই মোবাইল অ্যাপটি ব্যবহার করা খুবই সহজ</t>
  </si>
  <si>
    <t>গঠনের অভাবে পোশাকটি শরীরে আকারহীন দেখায়</t>
  </si>
  <si>
    <t>ওয়্যারলেস কীবোর্ড এলোমেলোভাবে ডিভাইস থেকে সংযোগ বিচ্ছিন্ন করে ব্যবহার করতে হতাশাজনক</t>
  </si>
  <si>
    <t>এটি অত্যন্ত সজ্জিত এবং মহৎ মূল্যবান মনে হয়</t>
  </si>
  <si>
    <t>রঙ মোটামুটি আকর্ষণীয়</t>
  </si>
  <si>
    <t>মাউসের রেসপন্সিভনেস অনেক ভালো</t>
  </si>
  <si>
    <t>পেন্সিল স্কেচের জন্য ব্যবহার করা যায়</t>
  </si>
  <si>
    <t>এটা কাজ করছে</t>
  </si>
  <si>
    <t>বিভ্রান্তিকর নির্দেশাবলী এবং ডায়াগ্রাম সহ  ব্যবহারকারীর ম্যানুয়ালটি খারাপভাবে লেখা হয়েছে</t>
  </si>
  <si>
    <t>বিউটি সোপটি ত্বকের নমনীয়তা বৃদ্ধি করে</t>
  </si>
  <si>
    <t>ক্যানভাসে দৃশ্যমান ত্রুটি এবং অপূর্ণতা ছিল</t>
  </si>
  <si>
    <t>স্বয়ংক্রিয় সাবান বিতরণকারী আটকে যায় সাবান বিতরণ করে না</t>
  </si>
  <si>
    <t>সীমিত ক্ষমতা যথেষ্ট আইটেম মিটমাট না</t>
  </si>
  <si>
    <t>গরম রাখে তবে তাপমাত্রা নিয়ন্ত্রণ করা কঠিন</t>
  </si>
  <si>
    <t>এই পানীয়টি বেশ সুস্বাদু তবে দাম একটু বেশি মনে হয়েছে</t>
  </si>
  <si>
    <t xml:space="preserve"> বিদ্যুৎ খরচ বিজ্ঞাপনের চেয়ে বেশি ছিল যার ফলে শক্তির বিল বেড়েছে</t>
  </si>
  <si>
    <t>খাবার পরিবেশনের জন্য উপযুক্ত কিন্তু সাজসজ্জার জন্য নয়</t>
  </si>
  <si>
    <t>শুধুমাত্র কার্যকরী না</t>
  </si>
  <si>
    <t>বিউটি সোপটি ত্বকের জ্বালাপোড়া কমায়</t>
  </si>
  <si>
    <t>কাপগুলোর তলদেশ পুরু কিন্তু উপরের অংশ পাতলা</t>
  </si>
  <si>
    <t>প্যাকেজিং ডিজাইন একটি বিশৃঙ্খলা সৃষ্টি না করে পণ্য বিতরণ করা কঠিন করে তুলেছে</t>
  </si>
  <si>
    <t>ব্যাগগুলো পিরামিড আকৃতির</t>
  </si>
  <si>
    <t>ডিজাইন সাধারণ লেগেছে</t>
  </si>
  <si>
    <t>এটি অত্যন্ত শক্তিশালী এবং সহজে ব্যবহার করা যায়</t>
  </si>
  <si>
    <t>প্লাস্টিকের ফুলটি অ্যালার্জি সমস্যা থেকে মুক্তি দিয়েছে</t>
  </si>
  <si>
    <t>ইলেকট্রিক টুথব্রাশ দাঁত মাজে তবে চার্জ কম থাকে</t>
  </si>
  <si>
    <t>ফিরে এলাম ঈশ্বরকে ধন্যবাদ</t>
  </si>
  <si>
    <t>ভালো কাজ করবেন না</t>
  </si>
  <si>
    <t>সহজ ইনস্টল উদ্দেশ্য হিসাবে কাজ</t>
  </si>
  <si>
    <t>পিষনটি খুব সূক্ষ্ম ছিল ফলে একটি তিক্ত এবং অতিরিক্ত নিষ্কাশিত চোলাই ছিল</t>
  </si>
  <si>
    <t>ক্যামেরার অন্তর্নির্মিত মাইক্রোফোন নিম্নমানের অডিও রেকর্ডিং তৈরি করে স্বচ্ছতার অভাব</t>
  </si>
  <si>
    <t>এটি গুণমানের দিক থেকে কিছুটা ঢিলা থাকে</t>
  </si>
  <si>
    <t>মিষ্টি আর লবণের সামঞ্জস্য এত সুন্দরভাবে করা হয়েছে যে খেতে খেতে একদম মজা পাচ্ছি</t>
  </si>
  <si>
    <t>অস্বস্তিকর এবং অস্থির ক্রেতা সাবধান</t>
  </si>
  <si>
    <t>কিছু গাছ ভালো হয়েছে তবে সারটি তেমন ফলন বৃদ্ধি করতে পারেনি</t>
  </si>
  <si>
    <t>এতে প্রাকৃতিক উপাদান আছে যা আমার ত্বকের জন্য ভালো</t>
  </si>
  <si>
    <t>ওয়াশ আমার চামড়া শুকিয়ে টানটান করে তুলেছে</t>
  </si>
  <si>
    <t>খুব রুক্ষ ছিল এবং আমার চামড়া কাঁচা ছেড়ে</t>
  </si>
  <si>
    <t>প্রতি চুমুকে আমি অনুভব করি এর পিছনের ঐতিহ্য ও কৃষকদের পরিশ্রম</t>
  </si>
  <si>
    <t>ফুড স্কেল ওজন মাপে কিন্তু বাটন সংবেদনশীল</t>
  </si>
  <si>
    <t>শিক্ষকের ব্যাখ্যা সবসময় পরিষ্কার এবং বোধগম্য</t>
  </si>
  <si>
    <t>ওয়াইফাইসংযোগ অবিশ্বস্ত ছিল ঘন ঘন সংযোগ বাদ দিয়েছিল</t>
  </si>
  <si>
    <t>লুকটা ভালো কিন্তু রঙ তেমনটা নয়</t>
  </si>
  <si>
    <t>সোপটি ত্বকে কোনো পার্শ্বপ্রতিক্রিয়া করে না</t>
  </si>
  <si>
    <t xml:space="preserve">  পলিশে কঠোর রাসায়নিক পদার্থ রয়েছে যা আমার ত্বককে পুড়িয়ে দেয়</t>
  </si>
  <si>
    <t xml:space="preserve">অনেকদিন ইউজ করার পর রিভিউ দিচ্ছি </t>
  </si>
  <si>
    <t xml:space="preserve"> রিমোট কন্ট্রোলে একটি আলগা ব্যাটারি কম্পার্টমেন্ট ছিল যার ফলে ব্যাটারি পড়ে যায়</t>
  </si>
  <si>
    <t>আকার মোটামুটি ঠিক আছে তবে কিছুটা বড় মনে হয়</t>
  </si>
  <si>
    <t>কফি দুর্বল এবং জলযুক্ত ছিল শরীর এবং সমৃদ্ধির অভাব ছিল</t>
  </si>
  <si>
    <t>পাওয়ার ব্যাঙ্কের কেসিং ক্ষীণ এবং ক্ষতির প্রবণ স্থায়িত্বের অভাব অনুভব করে</t>
  </si>
  <si>
    <t>বিউটি সোপটি ত্বকের আর্দ্রতা ধরে রাখে</t>
  </si>
  <si>
    <t>অটোফোকাস নির্ভুলতা অসামঞ্জস্যপূর্ণ প্রায়শই চ্যালেঞ্জিং পরিস্থিতিতে বিষয়গুলিকে লক করতে লড়াই করে৷</t>
  </si>
  <si>
    <t>পুনরায় ব্যবহারযোগ্য</t>
  </si>
  <si>
    <t>পুঁতির গুণগত মান সাধারণ</t>
  </si>
  <si>
    <t>স্পটলাইট ক্যামেরাগুলি সংবেদনশীল হতে পারে</t>
  </si>
  <si>
    <t>জরুরী অবস্থার সময় মনের শান্তি এবং সেরা চুক্তি</t>
  </si>
  <si>
    <t>আমার কুকুরছানা নিরীক্ষণের জন্য চমৎকার নিরাপত্তা ক্যামেরা</t>
  </si>
  <si>
    <t>ব্যবহারযোগ্য যদিও এটি উচ্চ মানের বলে মনে হয় না</t>
  </si>
  <si>
    <t>ডিজাইনটি অবাস্তব চলাচল এবং আরামকে বাধা দেয়</t>
  </si>
  <si>
    <t>স্বয়ংক্রিয় জল সরবরাহকারীর জলের প্রবাহ দুর্বল ধীরগতির বিতরণ</t>
  </si>
  <si>
    <t>মুখের কুয়াশায় সুগন্ধের উচ্চ ঘনত্ব থাকে যা কিছু ব্যবহারকারীদের মধ্যে অ্যালার্জি এবং সংবেদনশীলতা সৃষ্টি করে</t>
  </si>
  <si>
    <t>মধুটি প্রাকৃতিক মিষ্টি হিসেবে জনপ্রিয়</t>
  </si>
  <si>
    <t>বিভিন্ন রঙের বিকল্প রয়েছে</t>
  </si>
  <si>
    <t>বিছানার ফ্রেমের চাকাগুলি ক্ষীণ এবং ভাঙ্গার প্রবণ যার ফলে বিছানাটি অপ্রত্যাশিতভাবে ভেঙে পড়ে</t>
  </si>
  <si>
    <t>স্নানের তোয়ালেটির ফাইবারগুলি অত্যধিকভাবে ঝরে যায় আমার সমস্ত ত্বকে লিন্ট রেখে যায়</t>
  </si>
  <si>
    <t>দীর্ঘদিন ধরে একই রকম সৌন্দর্য বজায় রাখে</t>
  </si>
  <si>
    <t>ফ্রিজের মোটর ক্রমাগত চলে যা শক্তির দক্ষতার সাথে সম্ভাব্য সমস্যাগুলি নির্দেশ করে৷</t>
  </si>
  <si>
    <t>ব্যবহারের পর পরিষ্কার করতে হয়</t>
  </si>
  <si>
    <t>মূল্য সাশ্রয়ী কিন্তু মানসম্মত নয়</t>
  </si>
  <si>
    <t>সব ধরনের চুলের জন্য উপযুক্ত বলে দাবি করা সত্ত্বেও অনেক ব্যবহারকারীর জন্য অকার্যকর প্রমাণিত হয়েছে</t>
  </si>
  <si>
    <t>প্রতিটি পিসের সাথে কেয়ার ইনস্ট্রাকশন দেওয়া আছে</t>
  </si>
  <si>
    <t>পোর্টেবল আইস কিউব মেকারটি বরফ বানায় কিন্তু আকার ছোট</t>
  </si>
  <si>
    <t>তার ব্লুটুথ খুব নির্ভরযোগ্য নয়</t>
  </si>
  <si>
    <t>কফি মেকারটি ঠিকই কফি বানায় তবে ব্যবহার করা একটু জটিল</t>
  </si>
  <si>
    <t xml:space="preserve"> টার্নটেবল মোটরটি হঠাৎ কাজ করা বন্ধ করে দেয় এটি ব্যবহার করার অযোগ্য হয়ে পড়ে</t>
  </si>
  <si>
    <t>সহজ এবং সহজ</t>
  </si>
  <si>
    <t>পোর্টেবল ডিহাইড্রেটরটি খাবার শুকায় তবে শক্তি খরচ বেশি</t>
  </si>
  <si>
    <t>অনেক ব্যবহারকারী ব্যবহারের পরে অ্যালার্জির প্রতিক্রিয়া এবং ত্বকের সংবেদনশীলতার সমস্যা অনুভব করেছেন</t>
  </si>
  <si>
    <t>দুর্দান্ত এনএএস ড্রাইভ রান কুল ধারাবাহিক পারফরম্যান্স</t>
  </si>
  <si>
    <t>ঘন ঘন সংযোগ সমস্যা বা সামঞ্জস্য ত্রুটি সহ বিভিন্ন ডিভাইসের সাথে  সামঞ্জস্যতা সীমিত</t>
  </si>
  <si>
    <t>পাতলা ভঙ্গুর উপাদান ন্যূনতম বল সঙ্গে ফাটল</t>
  </si>
  <si>
    <t>ব্যবহার করা সহজ মহান কাজ করে ভাল মান</t>
  </si>
  <si>
    <t>দুর্বলবিশ্রী</t>
  </si>
  <si>
    <t>গন্ধটি মসৃণ এবং অনুপ্রেরণাদায়ক ছিল কোন জটিলতার অভাব ছিল না</t>
  </si>
  <si>
    <t>এটি গরমের দিনে আমার প্রধান ভরসা</t>
  </si>
  <si>
    <t>ওয়াটারিং ক্যানটি গাছে পানি দেয় এবং এর ওজন বেশি</t>
  </si>
  <si>
    <t>পোশাক বাছাইয়ে সাহায্য করে</t>
  </si>
  <si>
    <t>দাগ তোলার ক্ষমতা মোটামুটি ভালো</t>
  </si>
  <si>
    <t>এই মোমবাতি হোল্ডারটি অনেক আভিজাত্যপূর্ণ</t>
  </si>
  <si>
    <t>ড্রোনের প্রোপেলারগুলি আঘাতে সহজেই ভেঙে যায় ঘন ঘন প্রতিস্থাপনের প্রয়োজন হয়</t>
  </si>
  <si>
    <t>পোশাক স্টাইলিশ তবে মাপটা ঠিক হয়নি</t>
  </si>
  <si>
    <t xml:space="preserve"> অটোফোকাস সিস্টেমটি ব্যাকফোকাস করার প্রবণ ফলে ছবিগুলি ঝাপসা হয়ে যায়</t>
  </si>
  <si>
    <t>এই বডি ওয়াশ ব্যবহারে আপনার ত্বক হবে সুগন্ধময়</t>
  </si>
  <si>
    <t>আলোর ছটা কিছুটা বিক্ষিপ্ত লেগেছে</t>
  </si>
  <si>
    <t>গল্পের বিষয়বস্তু ভালো কিন্তু সংলাপ কিছু জায়গায় অপ্রাসঙ্গিক মনে হয়েছে</t>
  </si>
  <si>
    <t>টেনিস বলের বাউন্স যথেষ্ট কিন্তু গুণগত মান উন্নত হতে পারে</t>
  </si>
  <si>
    <t>জুতার মাপ ঠিক আছে তবে খুব আরামদায়ক না</t>
  </si>
  <si>
    <t>কাপড়ের মান মোটামুটি কিন্তু সেলাই একটু দুর্বল</t>
  </si>
  <si>
    <t>দাম অনুযায়ী পণ্যটি উপযুক্ত</t>
  </si>
  <si>
    <t>প্যাকেজটি খোলার পরে পোশাকটিতে একটি অদ্ভুত রাসায়নিক গন্ধ ছিল যা নিম্নমানের সামগ্রীর পরামর্শ দেয়</t>
  </si>
  <si>
    <t>পেইন্টিং সেটে রঙ তত্ত্বের উপর যথেষ্ট নির্দেশনা অন্তর্ভুক্ত ছিল না</t>
  </si>
  <si>
    <t>রঙগুলি ঠিক আছে চিত্তাকর্ষক কিছুই নয়</t>
  </si>
  <si>
    <t>প্যাকেটজাত ফলের স্ন্যাকস ছিল অত্যধিক মিষ্টি এবং একটি সিন্থেটিক ফলের স্বাদ ছিল প্রকৃত ফলের স্বাদের অভাব ছিল</t>
  </si>
  <si>
    <t>প্যাকেজিং অত্যধিক ছিল পরিবেশের অবনতিতে অবদান রাখছিল</t>
  </si>
  <si>
    <t xml:space="preserve"> থলিটি আঁকাবাঁকা ছিল যার ফলে অসম ঢালা হয়েছিল</t>
  </si>
  <si>
    <t>নতুন বিছানার চাদরটি দেখতে খুবই সুন্দর</t>
  </si>
  <si>
    <t>গদিটি খুব দৃঢ় চাপের পয়েন্ট এবং অস্বস্তি সৃষ্টি করে বিশেষ করে পাশের স্লিপারদের জন্য</t>
  </si>
  <si>
    <t>ড্রেসিং টেবিলের সাথে জুয়েলারি অর্গানাইজার দেওয়া আছে</t>
  </si>
  <si>
    <t>একটি ব্রেসলেটের জন্য ভাল কাজ করেছে যদিও কিছু ত্রুটি রয়েছে</t>
  </si>
  <si>
    <t>এটি মেকআপের প্রাকৃতিকতা বাড়ায়</t>
  </si>
  <si>
    <t>আমি আবার নেব অনেক ভাল ছিল</t>
  </si>
  <si>
    <t xml:space="preserve"> স্নানের আসনের সাকশন কাপগুলি বাথটাবের সাথে ভালভাবে লেগে থাকে না যা নিরাপত্তা ঝুঁকি তৈরি করে</t>
  </si>
  <si>
    <t xml:space="preserve">  লক্ষণীয় ত্রুটি সঙ্গে আগত হতাশাজনক মানের ইঙ্গিত</t>
  </si>
  <si>
    <t>কাস্টমাইজেশনের অপশন সীমিত</t>
  </si>
  <si>
    <t xml:space="preserve">  পা নিরাপদে সংযুক্ত করা কঠিন যা অস্থিরতা এবং একটি অসম পৃষ্ঠের দিকে পরিচালিত করে</t>
  </si>
  <si>
    <t>অডিও সহ দুর্দান্ত ঘুমের মুখোশ</t>
  </si>
  <si>
    <t xml:space="preserve">  একটি অদ্ভুত মানানসই ছিল কাঁধ খুব চওড়া এবং কোমর খুব টাইট সঙ্গে</t>
  </si>
  <si>
    <t>পেটের জন্য ব্যবহার করা যায়</t>
  </si>
  <si>
    <t>নতুন ব্যাটারি এবং পুরানো রিমোটগুলি নতুনের মতো কাজ করে  পণ্যখুব সুন্দর</t>
  </si>
  <si>
    <t>এই শ্যাম্পুর ব্যবহার চুলকে কোমল এবং সিল্কি করে তোলে</t>
  </si>
  <si>
    <t>টিনজাত স্যুপের একটি মসৃণ স্বাদ ছিল এবং এতে মশলার অভাব ছিল হৃদয়গ্রাহী এবং আরামদায়ক থেকে অনেক দূরে</t>
  </si>
  <si>
    <t>এই চিত্রকর্মটি দেখে সত্যিই মুগ্ধ</t>
  </si>
  <si>
    <t>কিটটির প্রতিটি প্রোডাক্টের টেক্সচার খুবই মসৃণ</t>
  </si>
  <si>
    <t>অস্বস্তিকর ফ্যাব্রিক যা ত্বকের বিরুদ্ধে রুক্ষ এবং খসখসে অনুভূত হয়</t>
  </si>
  <si>
    <t>এই কফি পান করে আমার সকাল শুরু হয়েছে চমৎকার ভাবে</t>
  </si>
  <si>
    <t>এই বডি ওয়াশ ব্যবহারে আপনার আত্মবিশ্বাস বাড়বে</t>
  </si>
  <si>
    <t>ডিভাইসটির ইউআই অনেক ব্যবহারকারীবান্ধব</t>
  </si>
  <si>
    <t>টিউবটি সহজে স্কুইজ করা যায় পরিমাণ নিয়ন্ত্রণ করা সহজ</t>
  </si>
  <si>
    <t>প্যাটার্ন  এ মেলে না</t>
  </si>
  <si>
    <t>প্যাকেজ করা ক্র্যাকারগুলি বাসি ছিল এবং কার্ডবোর্ডের মতো স্বাদযুক্ত ছিল তাজা ক্র্যাকারগুলির খাস্তাতার অভাব ছিল</t>
  </si>
  <si>
    <t>বাজেট অনুযায়ী এর চেয়ে ভালো স্পিকার পাওয়া যাবে না দাম দিয়ে গুণ পেয়েছি</t>
  </si>
  <si>
    <t>প্যাকেজিং চাকে বাতাস থেকে রক্ষা করেনি যার ফলে অক্সিডেশন এবং গন্ধ নষ্ট হয়ে যায়</t>
  </si>
  <si>
    <t>এটি মেকআপের স্থায়িত্ব বাড়ায়</t>
  </si>
  <si>
    <t>কানেক্ট করতে খুব দ্রুত এবং সহজ ওয়াইফাই এবং ব্লুটুথ কানেক্টিভিটি দুর্দান্ত</t>
  </si>
  <si>
    <t>জিপিএস ভুল যার ফলে ভুল নেভিগেশন এবং লোকেশন ট্র্যাকিং হয়</t>
  </si>
  <si>
    <t>বেডসাইড টেবিলগুলোতে অতিরিক্ত চার্জিং পোর্ট দেওয়া আছে</t>
  </si>
  <si>
    <t>খাবারের স্বাদ বজায় রাখে কিন্তু গন্ধ ঢুকে যায়</t>
  </si>
  <si>
    <t>গ্রেট অডিও কর্ড</t>
  </si>
  <si>
    <t>বাতাস শুকনো করে না</t>
  </si>
  <si>
    <t>মেনু ইন্টারফেসটি বিভ্রান্তিকর এবং অজ্ঞাত এটি দ্রুত সেটিংস সামঞ্জস্য করা কঠিন করে তোলে</t>
  </si>
  <si>
    <t>ঘরের জানালার পর্দাগুলি খুব সুন্দরভাবে আলো নিয়ন্ত্রণ করে</t>
  </si>
  <si>
    <t>সোফার সাথে ম্যাচিং থ্রো পিলো দেওয়া আছে</t>
  </si>
  <si>
    <t>স্মার্ট ডোরবেলের স্পিকার ক্র্যাকিং খারাপ অডিও কোয়ালিটি</t>
  </si>
  <si>
    <t>অভ্যন্তরীণ দেয়ালে  পেইন্ট সহজেই চিপ হয়ে যায় নীচের ধাতুকে উন্মুক্ত করে</t>
  </si>
  <si>
    <t>কাপড়ের মান মোটামুটি কিন্তু দীর্ঘস্থায়ী হবে কিনা সন্দেহ আছে</t>
  </si>
  <si>
    <t>ফিট চাটুকার নয় ত্রুটিগুলির উপর জোর দেয়</t>
  </si>
  <si>
    <t>মোটকথা এই পেনসিলটি সত্যিই অসাধারণ এবং ব্যবহার করার জন্য সেরা</t>
  </si>
  <si>
    <t>ওজন কিছুটা বেশি মনে হয়েছে</t>
  </si>
  <si>
    <t>আলমারির উপরের অংশটি অতিরিক্ত জিনিস রাখার জন্য পারফেক্ট</t>
  </si>
  <si>
    <t>মোবাইলটির অডিও কোয়ালিটি অনেক ভালো</t>
  </si>
  <si>
    <t>কুয়াশা পরে একটি অদ্ভুত গন্ধ ছিল যা অপ্রীতিকর ছিল</t>
  </si>
  <si>
    <t>কিছুটা কম মিষ্টি তবে স্বাদটা ঠিক</t>
  </si>
  <si>
    <t>ঢাকনা সীল সময়ের সাথে সাথে হ্রাস পায় বাতাস প্রবেশ করতে দেয়</t>
  </si>
  <si>
    <t>হালকা ওজনের কিন্তু এর কারণে অস্থায়ী মনে হয়</t>
  </si>
  <si>
    <t>রেস্টুরেন্টের খাবারের মান অসাধারণ</t>
  </si>
  <si>
    <t>এটি কেনা নিয়ে কিছুটা সন্দেহ থাকতে পারে</t>
  </si>
  <si>
    <t>গরম রাখার ক্ষমতা মোটামুটি</t>
  </si>
  <si>
    <t>বাক্সটি মজবুত ও টেকসই ভ্রমণের সময়ও সহজে বহন করা যায়</t>
  </si>
  <si>
    <t>হেমিং খুব খারাপভাবে করা হয় যা ফ্রেয়িং এবং উন্মোচনের দিকে পরিচালিত করে</t>
  </si>
  <si>
    <t>পিক্সাল  এর সাথে সামঞ্জস্যপূর্ণ আমি পিক্সাল  ব্যবহার করি এবং এই চার্জার  মিনিটে  চার্জ করে</t>
  </si>
  <si>
    <t>পরিষ্কার ইলাস্টিক স্ট্রিং চেয়ে সামান্য ভালো</t>
  </si>
  <si>
    <t>বাথ থার্মোমিটারের ব্যাটারি দ্রুত মারা যায় ঘন ঘন প্রতিস্থাপনের প্রয়োজন হয়</t>
  </si>
  <si>
    <t>উপাদান কুঁচকানো প্রবণ এটিকে অপ্রস্তুত দেখায়</t>
  </si>
  <si>
    <t>ডেড পিক্সেল এবং ফ্লিকারিং স্ক্রিন সাবপার ডিসপ্লে কোয়ালিটি</t>
  </si>
  <si>
    <t>অমসৃণ রঞ্জক বিতরণ সহ একটি   প্রাপ্ত হয়েছে যার ফলে দাগযুক্ত প্যাচ এবং অসঙ্গত রঙ</t>
  </si>
  <si>
    <t>ভালো ডিজাইন কিন্তু গরম হওয়া কিছুটা অসম্পূর্ণ হতে পারে</t>
  </si>
  <si>
    <t>বন্ধুদের সাথে পার্টি করার সময় এই স্পিকারগুলো আমাদের আনন্দকে দ্বিগুণ করে দেয়</t>
  </si>
  <si>
    <t>পরিবারের সকলের জন্য এটি উপযোগী</t>
  </si>
  <si>
    <t>বিছানায় শুয়ে থাকার সময় এটা খুব আরামদায়ক অনুভূতি দেয়</t>
  </si>
  <si>
    <t>লক্ষ্যযোগ্য ত্রুটি সহ   প্রাপ্ত নিম্নমানের নিয়ন্ত্রণ</t>
  </si>
  <si>
    <t>আমার কাছে টেবিল আছে যা মজবুত</t>
  </si>
  <si>
    <t>লুফাহের হাতলটি অপ্রত্যাশিতভাবে ভেঙে গেছে এটিকে ব্যবহার করার অযোগ্য করে তুলেছে</t>
  </si>
  <si>
    <t>সসারগুলি আকারে অমিল ছিল তাদের অস্থির করে তুলেছিল</t>
  </si>
  <si>
    <t>প্রথমেই খুব একটা ভালো বা খারাপ বলা কঠিন</t>
  </si>
  <si>
    <t>জিমের জন্য দুর্দান্ত সমস্ত ক্রিয়াকলাপের জন্য উপযুক্ত কিনা যাচাই করতে হবে</t>
  </si>
  <si>
    <t>এই ডিনার সেটের মসৃণ পৃষ্ঠ খাবারের স্বাদকে প্রভাবিত করে না যা আমি খুবই পছন্দ করি</t>
  </si>
  <si>
    <t xml:space="preserve"> অন্তর্নির্মিত স্পিকারগুলি উচ্চ ভলিউমে একটি গুঞ্জন শব্দ নির্গত করে</t>
  </si>
  <si>
    <t>স্নানের তোয়ালেটির ফ্যাব্রিকটি রুক্ষ এবং খসখসে ছিল যা আমার ত্বককে জ্বালাতন করে</t>
  </si>
  <si>
    <t>ভলিউমাইজিং শ্যাম্পু আমার চুলে কোনো ভলিউম যোগ করেনি এবং এটিকে অলস রেখেছিল</t>
  </si>
  <si>
    <t>ঘরের যেকোনো স্থানে সহজেই স্থাপন করা যায়</t>
  </si>
  <si>
    <t>শেলফটির ডিজাইন খুবই কমপ্যাক্ট</t>
  </si>
  <si>
    <t>পাওয়ার কর্ডটি লুকানো কঠিন রান্নাঘরের নান্দনিকতা খারাপ করে</t>
  </si>
  <si>
    <t>ব্রাশগুলোর হাতল দুর্বল প্রবণ ছিল</t>
  </si>
  <si>
    <t xml:space="preserve"> টিতে একটি অদ্ভুত গন্ধ ছিল যা একাধিক ধোয়ার পরেও দীর্ঘায়িত ছিল যা নিম্নমানের সামগ্রী নির্দেশ করে</t>
  </si>
  <si>
    <t>সলিড পারফরম্যান্স</t>
  </si>
  <si>
    <t xml:space="preserve"> রান্নার চেম্বারে ঘনীভূত হয় ছাঁচের জন্য একটি প্রজনন স্থল তৈরি করে</t>
  </si>
  <si>
    <t>স্টেপ লাডারটি উঠতে সাহায্য করে তবে ভাঁজ করা কঠিন</t>
  </si>
  <si>
    <t>মাইক্রোওয়েভযোগ্য পিজ্জা পকেটে একটি রাবারি টেক্সচার ছিল এবং কার্ডবোর্ডের মতো স্বাদযুক্ত</t>
  </si>
  <si>
    <t>পেইন্টিং সেটে নতুনদের জন্য বিস্তারিত নির্দেশনার অভাব ছিল</t>
  </si>
  <si>
    <t>ওয়্যারলেস ইয়ার ওয়্যাক্স ক্যামেরাটি কান পরীক্ষা করে তবে রেজোলিউশন কম</t>
  </si>
  <si>
    <t>পণ্যটি গড় মানের</t>
  </si>
  <si>
    <t>দ্রুত শিপিং এবং একটি দারুণ ল্যাপটপ</t>
  </si>
  <si>
    <t>মোবাইলটির ডিজাইন অত্যন্ত আকর্ষণীয়</t>
  </si>
  <si>
    <t xml:space="preserve">আমরা  বন্ধু  টা নিয়েছি </t>
  </si>
  <si>
    <t>পোশাকটির স্টিচিং অত্যন্ত মজবুত</t>
  </si>
  <si>
    <t>কিছুটা ভালো আইটেম</t>
  </si>
  <si>
    <t>প্রতিটি দৃশ্যের বর্ণনা খুবই সুন্দর</t>
  </si>
  <si>
    <t>পড়ে গেলে ভাঙ্গে না কিন্তু আঁচড় পড়ে সহজেই</t>
  </si>
  <si>
    <t>ট্রেসিং প্যাডটি ভালো হলেও আরও উন্নত হতে পারত</t>
  </si>
  <si>
    <t>পরিষ্কার করার সময় সতর্ক থাকতে হয়</t>
  </si>
  <si>
    <t>অ্যাকুস্টিক গান শুনলে মনে হয় শিল্পী যেন সামনেই বসে বাজাচ্ছেন</t>
  </si>
  <si>
    <t>এই শ্যাম্পুর সুগন্ধি সত্যিই মনোমুগ্ধকর</t>
  </si>
  <si>
    <t>শিক্ষানবিস সেট মোটামুটি ঠিক আছে তবে কিছু ত্রুটি আছে</t>
  </si>
  <si>
    <t>সহজে ধোয়া যায় তবে অন্য খেলনার থেকে বিশেষ কিছু নয়</t>
  </si>
  <si>
    <t>পোশাক সুন্দর তবে কাট সমস্যাযুক্ত</t>
  </si>
  <si>
    <t>এটি ত্বকের সংক্রমণ কমাতে সহায়ক</t>
  </si>
  <si>
    <t>ডেলিভারিটি নির্ধারিত সময়ে সম্পন্ন হয়</t>
  </si>
  <si>
    <t>মাংসপেশির ব্যথায় সাহায্য করবে আশা করা যায়</t>
  </si>
  <si>
    <t>প্রতিদিনের ব্যবহারের জন্য উপযুক্ত</t>
  </si>
  <si>
    <t>এর ব্যবহারযোগ্যতা স্থায়ীত্ব নিয়ে প্রশ্ন উত্থাপন করে</t>
  </si>
  <si>
    <t>ফ্যাব্রিক লিন্ট এবং পোষা চুল সহজেই আকর্ষণ করে ধ্রুবক রক্ষণাবেক্ষণ এবং পরিষ্কারের প্রয়োজন</t>
  </si>
  <si>
    <t>স্মার্ট ডোরবেলের ক্যামেরা ল্যাগ গুরুত্বপূর্ণ ইভেন্ট মিস করে</t>
  </si>
  <si>
    <t>প্যাকেজটি আকর্ষণীয় এবং সহজে খোলা যায়</t>
  </si>
  <si>
    <t>সংগ্রহের জন্য সেরা ব্যবস্থা কিছু টুকরো অনুপস্থিত</t>
  </si>
  <si>
    <t>মেয়েটি তার নাচের প্রতিযোগিতায় পুরস্কার জিতেছে</t>
  </si>
  <si>
    <t>চায় একটি কঠোর খিঁচুনি ছিল যা তালুতে অপ্রীতিকর ছিল</t>
  </si>
  <si>
    <t>কফিতে একটি কঠোর অম্লতা ছিল যা পান করা অপ্রীতিকর ছিল</t>
  </si>
  <si>
    <t>এই পানির বোতলটি সহজেই বহনযোগ্য</t>
  </si>
  <si>
    <t>জটিল এবং আমি এটি ঘৃণা করি</t>
  </si>
  <si>
    <t>ফ্রিজের শক্তি খরচ বিজ্ঞাপনের চেয়ে বেশি যার ফলে বিদ্যুৎ বিল বেড়ে যায়</t>
  </si>
  <si>
    <t xml:space="preserve"> এটি সহজেই পরিষ্কার করা যায় যা আমার জন্য বাড়তি সুবিধা</t>
  </si>
  <si>
    <t>এটি একটি স্বপ্নজগৎের মতো বেডশীট হিসেবে মনে হয়</t>
  </si>
  <si>
    <t>প্রতিদিন ব্যবহার করে খুবই খুশি</t>
  </si>
  <si>
    <t>শীট হিসাবে তেমন বেশি ব্যবহার করা হবে না কিছুটা হতাশাজনক</t>
  </si>
  <si>
    <t xml:space="preserve">আমার এয়ারট্যাগ নিখুঁত রাখেএত ভাল অসাধারণ একটি প্রোডাক্ট নিখুঁত </t>
  </si>
  <si>
    <t>বর্ধিত ব্যবহারের পরে হতাশাজনক ফলাফল চুল কোন স্বাস্থ্যকর বা নরম অনুভূত</t>
  </si>
  <si>
    <t>কন্ট্রোল প্যানেলের বোতামগুলি মাঝে মাঝে প্রতিক্রিয়াশীল নয় এটি ব্যবহার করা হতাশাজনক করে তোলে</t>
  </si>
  <si>
    <t>আমার যা দরকার ছিল ঠিক তা নয় যথেষ্ট কাছাকাছি</t>
  </si>
  <si>
    <t>বিভিন্ন ফাংশন আছে তবে সবগুলো কাজ করে না</t>
  </si>
  <si>
    <t>মাঝারি মানের টুথপেস্ট এবং ব্রাশ খুঁজছেন তাদের জন্য উপযুক্ত</t>
  </si>
  <si>
    <t>ডিজিটাল কালার মিক্সারটি রঙ মেশায় কিন্তু ব্যাটারি লাইফ কম</t>
  </si>
  <si>
    <t>রঙটা সিজন অনুযায়ী ঠিক আছে</t>
  </si>
  <si>
    <t xml:space="preserve"> হ্যান্ডেলগুলি ক্ষীণ এবং অনিরাপদ অনুভূত হয়েছিল এতে আমার ব্যয়বহুল ডিভাইসটি বহন করার বিষয়ে আমাকে সতর্ক করে তোলে</t>
  </si>
  <si>
    <t>ফুলটি আমার ঘরের অন্ধকার কোণগুলোকে উজ্জ্বল করে তুলেছে</t>
  </si>
  <si>
    <t>এই বডি ওয়াশ ব্যবহারে আপনি তাজা অনুভব করবেন</t>
  </si>
  <si>
    <t>ক্যামেরার অটোফোকাস ধীর এবং প্রায়শই তীক্ষ্ণ ছবি তুলতে ব্যর্থ হয়</t>
  </si>
  <si>
    <t>অসন্তোষজনক গুণমান নির্ভরযোগ্য নয়</t>
  </si>
  <si>
    <t>দামের জন্য উপাদান ভালো তবে ব্যতিক্রমী নয়</t>
  </si>
  <si>
    <t>কোন প্রতিরক্ষামূলক সীল ছাড়াই পৌঁছেছে দূষণের ঝুঁকি নিয়ে</t>
  </si>
  <si>
    <t>প্রত্যাশার মতো নয় তবে কোনো বড় সমস্যা নেই</t>
  </si>
  <si>
    <t>বুদবুদ স্নানের ঘ্রাণটি খুব ক্লোয়িং ছিল এবং আমার মাথা ব্যাথা করেছিল</t>
  </si>
  <si>
    <t>বেবি হিউমিডিফায়ারের ট্যাঙ্ক ফুটো হয়ে যায় যার ফলে আসবাবপত্রের পানির ক্ষতি হয়</t>
  </si>
  <si>
    <t>যদি ভালোভাবে কাজ করে তাহলে এটা নষ্ট হলে আবার একইটা কিনবো</t>
  </si>
  <si>
    <t>পায়ে শক্ত হওয়ার কারণে রক্তপাত হচ্ছে তাই এটি ব্যবহার থেকে বিরত থাকুন</t>
  </si>
  <si>
    <t>হ্যান্ডেলটি ঠিকমত লম্বা</t>
  </si>
  <si>
    <t>খেতে খেতে কখন যে শেষ হয়ে যায় টের পাই না</t>
  </si>
  <si>
    <t>উচ্চ মূল্য সাবপার গুণমান এবং ডিজাইনের ত্রুটিগুলিকে ন্যায্যতা দেয় না</t>
  </si>
  <si>
    <t xml:space="preserve"> মোটামুটি সন্তুষ্ট তবে আরো কিছু উন্নতি হতে পারে</t>
  </si>
  <si>
    <t>আলো প্রতিফলিত করে তবে খুব চোখে পড়ে না</t>
  </si>
  <si>
    <t>এটি খুবই কম শব্দে চলে এবং ব্যবহার করা খুব সহজ</t>
  </si>
  <si>
    <t>ভঙ্গুর প্লাস্টিক চাপে সহজেই ফাটল</t>
  </si>
  <si>
    <t>রিমোট কন্ট্রোল আছে</t>
  </si>
  <si>
    <t>টেক্সচার ঠিক আছে তবে ব্যতিক্রমী নয়</t>
  </si>
  <si>
    <t>মেকআপ ব্রাশ বিভিন্ন ত্বকের ধরনের জন্য উপযুক্ত</t>
  </si>
  <si>
    <t>শাড়ির রঙ এবং নকশা খুবই চমৎকার</t>
  </si>
  <si>
    <t>প্রতিরক্ষামূলক সীল ছাড়াই পৌঁছেছেন হতাশাজনক অভিজ্ঞতা</t>
  </si>
  <si>
    <t>স্থায়িত্বের অভাবে হতাশ</t>
  </si>
  <si>
    <t>ব্যবহার করা যায় তবে অসাধারণ নয়</t>
  </si>
  <si>
    <t>জেবিএল টিউন বিটি স্টাইলিশ প্যাকেজ শব্দ মাঝারি কিছু বিশেষ নয়</t>
  </si>
  <si>
    <t>একঘেয়ে ভিজ্যুয়াল বৈচিত্র্যের অভাব</t>
  </si>
  <si>
    <t>ইফিসিয়েন্সি মোটামুটি</t>
  </si>
  <si>
    <t>প্যাকেটটি খোলার জন্য সহজ</t>
  </si>
  <si>
    <t>দাঁতের এনামেল সুরক্ষিত রাখে</t>
  </si>
  <si>
    <t>স্নানের বালিশের সাকশন কাপ ধরে না ব্যবহারের সময় পানিতে পড়ে যায়</t>
  </si>
  <si>
    <t>এসিটির ইউজার ম্যানুয়াল খুব সহজবোধ্য সব ফিচার সম্পর্কে পরিষ্কার ধারণা পেয়েছি</t>
  </si>
  <si>
    <t>কফির স্বাদ পোড়া এবং তিক্ত ছিল স্বাদের কোন গভীরতা নেই</t>
  </si>
  <si>
    <t>হিমায়িত নৈশভোজে একটি অপ্রীতিকর চেহারা ছিল এবং এটি প্রক্রিয়াজাত খাবারের মতো স্বাদযুক্ত সতেজতার অভাব ছিল</t>
  </si>
  <si>
    <t>শখের প্রকল্পগুলির জন্য চিত্তাকর্ষক</t>
  </si>
  <si>
    <t>চা সেটের নকশা পুরানো এবং অপ্রীতিকর ছিল</t>
  </si>
  <si>
    <t>অতিথিরা লক্ষ্য করেছে তবে বিশেষ মন্তব্য করেনি</t>
  </si>
  <si>
    <t>সাউন্ড ইকুয়ালাইজার অপশনগুলো খুব কার্যকরী নিজের পছন্দ মতো সাউন্ড কাস্টমাইজ করতে পারি</t>
  </si>
  <si>
    <t>এটি প্রত্যাশার তুলনায় কিছুটা কঠিন ছিল</t>
  </si>
  <si>
    <t>পকেটসাইজ ফ্যাব্রিক গ্লু গান কাপড় জোড়া লাগায় কিন্তু গ্লু দ্রুত জমে যায়</t>
  </si>
  <si>
    <t>চকলেটের দামটা মানানসই স্বাদ মোটামুটি</t>
  </si>
  <si>
    <t>ত্বকের হাইড্রেশন বাড়ায় এই বডি ওয়াশ</t>
  </si>
  <si>
    <t>ভালো পণ্য কিন্তু এটি কিছুটা অনন্যতার অভাব</t>
  </si>
  <si>
    <t>আইশ্যাডো প্রাইমার ক্রিজ হয়ে যায় এবং আইশ্যাডোকে জায়গায় রাখতে ব্যর্থ হয় যার ফলে ফেইড এবং স্মুডিং হয়</t>
  </si>
  <si>
    <t>এটি কোনো এলার্জি সৃষ্টি করে না</t>
  </si>
  <si>
    <t>বিদ্যুৎ খরচ মাঝারি</t>
  </si>
  <si>
    <t>এই বিউটি সোপটি ব্যবহার করার পর থেকে ত্বকের উজ্জ্বলতা অনেক বেড়ে গেছে</t>
  </si>
  <si>
    <t>সেটের সাথে আসা কফির কাপগুলি আকারে নিখুঁত এগুলি ঠিক সঠিক পরিমাণ কফি ধরে এবং হাতে ধরা আরামদায়ক</t>
  </si>
  <si>
    <t>ফ্রিজের বাহ্যিক পৃষ্ঠ আঙ্গুলের ছাপ এবং ধোঁয়ার প্রবণ যা ক্রমাগত পরিষ্কার করা প্রয়োজন</t>
  </si>
  <si>
    <t>চামচকাঁটাছুরির মান মাঝারি বিশেষ কিছু নয়</t>
  </si>
  <si>
    <t>মূল্যবোধ ঠিক আছে তবে অসাধারণ নয়</t>
  </si>
  <si>
    <t>কোন সীল নেই পণ্যের অখণ্ডতা সম্পর্কে সন্দেহ</t>
  </si>
  <si>
    <t>মেকআপ স্পঞ্জ অত্যধিক পণ্য শোষণ করে ফলে অপচয় হয়</t>
  </si>
  <si>
    <t>কাপড়টি সহজে ছিঁড়ে না</t>
  </si>
  <si>
    <t>গন্ধটি খুব শক্তিশালী এবং অপ্রতিরোধ্য ছিল অন্যান্য সূক্ষ্মতাকে অপ্রতিরোধ্য করে</t>
  </si>
  <si>
    <t xml:space="preserve"> প্রিইনস্টল করা অ্যাপগুলি আনইনস্টল করা যাবে না হোম স্ক্রীনকে বিশৃঙ্খল করে এবং স্টোরেজ স্পেস ব্যবহার করে</t>
  </si>
  <si>
    <t>চা একটি তিক্ত আফটারটেস্ট ছিল যা অতিরিক্ত খাড়া হওয়ার ইঙ্গিত দেয়</t>
  </si>
  <si>
    <t>এই ল্যাপটপটি পড়াশোনার জন্য একেবারে উপযুক্ত</t>
  </si>
  <si>
    <t>ব্যবহারবিধি সহজ এবং বোধগম্য</t>
  </si>
  <si>
    <t>এই দামে এত উচ্চমানের সাউন্ড কোয়ালিটি পাওয়া যাবে ভাবতেই পারিনি</t>
  </si>
  <si>
    <t>নরম এবং উচ্চ মানের আরও ভাল হতে পারে</t>
  </si>
  <si>
    <t>গাড়ির ফোন মাউন্টটি ফোন ধরে রাখে কিন্তু ভারী ফোনে নড়ে</t>
  </si>
  <si>
    <t>মোটেও ভালো না</t>
  </si>
  <si>
    <t>কম্বলটি অত্যন্ত আরামদায়ক এবং উষ্ণ</t>
  </si>
  <si>
    <t>ওয়ার্ডরোবের ড্রয়ারগুলি প্রায়শই আটকে যায় এবং মসৃণভাবে খোলা এবং বন্ধ করা কঠিন</t>
  </si>
  <si>
    <t>অপর্যাপ্ত সিলিং পোকামাকড়গুলিকে সঞ্চিত জিনিসগুলিতে অনুপ্রবেশ করতে দেয়</t>
  </si>
  <si>
    <t>ব্রাশ গড়পড়তা</t>
  </si>
  <si>
    <t>আলমারির দরজার কাঁচগুলো ধুলোপ্রতিরোধী কোটিং দিয়ে তৈরি</t>
  </si>
  <si>
    <t xml:space="preserve"> আকার প্রত্যাশার চেয়ে ছোট বড় খাবারের জন্য এর ক্ষমতা সীমিত করে</t>
  </si>
  <si>
    <t>পানি ভরতে সহজ এবং ট্যাংকটি বড়</t>
  </si>
  <si>
    <t>সুপারিশকৃত যত্নের নির্দেশনা অনুসরণ করার পরেও ফ্যাব্রিকের দুর্বল রঞ্জক ধারণের ফলে রঙ বিবর্ণ এবং রক্তপাত হয়</t>
  </si>
  <si>
    <t>ছবি বাস্তবতার সাথে মেলে না পোশাকটি খুব আলাদা দেখায়</t>
  </si>
  <si>
    <t>ল্যাপটপটির পারফরম্যান্স খুবই মসৃণ</t>
  </si>
  <si>
    <t>ওয়াইন এয়ারেটরটি ব্যবহার করা যায় তবে পরিষ্কার করা জটিল</t>
  </si>
  <si>
    <t>পাওয়ার ব্যাঙ্কের চার্জিং পোর্টগুলি শিথিল স্থিতিশীল সংযোগ বজায় রাখা কঠিন করে তোলে৷</t>
  </si>
  <si>
    <t>স্নান বোমার সুগন্ধ খুব সূক্ষ্ম ছিল জলে সবেমাত্র লক্ষণীয়</t>
  </si>
  <si>
    <t>এটি অত্যন্ত শীতল এবং আরামদায়ক</t>
  </si>
  <si>
    <t>এই গাড়ির মাইলেজ খুব ভালো এবং পরিবেশবান্ধব</t>
  </si>
  <si>
    <t>বৈদ্যুতিক কেটলির ঢাকনা সহজে খোলে না পানি ঢালার জন্য অসুবিধাজনক</t>
  </si>
  <si>
    <t>সেটের রঙ ছবির থেকে ভিন্ন ক্রেতাদের বিভ্রান্ত করা হয়েছে</t>
  </si>
  <si>
    <t>ব্যাগ বা কুইল্টের জন্য কাপড় নিখুঁত নয়</t>
  </si>
  <si>
    <t>এক্সেলেন্টে ড্রন</t>
  </si>
  <si>
    <t>প্রিপ্যাকেজড স্যালাডে শুকনো লেটুস ও ভেজা সবজি আছে যা ভালো সতেজতা নয়</t>
  </si>
  <si>
    <t>পোশাকের দরজাগুলি সঠিকভাবে সারিবদ্ধ করা কঠিন যার ফলে অসম ফাঁক এবং একটি কদর্য চেহারা</t>
  </si>
  <si>
    <t>চায়ের মান দেখে বোঝা যায় এটি নৈতিকভাবে সংগ্রহ করা হয়েছে</t>
  </si>
  <si>
    <t xml:space="preserve"> অনলাইন চিত্রগুলির উপর ভিত্তি করে প্রত্যাশা থাকা সত্ত্বেও বাস্তব জীবনে পোশাকের রঙ উল্লেখযোগ্যভাবে ভিন্ন এবং হতাশাজনক ছিল</t>
  </si>
  <si>
    <t>খুব বেশি বৈচিত্র্য নেই দামের জন্য হতাশাজনক</t>
  </si>
  <si>
    <t>ঘন ঘন ত্রুটি হতাশাজনক নির্ভরযোগ্যতা</t>
  </si>
  <si>
    <t>নতুন ফোনের ক্যামেরা ছবি তোলার জন্য উপযুক্ত</t>
  </si>
  <si>
    <t xml:space="preserve"> ব্যাগের কাঁধের চাবুকটি আমার ত্বকে অস্বস্তিকরভাবে খনন করে যা আমার প্রতিদিনের যাতায়াতের সময় ব্যথা এবং অস্বস্তি সৃষ্টি করে</t>
  </si>
  <si>
    <t xml:space="preserve"> পাওয়ার কর্ডটি জটলা করার প্রবণ ছিল যা একটি নিরাপত্তা বিপত্তি তৈরি করে</t>
  </si>
  <si>
    <t>বিভিন্ন খাবারের আকৃতি আছে তবে অতিরঞ্জিত</t>
  </si>
  <si>
    <t>আনন্দিতভাবে অবাক কিন্তু নিখুঁত নয়</t>
  </si>
  <si>
    <t>মাইক্রোফোন কলের সময় উচ্চস্বরে ব্যাকগ্রাউন্ডের আওয়াজ তুলে নেয় যার ফলে কথোপকথন শুনতে অসুবিধা হয়</t>
  </si>
  <si>
    <t>বিছানার হেডবোর্ডটি ক্ষীণ এবং সহজেই নড়বড়ে হয়ে যায় বিছানায় বসার সময় এটিকে ঝুঁকে পড়ার জন্য অবিশ্বস্ত করে তোলে</t>
  </si>
  <si>
    <t>এটি একটি গড় পণ্য</t>
  </si>
  <si>
    <t>বইটি পড়ে অনেক ভালো লেগেছে</t>
  </si>
  <si>
    <t>দড়ি দিয়ে টানা যায় কিন্তু দড়ি ছিঁড়ে যাওয়ার সম্ভাবনা আছে</t>
  </si>
  <si>
    <t xml:space="preserve">     ড্রয়ারগুলি অগভীর এবং খারাপভাবে ডিজাইন করা হয়েছে যার ফলে জায়গা নষ্ট হয় এবং অদক্ষ স্টোরেজ হয়</t>
  </si>
  <si>
    <t>চুলের তেলটি আমার চুলকে চর্বিযুক্ত এবং ধোয়াহীন বোধ করে</t>
  </si>
  <si>
    <t>কিটটির প্রতিটি প্রোডাক্ট ত্বকের সাথে ভালোভাবে মিশে যায়</t>
  </si>
  <si>
    <t>পোশাক আরামদায়ক তবে দাম বেশি</t>
  </si>
  <si>
    <t>জলরঙের ব্রাশের ডিজাইন আরো আকর্ষণীয় হতে পারতো</t>
  </si>
  <si>
    <t>এটি খুবই স্থায়ী এবং সহজে ব্যবহার করা যায়</t>
  </si>
  <si>
    <t>ড্রেসটির ফিটিং এবং ডিজাইন খুবই আকর্ষণীয়</t>
  </si>
  <si>
    <t>এমনকি মাঝারি আলোর অবস্থার মধ্যেও ব্লুআউট হাইলাইট সহ চিত্রগুলি অতিপ্রকাশিত দেখায়</t>
  </si>
  <si>
    <t>সীমিত ওয়ারেন্টি কভারেজ আত্মবিশ্বাসকে অনুপ্রাণিত করে না</t>
  </si>
  <si>
    <t>হেয়ার ড্রায়ারটি চুল শুকায় তবে আওয়াজ বেশি করে</t>
  </si>
  <si>
    <t>ফোন চার্জ করার সময় কোনো সমস্যা হয়নি</t>
  </si>
  <si>
    <t>সঙ্গত বাম ইয়ারবাডের ভলিউম হ্রাস</t>
  </si>
  <si>
    <t>ফিটনেস ট্র্যাকারের হার্ট রেট মনিটর ওয়ার্কআউটের সময় ভুল রিডিং দিয়েছে</t>
  </si>
  <si>
    <t>পেইন্টটি সহজেই দাগ পড়ে শিল্পকর্মটি নষ্ট করে</t>
  </si>
  <si>
    <t>মোবাইলটির বিল্ড ম্যাটেরিয়াল খুবই উন্নতমানের</t>
  </si>
  <si>
    <t>চার্জ ব্যাকআপটি গড় মানের</t>
  </si>
  <si>
    <t xml:space="preserve"> রান্নার চেম্বারে ধারালো প্রান্ত রয়েছে যা পরিষ্কার করার সময় আঘাতের ঝুঁকি তৈরি করে</t>
  </si>
  <si>
    <t>কোয়ালিটি মোটামুটি ভালো লেগেছে</t>
  </si>
  <si>
    <t>ভলিউমাইজিং শ্যাম্পু আমার চুলে কোনো ভলিউম যোগ করেনি এবং এটিকে স্থূল এবং প্রাণহীন দেখাচ্ছে</t>
  </si>
  <si>
    <t>দৃশ্যমান পরিধান এবং টিয়ার সঙ্গে একটি ব্যবহৃত   প্রাপ্ত সম্পূর্ণরূপে অগ্রহণযোগ্য</t>
  </si>
  <si>
    <t>সোফার আর্মরেস্টগুলো বসার সময় হাত রাখার জন্য পারফেক্ট উচ্চতায় আছে</t>
  </si>
  <si>
    <t>এটি একটি দরকারী টুলের চেয়ে একটি আলংকারিক টুকরো হয়ে ওঠে</t>
  </si>
  <si>
    <t>ছোট আকার বড় হতাশা সবে আমার হাতের তালুর আকার</t>
  </si>
  <si>
    <t>এত দ্রুত চার্জ হয় আর অফিসে গিয়ে চার্জার খুঁজতে হবে না</t>
  </si>
  <si>
    <t xml:space="preserve"> এর ডুরাবিলিটি ভালোই মনে হচ্ছে দেখা যাক কি হয়</t>
  </si>
  <si>
    <t>ঠোঁট প্লাম্পার ঠোঁটের পূর্ণ চেহারার পরিবর্তে জ্বলন্ত সংবেদন এবং ঠোঁট ঝলসে দেয়</t>
  </si>
  <si>
    <t xml:space="preserve"> খুবই ভালো মানের একটি চার্জার দিয়েছে সবাই নিসঙ্কোচে নিতে পারেন</t>
  </si>
  <si>
    <t>খুব দ্রুত এবং কার্যকরভাবে চার্জ করে</t>
  </si>
  <si>
    <t>ফিঙ্গারপ্রিন্ট সেন্সর বসানো বিশ্রী ব্যবহারকারীদের এটিতে পৌঁছানোর জন্য তাদের আঙ্গুলগুলি প্রসারিত করতে হবে</t>
  </si>
  <si>
    <t>ভালো আকার শিশুদের জন্য মজার</t>
  </si>
  <si>
    <t>এর স্বাদ আমাকে মনে করিয়ে দেয় আরামদায়ক শীতের সন্ধ্যার কথা</t>
  </si>
  <si>
    <t>সস্তায় নির্মিত হতাশাজনক ক্রয়</t>
  </si>
  <si>
    <t>প্রতি চুমুকে আমি অনুভব করি এর উচ্চমানের গুণাগুণ</t>
  </si>
  <si>
    <t>ক্যামেরার শাটার ল্যাগ উল্লেখযোগ্য যার ফলে নির্ধারক মুহূর্তগুলি ক্যাপচার করতে বিলম্ব হয়</t>
  </si>
  <si>
    <t>ডিভিডি প্লেয়ারের ছবির গুণমান খুব ভালো</t>
  </si>
  <si>
    <t>খেলার সময় এটি শব্দ করে তবে একই শব্দ বারবার</t>
  </si>
  <si>
    <t>বর্ধিত শুটিং সেশনের সময় অতিরিক্ত গরমের সমস্যা দেখা দেয় কর্মপ্রবাহ ব্যাহত হয়</t>
  </si>
  <si>
    <t>কাপড়টি শ্বাসপ্রশ্বাস নেয় যা ঘুমের সময় আরামদায়ক এবং ঠান্ডা অনুভূতি প্রদান করে</t>
  </si>
  <si>
    <t>কাগজের মোটা অংশ কটন</t>
  </si>
  <si>
    <t>ব্যবহার করা যায় কিন্তু কোনো বিশেষ আকর্ষণ নেই</t>
  </si>
  <si>
    <t>ফিনিশিং উন্নত তবে কাপড়ের মান তেমন ভালো নয়</t>
  </si>
  <si>
    <t>কানের দুলগুলো নিয়ে এতটাই খুশি যে আমি আমার বোনকেও একজোড়া কিনে দিয়েছি</t>
  </si>
  <si>
    <t>কাহিনীর প্লট আকর্ষণীয় তবে বিবরণের সময় সংক্ষেপণের প্রয়োজন ছিল</t>
  </si>
  <si>
    <t>নিম্নমানের উপস্থাপন বিজ্ঞাপনের মতো নয়</t>
  </si>
  <si>
    <t>এই কানের দুলগুলো পরে আমি খুব খুশি এগুলো সত্যিই সুন্দর এবং আরামদায়ক</t>
  </si>
  <si>
    <t>অপ্রতুল নির্মাণ দৃশ্যমান ত্রুটি দেখিয়েছে</t>
  </si>
  <si>
    <t xml:space="preserve"> ভাল ব্র্যান্ড ভাল মানের বিজ্ঞাপন হিসাবে নির্ভরযোগ্য</t>
  </si>
  <si>
    <t>আইটেমটির স্থায়িত্বের অভাব ছিল এবং দ্রুত ভেঙে পড়েছিল</t>
  </si>
  <si>
    <t>খুবই ভালো সবাই নিতে পারেন কাপড় কোয়ালিটি দাম অনুয়ায়ী  ভাল</t>
  </si>
  <si>
    <t>ব্যবহারের পর সম্পূর্ণ খালি করে রাখা উচিত</t>
  </si>
  <si>
    <t>আমাদের টিম প্রতিযোগিতায় সাফল্য অর্জন করেছে</t>
  </si>
  <si>
    <t>ইলেকট্রিক মশা মারার র্যাকেটটি মশা মারতে পারে তবে চার্জ কম থাকে</t>
  </si>
  <si>
    <t>পণ্যের উপাদান একক উৎস নয় বিভিন্ন দেশের বীনের মিশ্রণ</t>
  </si>
  <si>
    <t>ঢাকনার ধারালো প্রান্ত আঘাতের ঝুঁকি তৈরি করে</t>
  </si>
  <si>
    <t>পাত্রটি বন্ধ করা ব্যবহার করা নিরাপদ কিনা তা নিশ্চিত নয়</t>
  </si>
  <si>
    <t>এটি মনোবল বাড়াতে সহায়তা করতে পারে</t>
  </si>
  <si>
    <t>কিটটির প্রতিটি প্রোডাক্ট দীর্ঘ সময় ধরে মেকআপ ঠিক রাখে</t>
  </si>
  <si>
    <t>এই অতিরিক্ত দামের নিম্নমানের আইএম এড়িয়ে চলুন</t>
  </si>
  <si>
    <t>বেডসাইড টেবিলগুলো ফাংশনাল ও দেখতে সুন্দর</t>
  </si>
  <si>
    <t>মাস্ক আমার ত্বককে ময়শ্চারাইজ করার পরিবর্তে শুকিয়ে দিয়েছে</t>
  </si>
  <si>
    <t>কাপড়ের মান মোটামুটি</t>
  </si>
  <si>
    <t>একটি ত্রুটিপূর্ণ জিপার সহ একটি   পেয়েছি যা জ্যাম করে এবং আটকে যায় এটি করা এবং খুলে ফেলা কঠিন করে তোলে</t>
  </si>
  <si>
    <t xml:space="preserve"> প্রিসেট রান্নার ফাংশনগুলি প্রায়শই খাবারকে অতিরিক্ত রান্না করে স্বাদ এবং গঠন নষ্ট করে</t>
  </si>
  <si>
    <t>সব মিলিয়ে এটি একটি মানসম্পন্ন পণ্য তবে কিছু ক্ষেত্রে উন্নতি করা যায়</t>
  </si>
  <si>
    <t>ডিজিটাল ক্যালিপার মাপ নেয় তবে ব্যাটারি দ্রুত শেষ হয়</t>
  </si>
  <si>
    <t>ফলন কিছুটা ভালো হলেও সারটির কার্যকারিতা পুরোপুরি আশানুরূপ ছিল না</t>
  </si>
  <si>
    <t>অপর্যাপ্ত নিরোধক বিষয়বস্তু তাজা রাখতে ব্যর্থ হয়</t>
  </si>
  <si>
    <t>পেইন্টের রঙগুলি নিস্তেজ এবং নিশব্দ ছিল</t>
  </si>
  <si>
    <t>উচ্চ মূল্যের ট্যাগ অস্বাভাবিক মানের ন্যায্যতা দিতে ব্যর্থ হয়</t>
  </si>
  <si>
    <t>অস্বস্তিকর এবং কার্যকরী নয়</t>
  </si>
  <si>
    <t>ল্যাম্পটি ঘরের আলোকে সুন্দরভাবে ছড়িয়ে দেয়</t>
  </si>
  <si>
    <t>হেয়ার সিরাম আমার চুলকে ভারী এবং ভারি বোধ করে চলে গেছে</t>
  </si>
  <si>
    <t>প্যাকেজিং মোটামুটি ভালোই ছিল</t>
  </si>
  <si>
    <t>বাম চুল ময়েশ্চারাইজডের পরিবর্তে ভঙ্গুর এবং শুষ্ক</t>
  </si>
  <si>
    <t>সস্তায় তৈরি ফিলার পড়ে গেছে</t>
  </si>
  <si>
    <t>তাপ রক্ষাকারী স্প্রে চুলের ওজন কমিয়ে দেয় এবং এটিকে মসৃণ এবং মসৃণ না করে বরং চর্বিযুক্ত বোধ করে</t>
  </si>
  <si>
    <t>ডিজিটাল পিয়ানোটি বাজে তবে কীগুলো সংবেদনশীল নয়</t>
  </si>
  <si>
    <t>সৌরচালিত ফোয়ারা পাম্প খুবই দুর্বল পানি খুব কমই স্প্রে করে</t>
  </si>
  <si>
    <t>সাশ্রয়ী মূল্যের কিন্তু বেশি ভাল মানের নয় আশানুরূপ কাজ করে না</t>
  </si>
  <si>
    <t>এএনসি কাজ করে</t>
  </si>
  <si>
    <t>খেলনার উপাদানে একটি তীব্র গন্ধ ছিল সম্ভবত রাসায়নিক থেকে</t>
  </si>
  <si>
    <t>অন্যতম সেরা পারফরম্যান্সে পিছিয়ে</t>
  </si>
  <si>
    <t>ক্যাপে ক্যারি লুপ আছে যা সুবিধাজনক ঠান্ডা পানির জন্য ভালো কিন্তু গরম পানির জন্য উপযুক্ত নয়</t>
  </si>
  <si>
    <t>চায়ের থোকাটা অবিরামভাবে ফোঁটা ফোঁটা করে একটা বিশৃঙ্খলা সৃষ্টি করে</t>
  </si>
  <si>
    <t>আমি সম্প্রতি এই ছাতাটি কিনেছি ব্যবহারের পর আমার অভিজ্ঞতা মোটামুটি</t>
  </si>
  <si>
    <t>মেকআপ কিটটির প্যাকেজিং খুবই চমৎকার</t>
  </si>
  <si>
    <t>ফ্যানটি আমার দুপুরের রেলাক্সেশনের জন্য অত্যন্ত ভাল পণ্য</t>
  </si>
  <si>
    <t>সহজে স্টোর করা যায় তবে জায়গা বেশি লাগে</t>
  </si>
  <si>
    <t>বন্ধুদের সাথেও শেয়ার করা যায়</t>
  </si>
  <si>
    <t>অনির্ভরযোগ্য সংযোগ হতাশাজনক অভিজ্ঞতা</t>
  </si>
  <si>
    <t>কফির সুগন্ধ এতই আকর্ষণীয় যে আমি সারাদিন এর কথা ভাবি</t>
  </si>
  <si>
    <t>শ্যাম্পুর ব্যবহারে চুল বেশ সিল্কি হয়ে যায়</t>
  </si>
  <si>
    <t>লিভইন কন্ডিশনারটি আমার চুলের ওজন কমিয়েছে এবং এটিকে অলস দেখায়</t>
  </si>
  <si>
    <t>চুলের তেল আমার চুলকে চর্বিযুক্ত দেখায় এবং ধুলো এবং লিন্টকে আকর্ষণ করে</t>
  </si>
  <si>
    <t>আমি লক্ষ্য করেছি যে এই বালিশগুলি দ্রুত আকার ফিরে পায় সকালে উঠে দেখি এগুলি আবার পূর্ণ আকারে ফিরে এসেছে</t>
  </si>
  <si>
    <t>খুব মিষ্টি তবে পরিমাণ ঠিক আছে</t>
  </si>
  <si>
    <t>ত্বকের যৌবন ধরে রাখে এই বডি ওয়াশ</t>
  </si>
  <si>
    <t>ভুল আকার রঙ ভাল</t>
  </si>
  <si>
    <t>ক্ষতিগ্রস্ত পণ্য প্রাপ্ত অসন্তোষজনক</t>
  </si>
  <si>
    <t>এই সাউন্ডবারের অডিও কোয়ালিটি অসাধারণ</t>
  </si>
  <si>
    <t>স্যুটটি যুক্তিসঙ্গত মূল্যে ঠিক ফিট করে এবং উপাদান শালীন তবে বিশেষ কিছু নয়</t>
  </si>
  <si>
    <t>গরম হতে কিছুটা সময় লাগে</t>
  </si>
  <si>
    <t xml:space="preserve"> সেটের টুকরোগুলি খুব বড় ছিল টেবিলে খুব বেশি জায়গা নিচ্ছিল</t>
  </si>
  <si>
    <t>আকার ঠিকই আছে কিন্তু নকশায় নতুনত্ব নেই</t>
  </si>
  <si>
    <t>ওয়াশিং মেশিনের স্পিন সাইকেল জোরে জোরে পরিবারের শান্তি নষ্ট করে</t>
  </si>
  <si>
    <t xml:space="preserve"> প্লাগ ব্যবহারের সময় স্পর্শে গরম হয়ে যায় সম্ভাব্য অতিরিক্ত গরম হওয়ার সমস্যা নির্দেশ করে</t>
  </si>
  <si>
    <t>মোবাইলটির র্যাম ব্যবস্থাপনা অত্যন্ত কার্যকর</t>
  </si>
  <si>
    <t>পানীয়টি ভালো তবে স্বাদ ঠিক হয়নি</t>
  </si>
  <si>
    <t>নকশাটি সাধারণ</t>
  </si>
  <si>
    <t>এই চায়ের স্বাদ অনেক মজাদার</t>
  </si>
  <si>
    <t>যৌগটি ভেঙে গেছে যা পণ্যের ব্যবহার অযোগ্য করে তোলে</t>
  </si>
  <si>
    <t>ব্রাশটি নরম লেগেছে</t>
  </si>
  <si>
    <t>অসন্তোষজনক অভিজ্ঞতা খোলা বোতল নিয়ে এসেছি</t>
  </si>
  <si>
    <t>ল্যাপটপের কীবোর্ড কীগুলো মাঝে মাঝে আটকে থাকে যা টাইপিং গতিকে প্রভাবিত করে</t>
  </si>
  <si>
    <t>এটি সামান্য কার্যকরী</t>
  </si>
  <si>
    <t>শুধু সোফায় প্রতিস্থাপন করা হয়েছে বিশেষ কিছু নয়</t>
  </si>
  <si>
    <t>ওয়্যারলেস এন্ডোস্কোপ ক্যামেরাটি দুর্গম স্থান দেখায় কিন্তু রেজোলিউশন উচ্চ নয়</t>
  </si>
  <si>
    <t>ব্রাশটি সাধারণ ডিজাইনের</t>
  </si>
  <si>
    <t>ঠাণ্ডা তাপমাত্রায় পাওয়ার ব্যাঙ্কের চার্জিং কার্যক্ষমতা কমে যায় যা বাইরে এর কর্মক্ষমতা প্রভাবিত করে</t>
  </si>
  <si>
    <t>হ্যান্ডেলটি হাতে ধরলে আরামদায়ক লাগে কিন্ত ভারি অনেক</t>
  </si>
  <si>
    <t>এর কার্যক্ষমতা অত্যন্ত ভাল এবং উচ্চ</t>
  </si>
  <si>
    <t>কিটটির প্রতিটি প্রোডাক্ট জলরোধী</t>
  </si>
  <si>
    <t>বেশ ভালো তবে তীব্র মিষ্টির পরিমাণ একটু বেশি</t>
  </si>
  <si>
    <t>পরার জন্য আরামদায়ক খুবই স্টাইলিশ নয়</t>
  </si>
  <si>
    <t xml:space="preserve">সব মিলিয়ে আমি এই বিস্কুট কিনে খুবই সন্তুষ্ট </t>
  </si>
  <si>
    <t>টিনজাত মরিচের একটি কচি স্বাদ এবং গন্ধের গভীরতার অভাব ছিল ঘরে তৈরি রেসিপি থেকে অনেক দূরে</t>
  </si>
  <si>
    <t>এটি অত্যন্ত দ্রুত প্রদর্শন করে</t>
  </si>
  <si>
    <t>এটি মানের দিক থেকে কিছুটা আশ্চর্যজনক লেগেছে</t>
  </si>
  <si>
    <t>মাপ বিভিন্ন রং জুড়ে অসামঞ্জস্যপূর্ণ</t>
  </si>
  <si>
    <t>ভালো তবে কিছু টুকরা উপযুক্ত নয়</t>
  </si>
  <si>
    <t>চার্জারটি প্লাগ ইন করার সময় একটি উচ্চপিচ চিৎকার নির্গত করে এমনকি দূর থেকেও বিরক্তিকরভাবে শোনা যায়</t>
  </si>
  <si>
    <t>প্যাকেজিং অত্যধিক ছিল প্রয়োজনের চেয়ে বেশি উপাদান ব্যবহার করে</t>
  </si>
  <si>
    <t>অন্যান্য রিং সাইজারের চেয়ে খুব একটা ভালো নয়</t>
  </si>
  <si>
    <t>ব্রাশগুলি ঢিলেঢালা ফেরুল সহ খারাপভাবে নির্মিত হয়েছিল</t>
  </si>
  <si>
    <t>আলমারির কাঠের গুণমান এত ভাল যে এটি পরবর্তী প্রজন্মের জন্যও টিকে থাকবে</t>
  </si>
  <si>
    <t>প্রতিটি ব্যাগে গ্রাম চা রয়েছে</t>
  </si>
  <si>
    <t>কাপড়ের রঙ ধোয়ার সময় রক্তপাত হয় অন্যান্য পোশাকে দাগ পড়ে এবং লন্ড্রির সামগ্রিক ভার নষ্ট করে</t>
  </si>
  <si>
    <t>এটি খাবারকে ঠান্ডা রাখে তবে সীমিত সময়ের জন্য</t>
  </si>
  <si>
    <t xml:space="preserve"> এ  দিব এটি আমার বাবার অনেক পছন্দ হয়েছে </t>
  </si>
  <si>
    <t>এই বডি ওয়াশ ব্যবহারে আপনার ত্বক হবে পুষ্ট</t>
  </si>
  <si>
    <t>পণ্য সরবরাহ করতে ব্যর্থ হয় এড়িয়ে চলুন</t>
  </si>
  <si>
    <t>অনুপস্থিত বোতাম বা বন্ধ</t>
  </si>
  <si>
    <t>স্থির অবস্থায় বা সহজ হাঁটার সময় ফোনে কথোপকথন বা গান শোনার জন্য ভাল</t>
  </si>
  <si>
    <t>এর রঙ খুব সুন্দর</t>
  </si>
  <si>
    <t>শার্পনারটি গত পঞ্চাশ বছরে অপরিবর্তিত</t>
  </si>
  <si>
    <t>মপটি মেঝে পরিষ্কার করে</t>
  </si>
  <si>
    <t>মেকআপ কিটটি খুবই সাশ্রয়ী</t>
  </si>
  <si>
    <t>নিম্নমানের গুণমান পুনরাবৃত্তিমূলক সমস্যা</t>
  </si>
  <si>
    <t xml:space="preserve"> স্প্রেতে একটি রাসায়নিক গন্ধ ছিল যা আমাকে অসুস্থ বোধ করেছিল</t>
  </si>
  <si>
    <t>আমার ফোন দ্রুত চার্জ হয়ে যায়</t>
  </si>
  <si>
    <t>গুণমান প্রত্যাশার তুলনায় কম</t>
  </si>
  <si>
    <t>বাথটবে ব্যবহার করা যেতে পারে</t>
  </si>
  <si>
    <t>বিভিন্ন আকারে পাওয়া যায় তবে রঙের বৈচিত্র্য নেই</t>
  </si>
  <si>
    <t xml:space="preserve"> ইউএসবি পোর্টগুলি সাধারণ স্টোরেজ ডিভাইসগুলির সাথে বেমানান ছিল মিডিয়া প্লেব্যাক বিকল্পগুলিকে সীমিত করে</t>
  </si>
  <si>
    <t>চায়ের সুগন্ধ এতই মনোরম যে আমি চোখ বন্ধ করে উপভোগ করি</t>
  </si>
  <si>
    <t>জ্যারেড পাস্তা সস একটি কৃত্রিম গন্ধ এবং জলীয় সামঞ্জস্য ছিল খাঁটি ইতালীয় সস থেকে অনেক দূরে</t>
  </si>
  <si>
    <t>মেকআপ কিটটি ভ্রমণের জন্য উপযুক্ত</t>
  </si>
  <si>
    <t>মাইক্রোওয়েভযোগ্য পপকর্নে অনেকগুলি আনপপড কার্নেল ছিল এবং বাসি স্বাদ ছিল</t>
  </si>
  <si>
    <t>পেইন্টিং সেটে ব্রাশের যত্নের বিষয়ে পর্যাপ্ত তথ্য অন্তর্ভুক্ত করা হয়নি</t>
  </si>
  <si>
    <t>ফ্যাব্রিকটা আরামদায়ক কিন্তু ডিজাইনটা তেমন ভালো লাগেনি</t>
  </si>
  <si>
    <t xml:space="preserve">এইচপি নোটবুক গুণমান ভালো মানএত ভাল কাজ করেঅসাধারণ একটি প্রোডাক্ট </t>
  </si>
  <si>
    <t xml:space="preserve"> আপনারা চাইলেই এই চার্জার নিতে পারেন ধন্যবাদ সেলারের জন্য</t>
  </si>
  <si>
    <t>সুইমিং গগলসের ফিটিং ঠিক আছে কিন্তু ভেতরে কুয়াশা জমে</t>
  </si>
  <si>
    <t xml:space="preserve"> ভাইব্রেশন মোটর দুর্বল এটি ইনকামিং কল বা বিজ্ঞপ্তি অনুভব করা কঠিন করে তোলে</t>
  </si>
  <si>
    <t>অবিশ্বাস্য তাপমাত্রা নিয়ন্ত্রণের ফলে গরম জল স্ক্যালিং হয়</t>
  </si>
  <si>
    <t>স্বাদ ঠিক তবে লেবুর পরিমাণ অনেক কম</t>
  </si>
  <si>
    <t>মোটামুটি খুব বেশি কিছু আশা করা উচিত নয়</t>
  </si>
  <si>
    <t>বাতাসের তীব্রতা সমন্বয় করা যায়</t>
  </si>
  <si>
    <t>মেকআপ কিটটি যেকোনো অনুষ্ঠানের জন্য উপযুক্ত</t>
  </si>
  <si>
    <t>ভ্যাকুয়াম ক্লিনারের পায়ের পাতার মোজাবিশেষ ফাটল স্তন্যপান ক্ষমতা হারায়</t>
  </si>
  <si>
    <t>দুলগুলো আমার বন্ধুদের মধ্যে ঈর্ষার কারণ হয়ে দাঁড়িয়েছে</t>
  </si>
  <si>
    <t>প্রতিটি চরিত্রের গভীরতা অসাধারণ</t>
  </si>
  <si>
    <t>পেইন্টিং সেটে রচনার উপর যথেষ্ট নির্দেশনা অন্তর্ভুক্ত ছিল না</t>
  </si>
  <si>
    <t>এই চার্জারটি ব্যবহার করে আমি সত্যিই মুগ্ধ</t>
  </si>
  <si>
    <t>মূল্য মাঝারি না বেশি না কম</t>
  </si>
  <si>
    <t>আমার বাচ্চারাও এটি ভালোবাসে যা একটি বড় সুবিধা</t>
  </si>
  <si>
    <t>অনস্ক্রীন মেনুগুলি ছিল বিভ্রান্তিকর এবং অজ্ঞাত সেটিংস সামঞ্জস্য করা কঠিন করে তুলেছিল৷</t>
  </si>
  <si>
    <t>এর মোলায়েমতা সত্যিই মনোমুগ্ধকর</t>
  </si>
  <si>
    <t>জায়গাটা সুন্দর তবে কিছুটা গরম</t>
  </si>
  <si>
    <t>চিত্রকর্মটি আমার ঘরের সৌন্দর্য বাড়িয়ে দিয়েছে</t>
  </si>
  <si>
    <t>বইয়ের আলমারিটি সহজেই একজন লোক স্থানান্তর করতে পারে</t>
  </si>
  <si>
    <t>কোন প্রতিরক্ষামূলক সীল নেই ব্যবহার সম্পর্কে চিন্তিত</t>
  </si>
  <si>
    <t>সুগন্ধে ভরপুর মৃদু স্বাদযুক্ত এই চা আমাকে মুগ্ধ করেছে</t>
  </si>
  <si>
    <t>চমৎকার ক্যামেরা চমৎকার দাম</t>
  </si>
  <si>
    <t>নকশাটি আধুনিক এবং ঘরের সাথে মানানসই</t>
  </si>
  <si>
    <t>আমি সব মহিলাদের এই প্যাডটি সুপারিশ করব এটি ব্যবহার করে আপনি খুবই খুশি হবেন</t>
  </si>
  <si>
    <t>ফ্যাব্রিকের কাঠামোর অভাব রয়েছে যার ফলে একটি আকৃতিহীন সিলুয়েট</t>
  </si>
  <si>
    <t>সেরা নয় তবে দামের জন্য ঠিক আছে মানও ভালো</t>
  </si>
  <si>
    <t xml:space="preserve"> বাহ্যিক ফিনিশ সহজেই স্ক্র্যাচ করে এর চেহারা থেকে বিঘ্নিত হয়</t>
  </si>
  <si>
    <t xml:space="preserve"> প্রধান বগির জিপারটি ভেঙে গেছে যার ফলে এটি খোলা বা বন্ধ করা অসম্ভব</t>
  </si>
  <si>
    <t>ওয়াটার বোতল কিছুটা ভারী</t>
  </si>
  <si>
    <t>এটি দীর্ঘমেয়াদী ব্যবহারের জন্য উপযুক্ত</t>
  </si>
  <si>
    <t>রঙ প্রাণবন্ত তবে সেলাই ভালো নয়</t>
  </si>
  <si>
    <t>ভালো কাজ করে না মোটামুটি ঠিক</t>
  </si>
  <si>
    <t>ল্যাপটপ ব্যাগের প্যাডিং ছিঁড়ে যায় ল্যাপটপটিকে সম্ভাব্য ক্ষতির সম্মুখীন করে</t>
  </si>
  <si>
    <t>চা বেশ সুস্বাদু তবে স্বাদ একটু ভারী</t>
  </si>
  <si>
    <t>সঠিকভাবে কাজ করে তবে কিছু অংশ তুলনামূলকভাবে শক্ত</t>
  </si>
  <si>
    <t>কষ্টকর আকৃতি বিষয়বস্তু ঢালা কঠিন করে তোলে</t>
  </si>
  <si>
    <t>প্রদত্ত মানের জন্য পেইন্ট সেটটির দাম বেশি ছিল</t>
  </si>
  <si>
    <t>মেকআপ ব্রাশ বিভিন্ন প্রডাক্টের সাথে ব্যবহার করা যায়</t>
  </si>
  <si>
    <t>ডিজিটালের দারুণ বিকল্প</t>
  </si>
  <si>
    <t>বাড়ির যেকোনো স্থানে এটি রাখা যায়</t>
  </si>
  <si>
    <t>সৌরচালিত আউটডোর স্পিকারের ব্লুটুথ সংযোগ অস্থির এবং বারবার সংযোগ হারাচ্ছে</t>
  </si>
  <si>
    <t>কব্জা প্রক্রিয়াটি ঢিলেঢালা এবং নড়বড়ে বোধ করে দীর্ঘমেয়াদী স্থায়িত্ব সম্পর্কে উদ্বেগ বাড়ায়</t>
  </si>
  <si>
    <t>পোশাকের অপেক্ষায় মন্ত্রণা দুখ উত্পন্ন হয় যে প্রযুক্তি অযথা হয় ফিটিং নিষ্পত্তি দেখায়</t>
  </si>
  <si>
    <t>রেফ্রিজারেটর একটি উচ্চ গুনগুন শব্দ নির্গত করে বিশেষ করে রাতে ঘুমের ব্যাঘাত ঘটায়</t>
  </si>
  <si>
    <t>হেয়ার মাউস একটি স্টিকি ফিল্ম রেখে গেছে যা আমার চুলকে ভারী এবং ধোয়া বোধ করে না</t>
  </si>
  <si>
    <t>পোশাকটি সহজে পরিষ্কার করা যায়</t>
  </si>
  <si>
    <t>আইটেম এর অপারেশন অতিরিক্ত গরম প্রবণ ছিল</t>
  </si>
  <si>
    <t>সাধারণ স্টার্টার কিট</t>
  </si>
  <si>
    <t>গল্পের মেসেজ খুবই শক্তিশালী</t>
  </si>
  <si>
    <t>বিশ্রী আকারের কাপ সহ চা সেটের নকশাটি ছিল অব্যবহারিক</t>
  </si>
  <si>
    <t>নিম্নমান উপকরণ অকাল অবনতি</t>
  </si>
  <si>
    <t>প্লাস্টিকের ফুলটি কখনও পানিতে পচে না</t>
  </si>
  <si>
    <t>অন্য স্পিকারের তুলনায় এর ব্যাটারি লাইফ অনেক বেশি চার্জিং নিয়ে চিন্তা করতে হয় না</t>
  </si>
  <si>
    <t>প্রথম কামড়েই বোঝা যায় এটি কতটা সুস্বাদু</t>
  </si>
  <si>
    <t>কাপগুলিতে অসম বটম ছিল যার ফলে সেগুলি নড়বড়ে হয়ে যায়</t>
  </si>
  <si>
    <t>চুল পড়া ক্ষতিকারক উপাদান সম্পর্কে উদ্বেগ</t>
  </si>
  <si>
    <t xml:space="preserve"> এটি আমার মেকআপ রুটিনের একটি অপরিহার্য অংশ হয়ে উঠেছে</t>
  </si>
  <si>
    <t>ভালো স্বাদ তবে দাম বেশ বেশি</t>
  </si>
  <si>
    <t>আগমনের সময় প্যাকেজিং খোলা ছিল যার ফলে   নষ্ট হয়ে গিয়েছিল</t>
  </si>
  <si>
    <t>হালকা ওজনের তবে কিছুটা তাপমাত্রা নিয়ন্ত্রণে সমস্যা হতে পারে</t>
  </si>
  <si>
    <t>শব্দ বৈচিত্র্য আছে তবে কিছুটা কৃত্রিম শোনায়</t>
  </si>
  <si>
    <t>মোটকথা এই প্যাডটি সত্যিই অসাধারণ এবং ব্যবহার করার জন্য সেরা</t>
  </si>
  <si>
    <t>চায়ের পাত্রটি বেশ মজবুত এবং সুন্দরভাবে সাজানো</t>
  </si>
  <si>
    <t>নতুন বীজগুলির ফলন মোটামুটি ভালো হলেও কিছু গাছের সমস্যা ছিল</t>
  </si>
  <si>
    <t>ব্যাকপ্যাকের কাঁধের স্ট্র্যাপ আমার কাঁধে অস্বস্তিকরভাবে খনন করে যার ফলে ব্যথা হয়</t>
  </si>
  <si>
    <t>ফোনের বিল্ড কোয়ালিটি সস্তা এবং ক্ষীণ মনে হয় স্থায়িত্বের অভাব রয়েছে</t>
  </si>
  <si>
    <t>গাছের বৃদ্ধি কিছুটা ভালো তবে সারটির প্রভাব খুব বেশি ছিল না</t>
  </si>
  <si>
    <t>সারটি জমিতে ব্যবহৃত হয়েছে তবে ফলনের গুণগত মান তেমন ভালো ছিল না</t>
  </si>
  <si>
    <t>ওয়ার্ডরোবের সাথে গার্মেন্ট কভার দেওয়া আছে</t>
  </si>
  <si>
    <t>বিভিন্ন আকৃতিতে পাওয়া যায় তবে সবগুলো একই রকম ডিজাইনের</t>
  </si>
  <si>
    <t>এই চেয়ার টি অনেক মজবুত</t>
  </si>
  <si>
    <t>বিভিন্ন যানবাহনের আকৃতি আছে তবে খুব ছোট</t>
  </si>
  <si>
    <t>ডিজিটাল স্কেলটি ওজন মাপে কিন্তু ডিসপ্লেটি ছোট</t>
  </si>
  <si>
    <t>পণ্যটি ব্যবহার করে শারীরিক কষ্ট কম হয় মোটামুটি</t>
  </si>
  <si>
    <t>মেয়েটি দারুণভাবে ছবি আঁকে</t>
  </si>
  <si>
    <t>মেকআপ ব্রাশ ব্যবহার করা একটি অভিজ্ঞতা</t>
  </si>
  <si>
    <t xml:space="preserve"> পাওয়ার কর্ডটি খুব ছোট সুবিধাজনক স্থাপনের জন্য একটি এক্সটেনশন কর্ড প্রয়োজন</t>
  </si>
  <si>
    <t>নিরাপদ অ্যাপল এয়ারট্যাগ হোল্ডার</t>
  </si>
  <si>
    <t>ল্যাপটপ স্ট্যান্ডটি ব্যবহার করা যায় কিন্তু অ্যাডজাস্ট করা কঠিন</t>
  </si>
  <si>
    <t>আমাদের স্কুলে সব শিক্ষক সবসময় সাহায্য করে</t>
  </si>
  <si>
    <t xml:space="preserve"> গতিশীল পরিসর উচ্চ বৈসাদৃশ্য সহ দৃশ্যগুলি নির্ভুলভাবে ক্যাপচার করা চ্যালেঞ্জিং করে তোলে</t>
  </si>
  <si>
    <t>মাইক্রোওয়েভ কভারটি ছিটা ঠেকায় তবে ধোয়া কঠিন</t>
  </si>
  <si>
    <t>জলরোধী কাপড়ের গুণে পানি দ্রুত গড়িয়ে পড়ে ভেজা ছাতা নিয়ে বিরক্তি নেই</t>
  </si>
  <si>
    <t>ফ্রেশ ব্রেথের জন্য এটি বেশ কার্যকর তবে মাঝে মাঝে অতিরিক্ত মেন্টলের কারণে অস্বস্তি হয়</t>
  </si>
  <si>
    <t>বিস্কুটের টেক্সচারও বেশ নরম তবে একেবারে গলে যায় না</t>
  </si>
  <si>
    <t>পোর্টেবল ফটো প্রিন্টারটি ছবি ছাপে তবে কালি দ্রুত শেষ হয়</t>
  </si>
  <si>
    <t>জটিল এবং খারাপভাবে তৈরি অর্থের অপচয়</t>
  </si>
  <si>
    <t>মেকআপ কিটটি গিফট হিসেবে উপযুক্ত</t>
  </si>
  <si>
    <t>টানলে লম্বা হয় কিন্তু আগের অবস্থায় ফিরে আসে না</t>
  </si>
  <si>
    <t>প্রতিদিনের ব্যবহার ছাড়াও এই পেনসিলটি পরীক্ষার জন্যও খুবই উপযোগী</t>
  </si>
  <si>
    <t>পণ্যের গুণমানের প্রশংসা করুন কিন্তু বিতরণ প্রক্রিয়ার সাথে অসন্তুষ্ট</t>
  </si>
  <si>
    <t xml:space="preserve"> কানের টিপগুলি দ্রুত নষ্ট হয়ে যায় সময়ের সাথে সাথে তাদের আকৃতি এবং সীল হারায় শব্দের গুণমান এবং আরামের সাথে আপস করে</t>
  </si>
  <si>
    <t>ফুলটি আমার ঘরে একটি আনন্দময় পরিবেশ সৃষ্টি করেছে</t>
  </si>
  <si>
    <t>পোশাকটি ফ্যাব্রিকের একটি লক্ষণীয় টিয়ার সাথে এসেছে যা পণ্যের বিবরণে উল্লেখ করা হয়নি</t>
  </si>
  <si>
    <t>ফোনের স্ক্রীনের প্রতিক্রিয়াশীলতা সময়ের সাথে সাথে খারাপ হয় ফলে দেরি হয় বা ট্যাপ মিস হয়</t>
  </si>
  <si>
    <t>দীর্ঘস্থায়ী ব্যবহারে টিকবে কিনা সন্দেহ</t>
  </si>
  <si>
    <t>আলহামদুলিল্লাহ  অনেক ধন্যবাদ সে খুবই ভালো মানের একটি চার্জার দিয়েছে সবাই নিসঙ্কোচে নিতে পারেন</t>
  </si>
  <si>
    <t>ক্যানভাস উপাদানের দৃশ্যমান ত্রুটি ছিল যা চূড়ান্ত চেহারাকে প্রভাবিত করে</t>
  </si>
  <si>
    <t>কারকুমা জয়েন্ট গার্ড খুব ভালো এইটা খেলে ব্যাথা সব চলে যায়</t>
  </si>
  <si>
    <t>আইটেম এর নির্মাণ সস্তা এবং খারাপভাবে তৈরি অনুভূত</t>
  </si>
  <si>
    <t>গিগাবাইট বি  এম অরস এলিট  অবিশ্বস্ত বিআইওএস অস্থির সিস্টেম</t>
  </si>
  <si>
    <t>ফর্মাল এবং ক্যাজুয়াল উভয় ক্ষেত্রেই মানানসই</t>
  </si>
  <si>
    <t>আত্মবিশ্বাস বাড়াতে কিছুটা সহায়ক</t>
  </si>
  <si>
    <t>চা পাতাগুলি খুব সূক্ষ্মভাবে মাটি ছিল ফলে একটি মেঘলা চোলাই ছিল</t>
  </si>
  <si>
    <t>আলমারির দরজাগুলো মসৃণভাবে খোলে ও বন্ধ হয়</t>
  </si>
  <si>
    <t>অতিরিক্ত পানি ভরলে ভারী হয়ে যায়</t>
  </si>
  <si>
    <t>ফ্রাইং প্যানের হাতলটি আলগা হয়ে যায় গরম খাবার পরিচালনা করার সময় নিরাপত্তা ঝুঁকি তৈরি করে</t>
  </si>
  <si>
    <t>দামের জন্য ভালো তবে কিছু ত্রুটি আছে</t>
  </si>
  <si>
    <t>পোশাক স্টাইলিশ তবে কাপড় টেকসই নয়</t>
  </si>
  <si>
    <t>হেমিং অসমান এবং অগোছালো সামগ্রিক চেহারা নষ্ট করে</t>
  </si>
  <si>
    <t>ফ্যাব্রিক স্পর্শে কড়া এবং অপ্রীতিকর বোধ করে নিম্নমানের উপাদান</t>
  </si>
  <si>
    <t>বইয়ের আলমারিটির কোণগুলো সুন্দরভাবে গোলাকার করা যা নিরাপত্তা বাড়িয়েছে</t>
  </si>
  <si>
    <t>কোয়ালিটি তেমন ভালোমনে হয়নি</t>
  </si>
  <si>
    <t>ধীর গরম করার সময় মানে গরম জলের জন্য অপেক্ষার বয়স</t>
  </si>
  <si>
    <t>লেখকের ভাবনা খুবই গভীর</t>
  </si>
  <si>
    <t>ওয়্যারলেস হেডফোনগুলির সাউন্ড কোয়ালিটি খারাপ স্থির থাকে</t>
  </si>
  <si>
    <t>খারাপভাবে তৈরি স্থায়িত্বের অভাব</t>
  </si>
  <si>
    <t>বিভিন্ন দেশের পতাকা দেখানো হয়েছে কিন্তু রঙ ঠিক নয়</t>
  </si>
  <si>
    <t>স্বয়ংক্রিয় কফি মেকার এর ক্যারাফে ঢালা যখন ড্রিপ জগাখিচুড়ি</t>
  </si>
  <si>
    <t>প্যাকেজিংয়ে নির্দেশাবলী দেওয়া হয়েছে</t>
  </si>
  <si>
    <t>ব্রাশটি বিভিন্ন ধরনের চুলের জন্য উপযুক্ত আমার পরিবারের সবাই এটি ব্যবহার করতে পারে</t>
  </si>
  <si>
    <t>বাড়ির ডেকোরের সাথে কিছুটা মানানসই</t>
  </si>
  <si>
    <t>বোতলের ডিজাইনটি সাধারণ</t>
  </si>
  <si>
    <t>ডিশওয়াশারনিরাপদ দাবিটি মিথ্যা প্রমাণিত হয়েছে কারণ এটি এক ধোয়ার পরে বিকৃত হয়ে যায়</t>
  </si>
  <si>
    <t>অপ্রতিরোধ্য চিত্র কল্পনার অভাব</t>
  </si>
  <si>
    <t>পেনসিলটির ইরেজারটি অনেক টেকসই সহজে শেষ হয় না</t>
  </si>
  <si>
    <t>শ্যাম্পুটির গন্ধ অনেক মিষ্টি এবং দীর্ঘস্থায়ী</t>
  </si>
  <si>
    <t>আনসিলড প্যাকেজিং পণ্যের নিরাপত্তা নিয়ে উদ্বেগ বাড়ায়</t>
  </si>
  <si>
    <t>এই গেমটি খেলতে অনেক মজা লাগে</t>
  </si>
  <si>
    <t>এই আংটির মধ্যে ব্যবহৃত স্বর্ণ অত্যন্ত পুরস্কৃত এবং রূপচর্চার</t>
  </si>
  <si>
    <t>ডিভাইসটির ফিঙ্গারপ্রিন্ট সেন্সর অত্যন্ত দ্রুত</t>
  </si>
  <si>
    <t>পণ্যটির ফিট কিছুটা আলাদা হতে পারে</t>
  </si>
  <si>
    <t>মোবাইলটির অডিও কোয়ালিটি অসাধারণ</t>
  </si>
  <si>
    <t>প্যাকেজিংয়ে অতিরিক্ত প্লাস্টিক ছিল যা পরিবেশের জন্য ক্ষতিকর</t>
  </si>
  <si>
    <t>পেইন্টিং সেটে যথেষ্ট প্রাইমার অন্তর্ভুক্ত ছিল না</t>
  </si>
  <si>
    <t>ফুলটি আমার ঘরে একটি স্বাস্থ্যকর পরিবেশ তৈরি করেছে</t>
  </si>
  <si>
    <t>এই ব্যাগটির সামগ্রী বহন করার ক্ষমতা অনেক বেশি</t>
  </si>
  <si>
    <t>টপে হালকা টেক্সচার আছে সম্পূর্ণ মসৃণ নয়</t>
  </si>
  <si>
    <t>শ্যাম্পুর ব্যবহারে চুলের স্বাস্থ্য উন্নত হয়েছে</t>
  </si>
  <si>
    <t>পোশাকটির রঙ সহজে ফিকে হয় না</t>
  </si>
  <si>
    <t>ল্যাপটপের চারপাশে ব্যবহার করা যায়</t>
  </si>
  <si>
    <t>চা ছাঁকনিতে মরিচা ধরেছিল চা দূষিত হয়েছিল</t>
  </si>
  <si>
    <t>টুথব্রাশ হোল্ডারটি ব্যবহার করা যায় কিন্তু ডিজাইন পুরনো ধরনের</t>
  </si>
  <si>
    <t>এই প্লেডো সেটটি একক খেলা বা ভাগাভাগির জন্য উপযুক্ত হতে পারে</t>
  </si>
  <si>
    <t>পণ্যের রঙগুলি খুব নিস্তেজ ছিল প্রাণবন্ততার অভাব ছিল</t>
  </si>
  <si>
    <t>কাপগুলির একটি ধাতব স্বাদ ছিল সম্ভবত সীসা দূষণ থেকে</t>
  </si>
  <si>
    <t>ভাল ডিজাইন করা ট্রাইপড</t>
  </si>
  <si>
    <t>অপ্রতুল প্যাকেজিং ক্ষতির ফলে</t>
  </si>
  <si>
    <t>সীমিত ভিডিও রেকর্ডিং বিকল্প এবং ফ্রেম রেট পেশাদার ভিডিওগ্রাফির জন্য ক্যামেরার উপযুক্ততা সীমাবদ্ধ করে</t>
  </si>
  <si>
    <t>দীর্ঘ সময় একই জায়গায় চাপ প্রয়োগ করা এড়িয়ে চলুন</t>
  </si>
  <si>
    <t>স্যামসাং টি এসএসডি  বিজ্ঞাপনের চেয়ে ধীর গতি হতাশ</t>
  </si>
  <si>
    <t>স্নানের তেলের ঘ্রাণ ছিল অত্যধিক শক্তিশালী এবং কৃত্রিম আমার মাথা ব্যাথা করে</t>
  </si>
  <si>
    <t>এই শ্যাম্পুটি চুলে নতুন জীবন নিয়ে আসে</t>
  </si>
  <si>
    <t>ট্রাবলশুটিং টিপস কার্যকর হতে পারে</t>
  </si>
  <si>
    <t>ব্যবহারযোগ্য তবে আরও ভালো আশা করেছিলাম</t>
  </si>
  <si>
    <t>বাচ্চাদের জন্য নিরাপদ তবে তত্ত্বাবধান প্রয়োজন</t>
  </si>
  <si>
    <t>ব্রাশের ব্রিসলগুলি দাঁত পরিষ্কার করার জন্য কার্যকর তবে দীর্ঘমেয়াদে টেকসই নয়</t>
  </si>
  <si>
    <t>কুকিং থার্মোমিটারটি তাপমাত্রা মাপে তবে ডিসপ্লে পড়া কঠিন</t>
  </si>
  <si>
    <t>শ্যাম্পুর ব্যবহার চুলকে বেশি মসৃণ ও উজ্জ্বল করে তোলে</t>
  </si>
  <si>
    <t>শেলফটির প্রতিটি স্তর ঠিকভাবে ব্যালেন্স করে</t>
  </si>
  <si>
    <t>ব্রাশটির গুণগত মান গড়</t>
  </si>
  <si>
    <t>ভালো ক্যামেরায় মাঝে মাঝে ত্রুটি থাকতে পারে</t>
  </si>
  <si>
    <t>স্টেইনলেস স্টিল স্ট্রটি পান করতে সহায়ক তবে পরিষ্কার করা কিছুটা কঠিন</t>
  </si>
  <si>
    <t>রিমোট ফাইন্ডারটি রিমোট খুঁজে পেতে সাহায্য করে তবে রেঞ্জ কম</t>
  </si>
  <si>
    <t>এটি স্ক্রিনের উজ্জ্বলতা বাড়ানোর জন্য ডিজাইন করা নয়</t>
  </si>
  <si>
    <t>রোবোটিক ভ্যাকুয়াম সহজেই আটকে যায় অসম্পূর্ণ পরিস্কার</t>
  </si>
  <si>
    <t>ব্যবহারযোগ্য কিন্তু অন্য ব্র্যান্ডের সাথে তুলনীয়</t>
  </si>
  <si>
    <t>রঙটা একদম সুন্দর তবে ফিনিশিং ঠিক নেই</t>
  </si>
  <si>
    <t>ফোনের ক্যামেরা গড়পড়তা বিশেষ কিছু না</t>
  </si>
  <si>
    <t>আলগা ঢাকনা পানীয় দূষিত ধ্বংসাবশেষ অনুমতি দেয়</t>
  </si>
  <si>
    <t>যথেষ্ট আরামদায়ক তবে বিশেষ কিছু নয়</t>
  </si>
  <si>
    <t>ফ্যাব্রিকটি গড়পড়তা পাতলা এবং এর মান উন্নত করা যেতে পারে</t>
  </si>
  <si>
    <t>পেইন্টের ঘন সামঞ্জস্য ছিল ছড়িয়ে দেওয়া কঠিন</t>
  </si>
  <si>
    <t>ত্বকের কোষগুলোকে পুনরুজ্জীবিত করে এই বডি ওয়াশ</t>
  </si>
  <si>
    <t>বাথরোবের কাপড় ধোয়ার পরে সঙ্কুচিত হয়ে যায় আরামে পরার পক্ষে খুব ছোট হয়ে যায়</t>
  </si>
  <si>
    <t>দুর্দান্ত শব্দ এবং দামের জন্য ভালো কিছু পারফরম্যান্স সমস্যা</t>
  </si>
  <si>
    <t>সেটের সাথে আসা অতিরিক্ত বালিশের কভারগুলি খুবই সুবিধাজনক আমি সহজেই স্টাইল পরিবর্তন করতে পারি</t>
  </si>
  <si>
    <t>ব্রাশগুলি ন্যূনতম ব্যবহারের পরেও ফ্রেটিং প্রবণ ছিল</t>
  </si>
  <si>
    <t>এগুলি দুর্দান্ত কিছু সীমাবদ্ধতা সহ</t>
  </si>
  <si>
    <t>শিশুটি তার খেলনা নিয়ে খুব মজা করে</t>
  </si>
  <si>
    <t>মধুটি শরীরের রোগ প্রতিরোধ ক্ষমতা বাড়ায়</t>
  </si>
  <si>
    <t>প্যাডটি সহজেই ব্যবহারযোগ্য যা মহিলাদের জন্য খুবই সুবিধাজনক</t>
  </si>
  <si>
    <t>স্টপওয়াচ ফিচারটি কাজে লাগছে</t>
  </si>
  <si>
    <t>রোবোটিক লনমাওয়ার লন অসম কাটার ক্ষতি করে</t>
  </si>
  <si>
    <t>পানীয়টি বেশ ভালো তবে আরো বেশি ফ্রুট ফ্লেভার হতে পারতো</t>
  </si>
  <si>
    <t>ব্রাশটি পারফেক্ট  এটি প্রতিটি পক্ষপাতকে ভালভাবে কোট করে</t>
  </si>
  <si>
    <t>এটি পেটের সমস্যা নিরাময়ে সহায়ক</t>
  </si>
  <si>
    <t>রং আকর্ষণীয় তবে মান সন্তোষজনক নয়</t>
  </si>
  <si>
    <t>ত্রুটিপূর্ণ ঢাকনা সিল অগোছালো ভ্রমণ অভিজ্ঞতার নেতৃত্বে</t>
  </si>
  <si>
    <t>ফ্রিজের ধারণক্ষমতা আমার পরিবারের জন্য একদম পারফেক্ট</t>
  </si>
  <si>
    <t>বিভিন্ন আকৃতির পণ্য রয়েছে তবে সেগুলি একই রকম মনে হয়</t>
  </si>
  <si>
    <t>এই বডি ওয়াশ ব্যবহারে আপনার ত্বক হবে সুগঠিত</t>
  </si>
  <si>
    <t>বাড়িকে সুন্দর দেখায় তবে নাটকীয়ভাবে নয়</t>
  </si>
  <si>
    <t>স্কুলের মাঠে খেলার সময় অনেক মজা হয়</t>
  </si>
  <si>
    <t>ব্রাশটি দেখতে সুন্দর আমার ড্রেসিং টেবিলে ভালো মানায়</t>
  </si>
  <si>
    <t>দারুণ ভ্যালু তবে কিছু টুকরো অনুপস্থিত</t>
  </si>
  <si>
    <t>কন্টেইনার সিল ছাড়াই এসেছে পণ্যের নিরাপত্তা প্রশ্নবিদ্ধ</t>
  </si>
  <si>
    <t>পড়ে একেবারে মুগ্ধ হয়েছি</t>
  </si>
  <si>
    <t>মাঝারি বৈচিত্র্য এবং সরবরাহ করা সহজ</t>
  </si>
  <si>
    <t>দীর্ঘস্থায়ী এবং নির্ভরযোগ্য</t>
  </si>
  <si>
    <t>ঘন ঘন ব্যবহারে ক্ষয় হতে পারে</t>
  </si>
  <si>
    <t>টিবি জন্য খুব ন্যায্য মূল্য অসাধারণ পারফর্ম করে</t>
  </si>
  <si>
    <t>জিম ম্যাটের গ্রিপ ভালো তবে পরিষ্কার করা কঠিন</t>
  </si>
  <si>
    <t xml:space="preserve">  রঙ দ্রুত বিবর্ণ হয়ে যায় এমনকি সরাসরি সূর্যালোক থেকে দূরে রাখলেও এর চাক্ষুষ আকর্ষণ হ্রাস পায়</t>
  </si>
  <si>
    <t>বৃষ্টিতে ভিজে যাওয়ার ভয় আর নেই এই ছাতা আমাকে সম্পূর্ণ শুকনো রাখে</t>
  </si>
  <si>
    <t>স্মার্ট যোগ ম্যাটটি পোজ সংশোধন করে তবে অ্যাপ ক্র্যাশ করে</t>
  </si>
  <si>
    <t>পণ্যের ব্যবহারকারী ইন্টারফেস বিভ্রান্তিকর বা অজ্ঞাত ছিল</t>
  </si>
  <si>
    <t>এই স্পিকার দিয়ে ক্লাসিকাল মিউজিক শুনলে মনে হয় অর্কেস্ট্রা হলে বসে আছি</t>
  </si>
  <si>
    <t>মেকআপ স্পঞ্জ অত্যধিক পণ্য শোষণ করে যা স্ট্রেকি প্রয়োগের দিকে পরিচালিত করে</t>
  </si>
  <si>
    <t>ব্লুটুথ হেডফোন ভাল তবে অন্যান্য বিকল্পের তুলনায় বিশেষ কিছু নয়</t>
  </si>
  <si>
    <t>রঙ প্রাণবন্ত তবে ওয়াশের পর সমস্যা হয়েছে</t>
  </si>
  <si>
    <t>হ্যান্ডেলটি মজবুত মনে হয়</t>
  </si>
  <si>
    <t>শ্যাম্পু ময়লা এবং তেল অপসারণ করতে ব্যর্থ হয়েছে চুল অপরিষ্কার অনুভব করে</t>
  </si>
  <si>
    <t>আমার মেয়ে এখন এটিকে তার প্রিয় খেলনা হিসেবে গণ্য করে এবং প্রায়ই এর সাথে খেলে</t>
  </si>
  <si>
    <t>এই চা আমার কাছে হয়ে উঠেছে একটি আরামের মুহূর্ত</t>
  </si>
  <si>
    <t>দরিদ্র অবস্থায় প্রাপ্ত উপহার দেওয়ার জন্য অনুপযুক্ত</t>
  </si>
  <si>
    <t>খাবার সংরক্ষণ করে কিন্তু দীর্ঘ সময়ের জন্য নয়</t>
  </si>
  <si>
    <t>এটি দেশের বাইরে ব্যবহার করা যাবে</t>
  </si>
  <si>
    <t>রঙটি পরিবেশ অনুযায়ী ভালো</t>
  </si>
  <si>
    <t>কানের দুল ইত্যাদির জন্য ঠিক আছে বিশেষ কিছু নয়</t>
  </si>
  <si>
    <t>ক্ষতিগ্রস্থ প্যাকেজিংয়ের ফলে অর্ধখালি বোতল</t>
  </si>
  <si>
    <t>আমার গাড়িটা অনেক জরে চলে কিন্তু কাল ধুয়াও বের হয়</t>
  </si>
  <si>
    <t>অপেক্ষা করার মতো মনে হয় নি</t>
  </si>
  <si>
    <t>জাস্ট গ্রেট</t>
  </si>
  <si>
    <t>প্রতিটি রঙের পেন্সিল বা ক্রেয়নের আকার হাতে ধরার পক্ষে পারফেক্ট</t>
  </si>
  <si>
    <t>হেডফোনগুলো ছোট এবং উন্নতির জন্য জায়গা আছে</t>
  </si>
  <si>
    <t>বিভিন্ন আবহাওয়ার শব্দ তৈরি করে তবে খুব বাস্তবিক নয়</t>
  </si>
  <si>
    <t>এটি একটি অদ্বিতীয় আংটি হিসেবে মনে হয়</t>
  </si>
  <si>
    <t xml:space="preserve"> বিল্ড কোয়ালিটি সস্তা মনে হয়   উপাদান যা চাপে ফ্লেক্স করে</t>
  </si>
  <si>
    <t>ফোল্ডিং মেকানিজম খুবই সহজ একহাতে খোলা ও বন্ধ করা যায়</t>
  </si>
  <si>
    <t>ঘড়িটি তাপ সহনশীল</t>
  </si>
  <si>
    <t>একটি সস্তা জিপার ছিল যা আটকে যাচ্ছিল এবং আনজিপ করা কঠিন ছিল</t>
  </si>
  <si>
    <t>এই স্পিকার আমার জীবনে সংগীতের গুরুত্ব আরও বাড়িয়ে দিয়েছে</t>
  </si>
  <si>
    <t>ভুল তাপমাত্রা পরিমাপক বিভ্রান্তিকর রিডিং প্রদান করেছে</t>
  </si>
  <si>
    <t>তাপ বন্টন সমান নয়</t>
  </si>
  <si>
    <t>পোর্টেবল গ্রিলের পা অস্থির রান্না করার সময় টলমল করে</t>
  </si>
  <si>
    <t>স্মার্টওয়াচটি নোটিফিকেশন দেখায় এবং ব্যাটারি একটি নির্দিষ্ট সময় পরে শেষ হয়</t>
  </si>
  <si>
    <t xml:space="preserve"> পর্দায় উজ্জ্বলতা এবং অন্ধকারের প্যাচ সহ অসম ব্যাকলাইটিং ছিল</t>
  </si>
  <si>
    <t>মপ দিয়ে কাজ করতে শারীরিক পরিশ্রম কম লাগে</t>
  </si>
  <si>
    <t>ওয়াইন চিলারটি ঠান্ডা রাখে তবে জায়গা বেশি নেয়</t>
  </si>
  <si>
    <t>গন্ধ প্রতিরোধক ব্যবস্থা আরও ভালো হতে পারত</t>
  </si>
  <si>
    <t>অল্প সময়ের মধ্যে শুকিয়ে যায়</t>
  </si>
  <si>
    <t>মূল্যের সাথে মানের সামঞ্জস্য রয়েছে তবে এটি বিশেষ কিছু নয়</t>
  </si>
  <si>
    <t>কর্ডলেস ড্রিলের ব্যাটারি দ্রুত মারা যায় প্রকল্পগুলি শেষ করতে পারে না</t>
  </si>
  <si>
    <t>প্রতিদিনের ব্যবহারে উপযোগী এই বডি ওয়াশ</t>
  </si>
  <si>
    <t>মোটামুটি ঠিককিন্তু কোয়ালিটি ভালো অসাধারণ কিছু নয়</t>
  </si>
  <si>
    <t>আর্টওয়ার্ক প্রভাবিত করতে ব্যর্থ হয় সৃজনশীলতার অভাব হয়</t>
  </si>
  <si>
    <t>হতাশাজনক উপহার স্বাস্থ্যবিধির অভাবে ক্ষতিগ্রস্ত</t>
  </si>
  <si>
    <t>আমাদের অফিসের টিমওয়ার্ক অনেক ভালো</t>
  </si>
  <si>
    <t>এর ব্যবহার আছে</t>
  </si>
  <si>
    <t>পণ্যের শিরোনামটি কিছুটা বিভ্রান্তিকর</t>
  </si>
  <si>
    <t>বৃষ্টির মৌসুমে এই ছাতাটি কিনে খুবই সন্তুষ্ট হয়েছি প্রথমেই এর হালকা ওজন আমাকে মুগ্ধ করেছে</t>
  </si>
  <si>
    <t>পানি প্রতিরোধী তবে দীর্ঘ সময় ভেজা রাখা উচিত নয়</t>
  </si>
  <si>
    <t>ওয়্যারলেস ঘ্রাণ জেনারেটর ভালো কাজ করে তবে রিফিলের দাম বেশি</t>
  </si>
  <si>
    <t>গ্রেট মান মান ভাল হতে পারে</t>
  </si>
  <si>
    <t>ছেলেটি প্রতিদিন নিয়মিত পড়াশোনা করে</t>
  </si>
  <si>
    <t>ব্যবহারের পর সম্পূর্ণ শুকিয়ে রাখা প্রয়োজন</t>
  </si>
  <si>
    <t>ফলের রসটা একদম ঠিকঠাক তেমন মিষ্টি বা টক নয়</t>
  </si>
  <si>
    <t>রঙগুলি নরম এবং মসৃণভাবে প্রয়োগ করা যায়</t>
  </si>
  <si>
    <t>ব্যবহারের পর হাত ধোয়া সহজ হবে</t>
  </si>
  <si>
    <t>ভাল উপহার কিন্তু কিছু জপমালা ত্রুটিযুক্ত</t>
  </si>
  <si>
    <t>আইটেম এর নকশা পুরানো ছিল</t>
  </si>
  <si>
    <t>মেকআপ ব্রাশের হেয়ারগুলি নরম এবং ব্যবহারে আরামদায়ক</t>
  </si>
  <si>
    <t>বুকশেলফে অ্যাডজাস্টেবল পার্টিশন আছে</t>
  </si>
  <si>
    <t>মূল্যের দিক থেকে সাশ্রয়ী বলা যায়</t>
  </si>
  <si>
    <t>কম্বলের ওজন হালকা যা ঘুমানোর সময় আরাম দেয়</t>
  </si>
  <si>
    <t>বিস্কুটগুলি বেশ কয়েক ঘণ্টা তাজা থাকে</t>
  </si>
  <si>
    <t xml:space="preserve">দামের জন্য ভাল মানেরসেরা </t>
  </si>
  <si>
    <t>ফ্যাশনের জন্য সুন্দর তবে ফিনিশিং উন্নত নয়</t>
  </si>
  <si>
    <t>দরিদ্র মানের এবং নকশা ত্রুটির জন্য দেওয়া মূল্য মূল্য নয়</t>
  </si>
  <si>
    <t>এয়ার কুলারের নির্মাণশৈলী প্রশংসনীয়</t>
  </si>
  <si>
    <t>জুতোর সোল মজবুত তবে ধুলো জমে</t>
  </si>
  <si>
    <t>পোর্টেবল ওজোন জেনারেটর বাতাস শোধন করে তবে গন্ধটি তীব্র</t>
  </si>
  <si>
    <t>স্মার্ট পার্কিং সেন্সরটি গাড়ি পার্ক করতে সাহায্য করে তবে ইনস্টলেশন জটিল</t>
  </si>
  <si>
    <t>ব্রাশটি মুখের পিছনের দিকে পৌঁছায়</t>
  </si>
  <si>
    <t>এগুলি ভাল কাজ করছে এবং সত্যিই ভাল গতি রয়েছে</t>
  </si>
  <si>
    <t>দেখতে সুন্দর তবে ফ্যাব্রিকের মান কম</t>
  </si>
  <si>
    <t xml:space="preserve">দ্রুত ডেলিভারি ভালো পণ্য চার্জারটি দ্রুত কাজ করে </t>
  </si>
  <si>
    <t>গরিলাপড কিট অনেক ভাল কাজ করে</t>
  </si>
  <si>
    <t>হাইলাইটার ত্বকের ছিদ্র এবং টেক্সচারকে ঝাপসা করার পরিবর্তে জোর দেয়</t>
  </si>
  <si>
    <t>ফোনের কেসটি দেখতে খুবই চমৎকার</t>
  </si>
  <si>
    <t>অস্বস্তিকর ফিট চলমান সংযোগ সমস্যা</t>
  </si>
  <si>
    <t>গুরুত্বপূর্ণ পিনগুলি সুরক্ষিত করার জন্য নিখুঁত তবে কিছু ক্ষেত্রে খুব টাইট হতে পারে</t>
  </si>
  <si>
    <t>কফি টেবিলের নীচের অংশে হুইল আছে সহজে নড়াচড়া করার জন্য</t>
  </si>
  <si>
    <t>ঢাকনা মোটামুটি ভালো লাগে</t>
  </si>
  <si>
    <t>গদিটির মাঝখানে একটি লক্ষণীয় গলদ রয়েছে যার ফলে প্রান্তে ঘূর্ণায়মান না হয়ে আরামে ঘুমানো অসম্ভব</t>
  </si>
  <si>
    <t>বাতাসের গতি নিয়ন্ত্রণ করা যায়</t>
  </si>
  <si>
    <t>অফিসে নিয়ে যাওয়া যায়</t>
  </si>
  <si>
    <t>লেখার ধরণ অত্যন্ত সাবলীল</t>
  </si>
  <si>
    <t>ক্যামেরার সেটআপ সাধারণ দিনের আলোয় ভালো ছবি তোলে নাইট মোড মোটামুটি</t>
  </si>
  <si>
    <t>জিনিসটি আমার খুবই ভাল কাজ করছে</t>
  </si>
  <si>
    <t>উপকরণ খুব উচ্চমানের</t>
  </si>
  <si>
    <t>গাছের স্বাস্থ্য কিছুটা উন্নত হয়েছে তবে ফলন খুব বেশি বাড়েনি</t>
  </si>
  <si>
    <t>এই শ্যাম্পুটি চুলকে অনেক শক্তিশালী করে তোলে</t>
  </si>
  <si>
    <t xml:space="preserve">কাজ করে সেই </t>
  </si>
  <si>
    <t>ট্র্যাকিং ডিভাইস সেট আপ করা খুব সহজ</t>
  </si>
  <si>
    <t>আকার ঠিক আছে তবে একটু বড় হলে ভালো হতো</t>
  </si>
  <si>
    <t>আমি যা চেয়েছিলাম তা পেয়েছি খুব সুন্দর</t>
  </si>
  <si>
    <t>শুর্যাকটি আমার সমস্ত জুতা সুন্দরভাবে সাজিয়ে রাখতে সাহায্য করছে</t>
  </si>
  <si>
    <t>যত্ন নেওয়ার সময় না থাকলেও সুন্দর সাজানো যায়</t>
  </si>
  <si>
    <t>তারা মোটামুটি ভাল কাজ করে</t>
  </si>
  <si>
    <t>স্কুলের শিক্ষকরা সবসময় সহায়ক এবং উৎসাহব্যঞ্জক</t>
  </si>
  <si>
    <t>পোশাক ঠিক আছে এটি আরও ভাল হতে পারে</t>
  </si>
  <si>
    <t>পরিষ্কার করার প্রচেষ্টা সত্ত্বেও দীর্ঘায়িত রাসায়নিক গন্ধ অব্যাহত রয়েছে</t>
  </si>
  <si>
    <t>বেশ কিছুদিন পর বুঝতে পারব কেমন কাজ করে</t>
  </si>
  <si>
    <t>কী চেইনটি টেকসই কিন্তু ডিজাইন খুব সাধারণ</t>
  </si>
  <si>
    <t>চায়ের তীব্রতা ঠিক যেমনটা আমি পছন্দ করি</t>
  </si>
  <si>
    <t>হেয়ার স্প্রেতে একটি শক্তিশালী রাসায়নিক গন্ধ রয়েছে যা চুলে লেগে থাকে এটি পরতে অপ্রীতিকর করে তোলে</t>
  </si>
  <si>
    <t>প্রতিদিন এটি দেখে আমার মন প্রফুল্ল হয়</t>
  </si>
  <si>
    <t>ফুলটি আমার ঘরের রঙের সাথে সুন্দরভাবে মিলে গেছে</t>
  </si>
  <si>
    <t>স্মার্ট গার্ডেন সেন্সর ভুল রিডিং দেয় মাটির আর্দ্রতা সম্পর্কে ভুল তথ্য দেয়</t>
  </si>
  <si>
    <t>শব্দ করার ব্যবস্থা আছে কিন্তু খুব একটা মজার নয়</t>
  </si>
  <si>
    <t xml:space="preserve">  কুয়াশা একটি অদ্ভুত সামঞ্জস্য ছিল যা চিকন অনুভূত</t>
  </si>
  <si>
    <t>ছেলেটি তার বন্ধুদের সাথে খুব আনন্দে খেলছে</t>
  </si>
  <si>
    <t>সস্তা দেখতে এবং অস্থির হতাশাজনক</t>
  </si>
  <si>
    <t>রঙটা ভালো লেগেছে কিন্তু সেলাই একটু খারাপ হয়েছে</t>
  </si>
  <si>
    <t>এটি ত্বকের উজ্জ্বলতা বৃদ্ধি করে</t>
  </si>
  <si>
    <t>প্যাকেজিং সাধারণ কোনো অতিরিক্ত অ্যাক্সেসরিজ নেই</t>
  </si>
  <si>
    <t>এই চা পান করে আমার মন প্রশান্তিতে ভরে ওঠে</t>
  </si>
  <si>
    <t>প্যাকেজিং অবহেলার ফলে ক্ষতি হয়েছে</t>
  </si>
  <si>
    <t>সাউন্ড কোয়ালিটি মোটামুটি ভালো ছিল কিন্তু কানের জন্য আরামদায়ক নয়</t>
  </si>
  <si>
    <t>প্যাকেজ করা কুকিগুলি অত্যধিক মিষ্টি ছিল এবং একটি চর্বিযুক্ত টেক্সচার ছিল বাড়িতে তৈরি করা থেকে অনেক দূরে</t>
  </si>
  <si>
    <t>গয়নাটির আলিঙ্গন সহজেই ভেঙে যায় যার ফলে আমি কেনার কয়েক দিনের মধ্যে একটি মূল্যবান কানের দুল হারাতে পারি</t>
  </si>
  <si>
    <t>মসকিটো নেটটি পোকা ঠেকায় কিন্তু লাগানো কঠিন</t>
  </si>
  <si>
    <t>স্মার্ট টিভি বৈশিষ্ট্যগুলি ছিল মন্থর এবং প্রায়শই হিম হয়ে যায় যা স্ট্রিমিংকে একটি হতাশাজনক অভিজ্ঞতা তৈরি করে</t>
  </si>
  <si>
    <t>অসন্তোষজনক অভিজ্ঞতা এই পণ্য এড়িয়ে চলুন</t>
  </si>
  <si>
    <t>অনেক ক্ষেত্রে ভালো পারফর্ম করে কিন্তু কিছু ক্ষেত্রে উন্নতি ব্যবহার করতে পারে</t>
  </si>
  <si>
    <t xml:space="preserve"> কন্ট্রোল প্যানেল দীর্ঘায়িত ব্যবহারের পরে প্রতিক্রিয়াহীন হয়ে পড়ে একটি পাওয়ার চক্রের প্রয়োজন হয়</t>
  </si>
  <si>
    <t>গ্রেট মাউস</t>
  </si>
  <si>
    <t>ওয়াল মাউন্টিং অপশন আছে</t>
  </si>
  <si>
    <t>গন্ধটি খুব দুর্বল ছিল মানসম্পন্ন চায়ের দৃঢ়তার অভাব ছিল</t>
  </si>
  <si>
    <t>মাঝারি মানের লাগছে</t>
  </si>
  <si>
    <t>পোশাক সুন্দর তবে মাপ বড় এসেছে</t>
  </si>
  <si>
    <t>এটি ব্যবহারের পর পরিষ্কার করতে হবে</t>
  </si>
  <si>
    <t>আগে থেকে প্যাকেজ করা সালাদে লেটুস শুকিয়ে গিয়েছিল এবং তাজা থেকে অনেক দূরে বাসি স্বাদ ছিল</t>
  </si>
  <si>
    <t>পোশাকটি একটি মৃদু গন্ধ নিয়ে আসে</t>
  </si>
  <si>
    <t>স্মার্টওয়াচের টাচস্ক্রিন প্রায়ই জমে যায় প্রতিক্রিয়াহীন</t>
  </si>
  <si>
    <t>ত্বকের পিএইচ ভারসাম্য বজায় রাখে এই বডি ওয়াশ</t>
  </si>
  <si>
    <t>প্রতিদিন এটি ব্যবহার করলে দাঁতের মজবুত এবং সাদা হয়ে ওঠে</t>
  </si>
  <si>
    <t>গন্ধ প্রোফাইলটি একমাত্রিক ছিল জটিলতার অভাব ছিল</t>
  </si>
  <si>
    <t>রঙ ফ্যাকাশে হওয়ার সমস্যা নেই সবসময় উজ্জ্বল থাকে</t>
  </si>
  <si>
    <t>দরিদ্র গ্রাহক সমর্থন পুনরাবৃত্তি সমস্যা</t>
  </si>
  <si>
    <t>লাইটের উজ্জ্বলতা পুরো ঘর জুড়ে ছড়িয়ে পড়ে</t>
  </si>
  <si>
    <t>লিকেজ প্রতিরোধ ক্ষমতা ভালো</t>
  </si>
  <si>
    <t>ঘড়িটি খুবই কম রক্ষণাবেক্ষণ প্রয়োজন</t>
  </si>
  <si>
    <t>সানভেজা ম্যাকবুক প্রো চার্জার একটি বাজেটে একটি গেমচেঞ্জার</t>
  </si>
  <si>
    <t>স্বয়ংক্রিয় পোষ্য ফিডার অনিয়মিতভাবে ক্ষুধার্ত পোষা প্রাণীদের খাবার সরবরাহ করে</t>
  </si>
  <si>
    <t>পুনব্যবহারযোগ্য জলের বোতলের ঢাকনা সিলটি ফুটো হয়ে গেছে ফলে ছিটকে গেছে</t>
  </si>
  <si>
    <t>একেবারে ইতিবাচকভাবে আশ্চর্যজনক সবার জন্য নয়</t>
  </si>
  <si>
    <t>এটি ঘরে কিছুটা আলো বাড়ায়</t>
  </si>
  <si>
    <t>কোন সিল নেই ধারক খোলা  পণ্যে আস্থা নেই</t>
  </si>
  <si>
    <t>টেকসই তবে মান তেমন ভালো নয়</t>
  </si>
  <si>
    <t>প্রথমেই বলতে হয় এর দ্রুত চার্জিং ক্ষমতার কথা</t>
  </si>
  <si>
    <t>পকেট সাইজের ডকুমেন্ট স্ক্যানার কাগজ স্ক্যান করে তবে রেজোলিউশন কম</t>
  </si>
  <si>
    <t>সাউন্ড কোয়ালিটি পুনরাবৃত্ত সমস্যা</t>
  </si>
  <si>
    <t>বিভিন্ন মুদ্রার ছবি আছে কিন্তু আকার ছোট</t>
  </si>
  <si>
    <t>পাম রেস্টটি টাইপ করার সময় সাহায্য করে কিন্তু একটু নরম</t>
  </si>
  <si>
    <t>মোবাইল অ্যাপ নেই</t>
  </si>
  <si>
    <t>বরফ সরবরাহকারী ঘন ঘন জ্যাম করে সমাধানের জন্য ম্যানুয়াল হস্তক্ষেপ প্রয়োজন</t>
  </si>
  <si>
    <t>বাড়ির একটি আকর্ষণ হতে পারে</t>
  </si>
  <si>
    <t>প্লেটগুলোর প্রান্ত সমতল কোনো বিশেষ আকৃতি নেই</t>
  </si>
  <si>
    <t>মধুটি ঘুমের সমস্যা দূর করতে সাহায্য করে</t>
  </si>
  <si>
    <t>আমার যা দরকার ছিল তা আমি পেয়ে গেছি</t>
  </si>
  <si>
    <t>পোর্টেবল সোনার মাছ খুঁজে পায় কিন্তু স্ক্রিনের স্বচ্ছতা সীমিত</t>
  </si>
  <si>
    <t>শাটলের ওজন ঠিক আছে তবে দ্রুত ক্ষতিগ্রস্ত হয়</t>
  </si>
  <si>
    <t>কফির গুণমান দেখে মনে হয় এটি প্রিমিয়াম ব্র্যান্ডের</t>
  </si>
  <si>
    <t>জলরোধী শালীন অসামান্য নয়</t>
  </si>
  <si>
    <t>বাতাসের গতি নিয়ন্ত্রণ সহজ</t>
  </si>
  <si>
    <t>ছেলেটি প্রতিদিন নিয়মিত খেলাধুলা করে</t>
  </si>
  <si>
    <t>ডিভাইসটির ওএস আপডেট খুবই নিয়মিত</t>
  </si>
  <si>
    <t>ত্বকে কোনো প্রতিক্রিয়া হয়নি</t>
  </si>
  <si>
    <t>জমির জন্য সারটি উপযুক্ত তবে গাছের স্বাস্থ্য তেমন ভালো ছিল না</t>
  </si>
  <si>
    <t>কম্পিউটার টেবিল হিসেবে ব্যবহার করা যায়</t>
  </si>
  <si>
    <t>স্টাইলিং জেলটি আমার চুল শুকিয়েছে এবং এটি কুঁচকে গেছে</t>
  </si>
  <si>
    <t>আইল্যাশ কার্লার দোররাগুলিকে চিমটি দেয় যার ফলে সেগুলি ভেঙে যায় এবং পড়ে যায়</t>
  </si>
  <si>
    <t>এতে আমার দাঁত খুবই পরিষ্কার হয়ে যায়</t>
  </si>
  <si>
    <t>ব্যবহারের পর কোনো অবাঞ্ছিত দাগ পড়েনি</t>
  </si>
  <si>
    <t>টুথব্রাশের ব্রিসলগুলি মসৃণ এবং দাঁতের জন্য নিরাপদ</t>
  </si>
  <si>
    <t>একক ব্যাগে মোড়ানো অতিরিক্ত র্যাপিং নেই</t>
  </si>
  <si>
    <t>দ্রুত শুকানোর সুবিধা রয়েছে</t>
  </si>
  <si>
    <t>স্বাস্থ্যের জন্য একটি অদ্ভুত রাসায়নিক গন্ধ সহ একটি পোশাক পেয়েছি</t>
  </si>
  <si>
    <t>এতে কোনো ক্ষতিকর রাসায়নিক নেই</t>
  </si>
  <si>
    <t>মধুটি হৃদরোগের ঝুঁকি কমায়</t>
  </si>
  <si>
    <t>নোংরা খরগোশ মঙ্গল সামগ্রিক ভোগ</t>
  </si>
  <si>
    <t>সেটটি বেশ কয়েকটি টুকরো টুকরো হয়ে এসেছিল সম্ভবত দুর্বল প্যাকেজিংয়ের কারণে</t>
  </si>
  <si>
    <t xml:space="preserve"> বিল্ড কোয়ালিটি খারাপ   উপাদানগুলো সস্তা এবং ভঙ্গুর মনে হয়</t>
  </si>
  <si>
    <t>আনসিল করা প্যাকেজিং পণ্য ফাঁস হয়ে গেছে এবং একটি বিশৃঙ্খলা সৃষ্টি করেছে</t>
  </si>
  <si>
    <t>চেয়ারগুলো একের উপর অন্যটি রাখা যায় যা স্টোরেজে সুবিধা দেয়</t>
  </si>
  <si>
    <t>কীবোর্ড কভারটি ফিট করে তবে টাইপ করা একটু অস্বস্তিকর</t>
  </si>
  <si>
    <t>গুণমান এবং রং ভালো তবে অসাধারণ নয়</t>
  </si>
  <si>
    <t>সাশ্রয়ী মূল্যে এমন ভালো মানের চাদর পাওয়া সত্যিই চমৎকার</t>
  </si>
  <si>
    <t>উপাদান ত্বকে রুক্ষ মনে হয়</t>
  </si>
  <si>
    <t>এটি রাতে ব্যবহার করার জন্য উপযুক্ত</t>
  </si>
  <si>
    <t>আমি এই ডিনার সেটের বহুমুখী ব্যবহার পছন্দ করি এটি শুধু খাওয়ার জন্যই নয় ফুলদানি বা ছোট জিনিসপত্র রাখার জন্যও ব্যবহার করা যায়</t>
  </si>
  <si>
    <t>রঙ এবং ডিজাইন একদম মনমতো বিভিন্ন রঙ এবং নকশার চাদরগুলোর মধ্যে এটি আলাদা হয়ে ওঠে</t>
  </si>
  <si>
    <t>গয়নাটির আলিঙ্গন ছিল ক্ষীণ এবং পূর্বাবস্থায় আসার প্রবণতা আমার মূল্যবান টুকরাগুলিকে ক্ষতি বা ক্ষতির ঝুঁকিতে ফেলেছিল</t>
  </si>
  <si>
    <t>অকার্যকর নিরোধকের ফলে পানীয় দ্রুত ঠান্ডা হয়</t>
  </si>
  <si>
    <t xml:space="preserve"> আলহামদুলিল্লাহ ফাইনালি আমি প্রোডাক্টটি হাতে পেয়েছি</t>
  </si>
  <si>
    <t>চা সেটের টুকরোগুলি খুব সূক্ষ্ম ছিল ব্যবহারের সময় সহজেই ভেঙে যায়</t>
  </si>
  <si>
    <t>ফেসিয়াল মিস্টে অ্যালকোহল থাকে যা ত্বককে শুকিয়ে দেয় এবং টানটানতা এবং অস্বস্তি সৃষ্টি করে</t>
  </si>
  <si>
    <t>পোর্টেবল থার্মাল প্রিন্টারটি রসিদ ছাপে কিন্তু কাগজ দ্রুত শেষ হয়</t>
  </si>
  <si>
    <t>এই প্যাডটি দীর্ঘ সময় ধরে তাজা অনুভূতি দেয় যা সত্যিই প্রশংসনীয়</t>
  </si>
  <si>
    <t>ফোনের স্ক্রিন প্রটেক্টরটি খুবই কার্যকর এবং টেকসই</t>
  </si>
  <si>
    <t>পরার জন্য আরামদায়ক তবে খুবই টেকসই মনে হচ্ছে না</t>
  </si>
  <si>
    <t>স্বল্প সময়ের মধ্যে অগ্রহণযোগ্য পরিধান এবং টিয়ার</t>
  </si>
  <si>
    <t>এটি কিছু ত্রুটি সহ উদ্দেশ্যটি পরিবেশন করে</t>
  </si>
  <si>
    <t>আমি বুঝতে পারিনি যে আমার এসবের প্রয়োজন হবে না</t>
  </si>
  <si>
    <t>এটি কিছুটা শুষ্ক অনুভব হতে পারে</t>
  </si>
  <si>
    <t>পাঁচ মিনিটে গরম হয়</t>
  </si>
  <si>
    <t>সুগন্ধটি দুর্বল এবং নিষ্প্রভ ছিল উচ্চমানের চায়ের দৃঢ়তার অভাব ছিল</t>
  </si>
  <si>
    <t>ক্ষুদ্র এবং সুবিধাজনক তবে কার্যকারিতা সীমিত হতে পারে</t>
  </si>
  <si>
    <t>হতাশাজনক অভিজ্ঞতা স্থায়িত্বের অভাব</t>
  </si>
  <si>
    <t>প্রাথমিক ব্যবহারের জন্য ভাল সৌর ক্যামেরায় সংযোগের সমস্যা থাকতে পারে</t>
  </si>
  <si>
    <t>অসাধারণ একটি প্রোডাক্ট চমৎকার  কর্মক্ষমতা এবং স্থায়িত্ব</t>
  </si>
  <si>
    <t>ভাল কিনুন তবে সেরা নয়</t>
  </si>
  <si>
    <t>হেয়ার সিরাম আমার চুলকে চর্বিযুক্ত বোধ করে এবং ওজন কমিয়ে দেয় কোন দৃশ্যমান উন্নতি ছাড়াই</t>
  </si>
  <si>
    <t>অনিয়মিত গরম করার চক্র অসঙ্গত জলের তাপমাত্রার দিকে পরিচালিত করে</t>
  </si>
  <si>
    <t>ফিটিং খুবই সঠিক এবং আরামদায়ক</t>
  </si>
  <si>
    <t>বডি মেটেরিয়াল টেকসই</t>
  </si>
  <si>
    <t>ঘরের আকার বড় দেখায় তবে অতিরিক্ত নয়</t>
  </si>
  <si>
    <t>ল্যাপটপ ব্যাগে আমার সমস্ত আনুষাঙ্গিকগুলির জন্য পর্যাপ্ত সঞ্চয়স্থানের অভাব ছিল</t>
  </si>
  <si>
    <t>এগুলি দীর্ঘকাল স্থায়ী হয় যদিও সীমিত কার্যকারিতা থাকতে পারে</t>
  </si>
  <si>
    <t>কিছুটা চমৎকার দারুণ কাজ করে না কিন্তু এটা সম্পর্কে বাড়িয়ে লেখার কিছু নেই</t>
  </si>
  <si>
    <t xml:space="preserve">  শ্বাসপ্রশ্বাসের অভাব তাপ এবং আর্দ্রতা আটকে যায় যার ফলে ঘাম হয় এবং অস্বস্তি হয়</t>
  </si>
  <si>
    <t>সৌরচালিত এলইডি লাইটের মাউন্টিং ব্র্যাকেটটি খুব দুর্বল সুরক্ষিতভাবে লাইট ধরে না</t>
  </si>
  <si>
    <t>কাটটা বেশ স্টাইলিশ কিন্তু কাপড়ের মান তেমন ভালো নয়</t>
  </si>
  <si>
    <t>ভলিউমাইজিং শ্যাম্পু ভলিউম যোগ করতে ব্যর্থ হয়েছে আমার চুলকে ফ্ল্যাট দেখায়</t>
  </si>
  <si>
    <t>মনিটরের স্ক্রিনটি খুবই ম্লান কম আলোতে দেখা কঠিন করে তোলে</t>
  </si>
  <si>
    <t>প্রস্তুতকারকের কাছ থেকে অপর্যাপ্ত সমর্থন আমাকে অসন্তুষ্ট করেছে</t>
  </si>
  <si>
    <t>বইয়ের আলমারিটির সাথে দেওয়া ওয়ারেন্টি খুব ভরসাযোগ্য</t>
  </si>
  <si>
    <t>আকারের পার্থক্য বিভ্রান্তিকর বিজ্ঞাপন</t>
  </si>
  <si>
    <t>ব্যাবহারিক সুবিধা রয়েছে কিন্তু দাম কিছুটা বেশি মনে হচ্ছে</t>
  </si>
  <si>
    <t>পাজল হিসেবে ব্যবহার করা যায় তবে খুব সহজ</t>
  </si>
  <si>
    <t>অবিশ্বস্ত লকিং সিস্টেম দুর্ঘটনাজনিত খোলার ফলে</t>
  </si>
  <si>
    <t>সংযোজনের জন্য প্রয়োজনীয় সব টুল দেওয়া ছিল</t>
  </si>
  <si>
    <t>স্টিকি কী এবং প্রতিক্রিয়াহীন বোতাম উৎপাদনশীলতাকে বাধাগ্রস্ত করে</t>
  </si>
  <si>
    <t>এটি সুন্দর কিন্তু পাতলা</t>
  </si>
  <si>
    <t xml:space="preserve"> ফোল্ডিং প্রং মেকানিজম শক্ত এবং কাজ করা কঠিন অত্যধিক বল প্রয়োজন</t>
  </si>
  <si>
    <t>শেলফটির ফিনিশিং অত্যন্ত নিখুঁত</t>
  </si>
  <si>
    <t>মাত্র কয়েক সপ্তাহ ব্যবহারের পর চার্জারটি কাজ করা বন্ধ করে দেয় খুবই হতাশাজনক</t>
  </si>
  <si>
    <t>গ্রাইন্ড করার পরে পাউডার একরূপ</t>
  </si>
  <si>
    <t>উত্তরাধিকারীগুণমানের পণ্যটি আজীবন স্থায়ী হওয়ার উদ্দেশ্যে তৈরি করা হয়েছিল</t>
  </si>
  <si>
    <t>আইটেম এর সংযোগ বিকল্প সীমিত ছিল</t>
  </si>
  <si>
    <t>প্রতিদিনের ব্যবহারের জন্য এটি ভালো তবে কিছু উন্নতির সুযোগ আছে</t>
  </si>
  <si>
    <t>কফির একটি ধাতব স্বাদ ছিল সম্ভবত নিম্নমানের প্রক্রিয়াকরণের কারণে</t>
  </si>
  <si>
    <t>হেয়ারস্প্রেতে একটি শক্তিশালী রাসায়নিক গন্ধ ছিল যা সারাদিন আমার চুলে লেগে থাকত</t>
  </si>
  <si>
    <t>শ্যাম্পুর ব্যবহার চুলকে অনেক মসৃণ করে তোলে</t>
  </si>
  <si>
    <t>স্প্রে করার সময়   কুয়াশা একটি অদ্ভুত আফটারটেস্ট ছিল</t>
  </si>
  <si>
    <t>প্রতিদিনের ব্যবহারে কোনো সমস্যা হয়নি</t>
  </si>
  <si>
    <t>ডিভাইসটির নেভিগেশন অনেক সহজ</t>
  </si>
  <si>
    <t>পণ্যের স্থায়িত্বের অভাব হতে পারে</t>
  </si>
  <si>
    <t>স্বাদ ঠিক আছে তবে পরিমাণ কম</t>
  </si>
  <si>
    <t>ব্রাশটি অনেকটা সময় ধরে ব্যবহার করা যাবে মনে হচ্ছে</t>
  </si>
  <si>
    <t>ক্যামেরার ইলেকট্রনিক ভিউফাইন্ডার ল্যাগ এবং স্ক্রিন ছিঁড়ে যাওয়ার কারণে শুটিংয়ের অভিজ্ঞতাকে প্রভাবিত করে</t>
  </si>
  <si>
    <t>বইটির প্রতিটি বাক্য উপভোগ করেছি</t>
  </si>
  <si>
    <t>পোশাকটি পরিধানে স্বাচ্ছন্দ্যবোধ হয়</t>
  </si>
  <si>
    <t>প্লেটগুলো চওড়া কিন্তু গভীরতা কম</t>
  </si>
  <si>
    <t xml:space="preserve"> আশ্চর্যজনক ক্যামেরা যেমণটা চাইছিলাম তেমনই পেয়েছি অনেক ভালো প্রোডাক্ট</t>
  </si>
  <si>
    <t>অ্যান্ড্রয়েড ফিচার সরবরাহ করে কিন্তু এখানে অনেক অ্যাপ আছে</t>
  </si>
  <si>
    <t>আইটেমটির ওজন বন্টন ভারসাম্যহীন ছিল</t>
  </si>
  <si>
    <t>পানি পরিবর্তন করার সময় সাবধান থাকতে হয়</t>
  </si>
  <si>
    <t>ফোল্ডিং ট্রলিটি জিনিস বহন করে কিন্তু চাকা আটকে যায়</t>
  </si>
  <si>
    <t>অপর্যাপ্ত নিরাপত্তা বৈশিষ্ট্য ব্যবহারকারীদের জন্য ঝুঁকি তৈরি করেছে</t>
  </si>
  <si>
    <t>এই আংটির মধ্যে ব্যবহৃত ধাতু খুবই উন্নত এবং মানসম্মত</t>
  </si>
  <si>
    <t>পণ্যের কার্যকারিতা রয়েছে তবে সীমাবদ্ধতা রয়েছে</t>
  </si>
  <si>
    <t>অত্যন্ত হতাশ পণ্যটি একটি ফুসকুড়ি সৃষ্টি করেছে</t>
  </si>
  <si>
    <t>এটি ত্বকের সংস্পর্শে আনা উচিত নয়</t>
  </si>
  <si>
    <t>ব্যবহারের আগে ঝাঁকাতে হবে</t>
  </si>
  <si>
    <t>এই স্পিকার ব্যবহার করে সঙ্গীত সংগ্রহে নতুন অভিজ্ঞতা অর্জন করা কিছুটা সম্ভব হয়েছে</t>
  </si>
  <si>
    <t xml:space="preserve"> বিল্ডে এরগনোমিক ডিজাইনের অভাব রয়েছে যা দীর্ঘস্থায়ী ব্যবহারের সময় অস্বস্তি এবং চাপের দিকে পরিচালিত করে</t>
  </si>
  <si>
    <t>আমাদের বাসার বাগানে সবসময় ফুল ফোটে</t>
  </si>
  <si>
    <t xml:space="preserve"> আস্তরণটি সহজেই ছিঁড়ে যায় নীচের অংশগুলিকে প্রকাশ করে</t>
  </si>
  <si>
    <t>ব্যাগ বা কুইল্টের জন্য কাপড় কিছুটা সাধারণ</t>
  </si>
  <si>
    <t>মনে হবে অরজিনাল প্রোডাক্ট বের করার কেউ খুবই ভালো</t>
  </si>
  <si>
    <t>হ্যান্ডেল সহজে ভাঁজ করা যায়</t>
  </si>
  <si>
    <t>আলমারির কাঠের গ্রেন স্পষ্টভাবে দৃশ্যমান</t>
  </si>
  <si>
    <t>কাপগুলিতে একটি শক্তিশালী রাসায়নিক গন্ধ ছিল সম্ভবত বিষাক্ত রং থেকে</t>
  </si>
  <si>
    <t xml:space="preserve">  ওয়াশের মধ্যে সালফেট থাকে যা ত্বকের প্রাকৃতিক তেল ছিঁড়ে ফেলে এটিকে শুষ্ক এবং টানটান অনুভব করে</t>
  </si>
  <si>
    <t>অতিরিক্ত চাপ দিলে ক্ষতি হতে পারে</t>
  </si>
  <si>
    <t>একটি ধূসর এবং নোংরা পুতুল সহ একটি পোশাক পেয়েছি অগ্রহণযোগ্য শর্ত</t>
  </si>
  <si>
    <t>নরম এবং কোমল স্পর্শ অনেক ভাল লাগলো</t>
  </si>
  <si>
    <t>এটি মেকআপের সামঞ্জস্য বাড়ায়</t>
  </si>
  <si>
    <t>গ্রেট ভ্যালু আরো ভালো হতে পারতো</t>
  </si>
  <si>
    <t>ব্লেন্ডারটি খুবই শক্তিশালী এবং বিভিন্ন ফল ও শাকসবজি মেশাতে সক্ষম</t>
  </si>
  <si>
    <t xml:space="preserve">  লোশন বড়ি এবং ফ্লেক্স বন্ধ পোশাকের উপর কদর্য অবশিষ্টাংশ রেখে</t>
  </si>
  <si>
    <t>চার্জিং স্পিড একেবারে পারফেক্ট</t>
  </si>
  <si>
    <t>টাইমার ফাংশনটি দারুণ আমি এখন ঘুম থেকে উঠার আগেই ঘর ঠান্ডা করে রাখতে পারি</t>
  </si>
  <si>
    <t>প্যাকেটজাত রুটির একটি রাসায়নিক স্বাদ এবং ঘন টেক্সচার ছিল বেকারির রুটির তাজা ভাব থেকে অনেক দূরে</t>
  </si>
  <si>
    <t>সবচেয়ে মজবুত গ্রেট পণ্য</t>
  </si>
  <si>
    <t>চুলের স্বাস্থ্য বজায় রাখতে সহায়ক এই শ্যাম্পু</t>
  </si>
  <si>
    <t>কিটটির প্রতিটি প্রোডাক্ট দীর্ঘস্থায়ী</t>
  </si>
  <si>
    <t>পেইন্ট টিউবগুলি খারাপভাবে সিল করা হয়েছিল যার ফলে সেগুলি শুকিয়ে গিয়েছিল</t>
  </si>
  <si>
    <t>টোনারে অ্যালকোহল থাকে যা শুকিয়ে যায় এবং সংবেদনশীল ত্বকের ধরনকে জ্বালাতন করে</t>
  </si>
  <si>
    <t>পোর্টেবল নুডল মেকারটি নুডল উৎপাদন করে কিন্তু পরিষ্কার করতে প্রচেষ্টা প্রয়োজন</t>
  </si>
  <si>
    <t>নিরাপত্তা ক্যামেরা ভালো তবে সীমিত সামঞ্জস্য</t>
  </si>
  <si>
    <t>খুবই উপকারী সাপ্লিমেন্ট</t>
  </si>
  <si>
    <t>তাদের একটু কম পছন্দ হতে পারে</t>
  </si>
  <si>
    <t>মটরশুটিগুলি পুরানো এবং বাসি ছিল যা সামগ্রিক স্বাদকে প্রভাবিত করে</t>
  </si>
  <si>
    <t>আশ্চর্যজনক কাজ করে</t>
  </si>
  <si>
    <t>প্লেডোর পরিমাণ কম মনে হল</t>
  </si>
  <si>
    <t>এই ডিনার সেটের প্যাকেজিং ছিল চমৎকার প্রতিটি পাত্র নিরাপদে আসার জন্য ভালভাবে সুরক্ষিত ছিল</t>
  </si>
  <si>
    <t>প্যাকেজ করা মিটবলগুলো ছিল রাবারি এবং সিজনিং এর অভাব ছিল সেগুলিকে অনেকবার গরম করা হয়েছে বলে স্বাদ পাওয়া যায়</t>
  </si>
  <si>
    <t xml:space="preserve">খুব খুশি </t>
  </si>
  <si>
    <t>র্যাক ফুট শুকানোর জন্য কার্যকর তবে সব র্যাকের জন্য উপযুক্ত নাও হতে পারে</t>
  </si>
  <si>
    <t>টেক্সচারাইজিং স্প্রে আমার চুলকে শক্ত এবং জট বোধ করে স্বাভাবিক নড়াচড়ার অভাব</t>
  </si>
  <si>
    <t xml:space="preserve"> আমার কানে আরামদায়কভাবে ফিট করে এবং দীর্ঘক্ষণ পরা পরেও কোন অস্বস্তি বোধ করি না</t>
  </si>
  <si>
    <t xml:space="preserve">ছোট আকার চমৎকার  </t>
  </si>
  <si>
    <t>ফুলটি সহজেই পরিষ্কার করা যায়</t>
  </si>
  <si>
    <t>এটি বিভিন্ন টেক্সচারের সাথে কাজ করে</t>
  </si>
  <si>
    <t>লোকালাইজড ভার্সন পাওয়া যায় নি</t>
  </si>
  <si>
    <t>খুশকি থেকে মুক্তি পেতে এই শ্যাম্পুটি দারুণ কাজ করে</t>
  </si>
  <si>
    <t>পাঁজর বন্ধ থাকলে কিছু জিনিস সহজেই ভেঙে যায়</t>
  </si>
  <si>
    <t>প্লাস্টিকের শেলফটি হালকা এবং ব্যবহারে সহজ</t>
  </si>
  <si>
    <t>পণ্যের কর্মক্ষমতা নিয়ে অসন্তুষ্ট</t>
  </si>
  <si>
    <t xml:space="preserve"> অডিও আউটপুটে গভীরতা এবং স্বচ্ছতার অভাব ছিল শোনাচ্ছে ছোট এবং বিকৃত</t>
  </si>
  <si>
    <t>জার্সির কাপড় আরামদায়ক তবে রং ধোয়ার সময় ফিকে হয়</t>
  </si>
  <si>
    <t>ব্রাশগুলির একটি অপ্রীতিকর গন্ধ ছিল</t>
  </si>
  <si>
    <t>উদ্দেশ্য উন্নত করা উচিত এটি কিছুটা ঠিক আছে নিখুঁত নয়</t>
  </si>
  <si>
    <t>আইটেমটির ব্যাটারি লাইফ বিজ্ঞাপনের তুলনায় উল্লেখযোগ্যভাবে কম ছিল</t>
  </si>
  <si>
    <t>ঘষলে আলো জ্বলে তবে খুব কম সময়ের জন্য</t>
  </si>
  <si>
    <t>শ্যাম্পুটি চুলের প্রাকৃতিক উজ্জ্বলতা ফিরিয়ে দেয়</t>
  </si>
  <si>
    <t>গুণমান গড় হালকা ওজন কিছু প্রসারিত</t>
  </si>
  <si>
    <t>এটি কাজ করা কিছুটা চ্যালেঞ্জিং হতে পারে</t>
  </si>
  <si>
    <t>চা বা কফির সাথে দারুণভাবে মানায়</t>
  </si>
  <si>
    <t>চা পাতাগুলি খুব শুষ্ক ছিল যার ফলে একটি পাতলা এবং দুর্বল চোলাই ছিল</t>
  </si>
  <si>
    <t>কাপড় ভালো মানের দীর্ঘস্থায়ী কিনা তা সময়ই বলে দেবে</t>
  </si>
  <si>
    <t>খেলনার রঙগুলি খুব উজ্জ্বল এবং আড়ম্বরপূর্ণ ছিল</t>
  </si>
  <si>
    <t>কাপগুলি খুব ভঙ্গুর ছিল হালকাভাবে টোকা দিলে ভেঙে যায়</t>
  </si>
  <si>
    <t>মোবাইলটির ক্যামেরার নাইট মোড বেশ কার্যকর</t>
  </si>
  <si>
    <t>ইনপুট উত্সগুলির মধ্যে স্যুইচ করার সময়  স্ক্রিনে একটি লক্ষণীয় বিলম্ব হয়েছিল৷</t>
  </si>
  <si>
    <t>একটি ক্ষতিগ্রস্থ প্যাকেজ এবং ধোঁয়াটে চিত্র সহ একটি পোশাক পেয়েছি</t>
  </si>
  <si>
    <t>স্টাইলিং জেল আমার চুল শুকিয়ে নিস্তেজ দেখাচ্ছিল</t>
  </si>
  <si>
    <t>টেবিল ফ্যানটি হাওয়া দেয় কিন্তু নিয়ন্ত্রণ করা একটু জটিল</t>
  </si>
  <si>
    <t xml:space="preserve">অনেক কম মূল্যে পেয়েছি </t>
  </si>
  <si>
    <t>বাচ্চাদের পেইন্ট পার্টির জন্য উপযুক্ত কিন্তু অসাধারণ নয়</t>
  </si>
  <si>
    <t>উচ্চতা সেন্টিমিটার স্ট্যান্ডার্ড সাইজের</t>
  </si>
  <si>
    <t>তাঁবুর জিপারটি ঘন ঘন ছিঁড়ে যায় এটি খোলা এবং বন্ধ করা কঠিন করে তোলে</t>
  </si>
  <si>
    <t>শিশুর বাহকের স্ট্র্যাপগুলি পিতামাতার কাঁধে খনন করে অস্বস্তি সৃষ্টি করে</t>
  </si>
  <si>
    <t>গ্রেট প্রোডাক্ট কিন্তু পারফেক্ট নয়</t>
  </si>
  <si>
    <t>এই বডি ওয়াশ ব্যবহারে আপনার ত্বক হবে সুস্থ</t>
  </si>
  <si>
    <t>দ্রুত শীতল করার ক্ষমতা অসাধারণ</t>
  </si>
  <si>
    <t>ডিমের কন্টেইনার প্লেডো নরম রাখে না</t>
  </si>
  <si>
    <t>প্রতিটি পৃষ্ঠা ছিল অত্যন্ত মজাদার</t>
  </si>
  <si>
    <t>এই কফি পান করার পর আমার মনে হয় দিনটা ভালো যাবে</t>
  </si>
  <si>
    <t>এটি সহজে ধোয়া যায় তবে শুকাতে অনেক সময় লাগে</t>
  </si>
  <si>
    <t>আমাদের পার্কে ফুলের বাগানটি অনেক সুন্দর</t>
  </si>
  <si>
    <t>প্যাকেজিং উন্নত হতে পারে</t>
  </si>
  <si>
    <t>পণ্যের উপাদান মোটামুটি মানের</t>
  </si>
  <si>
    <t>প্রথমেই বলতে হয় এর ক্রিস্পিনেসের কথা</t>
  </si>
  <si>
    <t>পোর্টেবল কফি মেকারের ফিল্টার আটকে যায় চোলাই প্রক্রিয়া ধীর করে দেয়</t>
  </si>
  <si>
    <t xml:space="preserve"> ডিফ্রস্ট ফাংশন কার্যকরভাবে কাজ করে না খাবারকে আংশিকভাবে হিমায়িত করে রাখে</t>
  </si>
  <si>
    <t>অন্যান্য ব্র্যান্ডের তুলনায় মোটামুটি মানসম্পন্ন</t>
  </si>
  <si>
    <t>ব্রাশগুলি খারাপ আকৃতির ছিল বিস্তারিত কাজকে বাধাগ্রস্ত করেছিল</t>
  </si>
  <si>
    <t>আমি সম্প্রতি এই ডিনার সেটটি কিনেছি এবং এটি নিয়ে অত্যন্ত খুশি পরিবেশনার সময় টেবিলে এর চমৎকার উপস্থিতি দেখে মুগ্ধ হয়েছি</t>
  </si>
  <si>
    <t>রঙ উজ্জ্বল তবে ফ্যাব্রিক শক্ত</t>
  </si>
  <si>
    <t>পরিষ্কারের সময় সাবধান থাকতে হবে</t>
  </si>
  <si>
    <t xml:space="preserve"> দরজার গ্যাসকেট ছিঁড়ে গেছে যা রান্নার সময় বাষ্প বের হতে দেয়</t>
  </si>
  <si>
    <t>ইনফ্রারেড থার্মোমিটার তাপমাত্রা মাপে তবে ব্যাটারি দ্রুত শেষ হয়</t>
  </si>
  <si>
    <t>দামের তুলনায় এই কানের দুলগুলোর মান অসাধারণ আমি নিশ্চিতভাবে আবার কিনব</t>
  </si>
  <si>
    <t>ডেলিভারি সময়মতো ছিল ব্যতিক্রম কিছু নয়</t>
  </si>
  <si>
    <t>তাজা তবে মিষ্টির পরিমাণ বেশ বেশি</t>
  </si>
  <si>
    <t>এই শ্যাম্পু ব্যবহারের পর চুল খুব মোলায়েম হয়ে গেছে</t>
  </si>
  <si>
    <t>এই বডি ওয়াশ আপনার ত্বককে করবে স্নিগ্ধ</t>
  </si>
  <si>
    <t>কিছুটা সময় নিয়ে অভ্যস্ত হতে হয়</t>
  </si>
  <si>
    <t>পোশাকের ফ্যাব্রিক শক্ত এবং অনমনীয় লাগে ফলে শৈলীর মতো তার প্রত্যাশিত তরলতা ও নড়াচড়া নেই</t>
  </si>
  <si>
    <t>সীমিত ক্ষমতা আমাকে সারাদিন ধরে ক্রমাগত রিফিল করে রেখেছিল</t>
  </si>
  <si>
    <t>ব্রাশগুলির হ্যান্ডেলগুলি দুর্বল ছিল যা স্ন্যাপ করার প্রবণতা ছিল</t>
  </si>
  <si>
    <t>মাখন খুবই পাতলা অনুভূত হচ্ছে এবং আমার জামাকাপড়ে লেগে যাচ্ছে</t>
  </si>
  <si>
    <t>কার এয়ার পিউরিফায়ারটি বাতাস পরিশোধন করে তবে ফিল্টার দ্রুত ময়লা হয়</t>
  </si>
  <si>
    <t>অর্থের জন্য মূল্যের সংযোগে সমস্যা থাকতে পারে</t>
  </si>
  <si>
    <t>স্মার্ট ওয়াইন বোতল ওপেনার কাজ করে কিন্তু শক্ত কর্কের সাথে লড়াই করে</t>
  </si>
  <si>
    <t>পণ্যটি নিম্নমানের কিন্তু পরিষ্কার করা সহজ</t>
  </si>
  <si>
    <t>চুলের তেল আমার চুলকে চর্বিযুক্ত দেখায় এবং ময়লা আকৃষ্ট করে এটিকে ধোয়া না করা দেখায়</t>
  </si>
  <si>
    <t>গরম থাকার সময়কাল মোটামুটি</t>
  </si>
  <si>
    <t>পরিবেশবান্ধব উপাদান নিয়ে কিছুটা অনিশ্চয়তা রয়েছে</t>
  </si>
  <si>
    <t>উপরিভাগ শুষ্ক থাকে</t>
  </si>
  <si>
    <t>ভয়েসনিয়ন্ত্রিত টিভি রিমোট মাঝে মাঝে সংযোগ হারায় হতাশাজনকভাবে অসামঞ্জস্যপূর্ণ</t>
  </si>
  <si>
    <t>চাপ দিলে শব্দ করে কিন্তু শব্দটি আকর্ষণীয় নয়</t>
  </si>
  <si>
    <t>এটি ছোট ডিভাইসের জন্য উপযুক্ত নাও হতে পারে</t>
  </si>
  <si>
    <t>শ্যাম্পুর ব্যবহারে চুল বেশ সুস্থ ও সুন্দর থাকে</t>
  </si>
  <si>
    <t>তুচ্ছ নকশা দ্বারা মুগ্ধ নয়</t>
  </si>
  <si>
    <t>এগুলো পুঁতি মাত্র আরও অনেক টাকা দরকার পড়তে পারে</t>
  </si>
  <si>
    <t>বিজ্ঞাপিত গন্ধের সামান্য ঘ্রাণ সহ সুগন্ধটি দুর্বল ছিল</t>
  </si>
  <si>
    <t>উষ্ণ আবহাওয়ায় এটি শান্তি প্রদান করে</t>
  </si>
  <si>
    <t>চা পাতাগুলি ভাঙ্গা এবং নিম্নমানের ছিল যা চোলাইয়ের স্বাদকে প্রভাবিত করে</t>
  </si>
  <si>
    <t>ত্বকের শুষ্কতা দূর করে এই বডি ওয়াশ</t>
  </si>
  <si>
    <t>লুক ঠিক করা যায় তবে নিখুঁত নয়</t>
  </si>
  <si>
    <t>ড্রেসিং টেবিলটির আয়না খুব পরিষ্কার</t>
  </si>
  <si>
    <t>কাপগুলিতে দৃশ্যমান সীম ছিল যা দুর্বল কারুকার্যের পরামর্শ দেয়</t>
  </si>
  <si>
    <t>প্রতিফলন পরিষ্কার তবে অসাধারণ নয়</t>
  </si>
  <si>
    <t>দাম অনুযায়ী মান ঠিকই আছে প্রিমিয়ামের মূল্য নয়</t>
  </si>
  <si>
    <t xml:space="preserve"> পাওয়ার বোতামটি ত্রুটিপূর্ণ ছিল এটি চালু করার জন্য একাধিক প্রচেষ্টা প্রয়োজন৷</t>
  </si>
  <si>
    <t xml:space="preserve">কম প্রাইজে অনেক ভালো </t>
  </si>
  <si>
    <t>ভার্চুয়াল কীবোর্ডটি টাইপ করতে দেয় তবে অনুভূতি অস্বাভাবিক</t>
  </si>
  <si>
    <t xml:space="preserve"> রিমোট কন্ট্রোলের একটি সীমিত পরিসর ছিল যার জন্য সেটের কাছাকাছি থাকা প্রয়োজন</t>
  </si>
  <si>
    <t>ঠাণ্ডা পানীয়ের স্বাদ ভালো তবে অতিরিক্ত চিনির পরিমাণ একটু বেশি</t>
  </si>
  <si>
    <t>ফ্যাব্রিকের খারাপ মানের এটি সহজেই কুঁচকে যাওয়ার এবং ক্রিজ হওয়ার প্রবণতা থেকে স্পষ্ট হয় ক্রমাগত ইস্ত্রি এবং রক্ষণাবেক্ষণের প্রয়োজন হয়</t>
  </si>
  <si>
    <t>গয়নাগুলি ছবিতে মার্জিত দেখালেও বিজ্ঞাপিত উজ্জ্বলতার অভাবে তা কলঙ্কিত ও নিস্তেজ হয়ে উঠেছে</t>
  </si>
  <si>
    <t>আলগা ঢাকনা বারবার খুলে যাওয়ার কারণে সমস্যা সৃষ্টি হচ্ছে</t>
  </si>
  <si>
    <t>সময়ের সূচকগুলি স্পষ্ট এবং দৃশ্যমান</t>
  </si>
  <si>
    <t>ফলন বৃদ্ধি কিছুটা হলেও সারটির প্রভাব দীর্ঘস্থায়ী ছিল না</t>
  </si>
  <si>
    <t>অতটা ভালো না হলেও কাজ চালিয়ে যায়</t>
  </si>
  <si>
    <t>চায়ের ঢাকনাটি সমতল ছিল না চা বের হতে দেয়</t>
  </si>
  <si>
    <t>এটি ব্যবহারকারী বান্ধব তবে কিছুটা অতিরিক্ত মূল্যায়িত হতে পারে</t>
  </si>
  <si>
    <t>প্রতারণামূলক আকার প্রত্যাশার চেয়ে কম তরল রাখা</t>
  </si>
  <si>
    <t>খেলনার নির্মাণ ক্ষীণ ছিল সহজেই ভেঙে পড়েছিল</t>
  </si>
  <si>
    <t>বারবার ধোয়ার চেষ্টা করা সত্ত্বেও এই মগের দুর্গন্ধ অব্যাহত ছিল</t>
  </si>
  <si>
    <t>রংটি ভালো বেকিং সোডায় ধোয়ার পরে ফ্যাব্রিক নরম হয়েছে যদিও কিছু ছোট সমস্যা রয়েছে</t>
  </si>
  <si>
    <t>বিভিন্ন আকারে পাওয়া যায়</t>
  </si>
  <si>
    <t>মেকআপ ব্রাশ ব্যবহার করা আরামদায়ক</t>
  </si>
  <si>
    <t>ফ্যাশনের জন্য ভালো তবে দৈনন্দিন ব্যবহারের জন্য নয়</t>
  </si>
  <si>
    <t>অপর্যাপ্ত ওয়াটেজ সিস্টেমের উপাদানগুলিকে সমর্থন করার জন্য লড়াই করে</t>
  </si>
  <si>
    <t>শিশুটি তার নতুন খেলনা নিয়ে সারাদিন খেলছে</t>
  </si>
  <si>
    <t>ভ্রু জেলটি খুব পুরু এবং এলোমেলো যার ফলে ভ্রুগুলো অপ্রাকৃতিক দেখায়</t>
  </si>
  <si>
    <t>স্মার্ট থার্মোস্ট্যাটের তাপমাত্রা রিডিং ভুল শক্তি নষ্ট করে</t>
  </si>
  <si>
    <t>লিপ লাইনারের টিপটি ভোঁতা ঠোঁটকে সঠিকভাবে রূপরেখা করা কঠিন করে তোলে</t>
  </si>
  <si>
    <t>এই ডিনার সেটটি খুবই সুন্দর এবং মানসম্মত</t>
  </si>
  <si>
    <t>প্রতি চুমুকে আমি অনুভব করি এর উচ্চমানের বীজের গুণাগুণ</t>
  </si>
  <si>
    <t>দাম অনুযায়ী মান ঠিক আছে</t>
  </si>
  <si>
    <t>ডিভাইসটির ক্যামেরার নাইট মোড অসাধারণ</t>
  </si>
  <si>
    <t>স্কুলের নতুন প্রজেক্টটি অনেক শিক্ষামূলক ছিল</t>
  </si>
  <si>
    <t>একটি ডিজিটাল থার্মোস্ট্যাট আছে</t>
  </si>
  <si>
    <t>টুথপেস্টের প্যাকেজিং সাধারণ</t>
  </si>
  <si>
    <t>আকর্ষণীয় এবং ব্যবহারযোগ্য</t>
  </si>
  <si>
    <t>অরজিনালের মত</t>
  </si>
  <si>
    <t>অতিরিক্ত উত্তপ্ত বহি এটি স্পর্শ করা অনিরাপদ করে তোলে</t>
  </si>
  <si>
    <t>মপের কাপড়টি ধুলো মাঝেমাঝে ধরে রাখে</t>
  </si>
  <si>
    <t>পরিষ্কার করা সহজ কিন্তু শুকাতে সময় লাগে</t>
  </si>
  <si>
    <t>বইয়ের আলমারিটি আমার ঘরের স্পেস ভালোভাবে ব্যবহার করতে সাহায্য করেছে</t>
  </si>
  <si>
    <t xml:space="preserve"> সেলাইটি কয়েক সপ্তাহ ব্যবহারের পরে পূর্বাবস্থায় এসেছিল এর দুর্বল মানের নির্মাণের জন্য আমাকে হতাশ করে রেখেছিল</t>
  </si>
  <si>
    <t>শিশুটি প্রতিদিন তার স্কুলের হোমওয়ার্ক শেষ করে</t>
  </si>
  <si>
    <t>ইনডোর ক্যামেরায় মাঝে মাঝে ত্রুটি থাকতে পারে</t>
  </si>
  <si>
    <t>কিছুটা উন্নতি দরকার কিন্তু ব্যবহারযোগ্য</t>
  </si>
  <si>
    <t>সাইজ উপযুক্ত তবে অসাধারণ নয়</t>
  </si>
  <si>
    <t>গুণমান গড়পড়তা</t>
  </si>
  <si>
    <t>মেকআপ ব্রাশ বিভিন্ন কৌশলে ব্যবহার করা যায়</t>
  </si>
  <si>
    <t>এটি উষ্ণতা হ্রাস করবে না হয়তো</t>
  </si>
  <si>
    <t>এলইডি সূচকটি খুব ম্লান উজ্জ্বল পরিবেশে দেখা কঠিন করে তোলে৷</t>
  </si>
  <si>
    <t>ওয়্যারড্রোবের অ্যাসেম্বলি হার্ডওয়্যারটি ক্ষীণ এবং স্ট্রিপ করার প্রবণতা এটি টুকরোগুলিকে সঠিকভাবে একত্রিত করা কঠিন করে তোলে</t>
  </si>
  <si>
    <t>মেকআপ রিমুভার ওয়াইপগুলি ত্বকে একটি তৈলাক্ত অবশিষ্টাংশ ছেড়ে যায় যার ফলে ব্রেকআউট হয়</t>
  </si>
  <si>
    <t>কাগজের মান ভালো কিন্তু মুদ্রণ ভুল কিছু জায়গায় চোখে পড়ে</t>
  </si>
  <si>
    <t>পরপর দুটি ব্যাচের স্বাদে সামান্য পার্থক্য লক্ষ্য করা যায়</t>
  </si>
  <si>
    <t>পোর্টেবল ফ্যানের ব্যাটারির আয়ু কম ঘন ঘন রিচার্জ করতে হবে</t>
  </si>
  <si>
    <t>স্পিকারের বডি খুব মজবুত দুর্ঘটনাক্রমে পড়ে গেলেও কিছু হয় না</t>
  </si>
  <si>
    <t>ফাউন্ডেশনটি মুখে খুব ভালোভাবে মিশে যায়</t>
  </si>
  <si>
    <t>ফুটবল গিয়ার প্যাক আরামদায়ক তবে স্থান সংরক্ষণ কম</t>
  </si>
  <si>
    <t>বিছানার ফ্রেমটি খারাপভাবে ডিজাইন করা হয়েছে যার ধারালো প্রান্ত রয়েছে যা শিশুদের এবং পোষা প্রাণীদের জন্য একটি নিরাপত্তা ঝুঁকি তৈরি করে</t>
  </si>
  <si>
    <t>বক্সড রাইস পিলাফের একটি আঠালো টেক্সচার এবং কৃত্রিম গন্ধ ছিল তাজা রান্না করা ভাতের সুগন্ধের অভাব ছিল</t>
  </si>
  <si>
    <t>শিশুটি তার নতুন খেলনা নিয়ে খুব খুশি</t>
  </si>
  <si>
    <t>আলমারির ভিতরের অংশে ব্যবহৃত রঙ বইগুলোকে আরও সুন্দর দেখাচ্ছে</t>
  </si>
  <si>
    <t>এই বডি ওয়াশ ব্যবহারে আপনি অনুভব করবেন সুখী</t>
  </si>
  <si>
    <t xml:space="preserve">অস্বস্তিকর এবং খারাপভাবে প্যাকেজড ভাল ভেবেসিলাম কি দেন এসব একদম এ এমন আশা করিনা </t>
  </si>
  <si>
    <t>প্রতিটি পিসের উপরের অংশ অত্যন্ত মসৃণ ও স্ক্র্যাচ প্রতিরোধী</t>
  </si>
  <si>
    <t>ঘড়িটি অত্যন্ত আরামদায়কভাবে সময় দেখায়</t>
  </si>
  <si>
    <t>প্রতিবার এই কফি পান করে আমি নতুন উদ্যমে ভরে উঠি</t>
  </si>
  <si>
    <t>বিষয়বস্তু শিক্ষামূলক যদিও কিছু অংশ পুনরাবৃত্তিমূলক</t>
  </si>
  <si>
    <t>এটি প্রবেশপথে রাখা যায়</t>
  </si>
  <si>
    <t>প্রয়োজনে ভেজা করে ব্যবহার করা যায়</t>
  </si>
  <si>
    <t xml:space="preserve"> ছিল এবং তাদের প্রধানতম ছিল তাজাতা এবং স্বাদের অভাব ছিল</t>
  </si>
  <si>
    <t>মূল্য পণ্যের নির্ভরযোগ্যতার একমাত্র নির্ধারক নয়</t>
  </si>
  <si>
    <t>রঙ কিছুটা সুন্দর</t>
  </si>
  <si>
    <t>ডিভাইসটির ওয়্যারলেস চার্জিং ফিচার অনেক সুবিধাজনক</t>
  </si>
  <si>
    <t>প্লাস্টিকের ফুলটি বাচ্চাদের জন্য নিরাপদ</t>
  </si>
  <si>
    <t>ডিজাইন আকর্ষণীয় তবে ওয়াশের পর সমস্যা</t>
  </si>
  <si>
    <t>সৌরচালিত আউটডোর ফ্যানের ব্লেডগুলি খুব ছোট অপর্যাপ্ত বায়ুপ্রবাহ</t>
  </si>
  <si>
    <t>কিটটির প্রতিটি প্রোডাক্ট ত্বকে সহজে ব্লেন্ড হয়</t>
  </si>
  <si>
    <t>আমার নতুন ফোনের স্ক্রিনের রঙগুলো খুবই উজ্জ্বল</t>
  </si>
  <si>
    <t>সস্তা এবং কার্যকর</t>
  </si>
  <si>
    <t>প্যাকেজিং ঠিক তবে স্বাদে কিছুটা ভারী</t>
  </si>
  <si>
    <t>হেডফোনের কুশনগুলি দীর্ঘক্ষণ পরে আরামদায়ক থাকে</t>
  </si>
  <si>
    <t xml:space="preserve"> খাওয়ানোর বালিশের ভরাট গলদযুক্ত এটি শিশুর শোয়াতে অস্বস্তিকর করে তোলে</t>
  </si>
  <si>
    <t>মোবাইলটির বিল্ড কোয়ালিটি শক্তিশালী ও টেকসই</t>
  </si>
  <si>
    <t>শীতল বাতাসের জন্য এই এয়ার কন্ডিশনারটি উপযুক্ত</t>
  </si>
  <si>
    <t xml:space="preserve">  জিপারগুলি মসৃণভাবে কাজ করে  দীর্ঘস্থায়ী কিনা তা সময়ই বলে দেবে</t>
  </si>
  <si>
    <t>হালকা ওজনের কিন্তু এর কারণে অস্থির মনে হয়</t>
  </si>
  <si>
    <t>চমৎকার হেডসেটগ্রেট পণ্যখুব সুন্দর</t>
  </si>
  <si>
    <t>জিপারগুলি ক্রমাগত আটকে যায় যা যেতে যেতে আমার ডিভাইস এবং অন্যান্য প্রয়োজনীয় জিনিসগুলি অ্যাক্সেস করতে একটি ঝামেলা তৈরি করে৷</t>
  </si>
  <si>
    <t>চমৎকার নয় তবে মোটামুটি ভালো</t>
  </si>
  <si>
    <t>বিভিন্ন আকৃতিতে পাওয়া যায় তবে সবগুলো একই রকম কাজ করে</t>
  </si>
  <si>
    <t>পোশাক আরামদায়ক তবে কাট ঠিক হয়নি</t>
  </si>
  <si>
    <t>আমার সংগঠকের পিছনে বিড়ালদের দূরে রাখতে বাধা হিসেবে ব্যবহার করা হয় কিছু সীমাবদ্ধতা সহ</t>
  </si>
  <si>
    <t>উচ্চ কার্যকারিতা প্রদান করে</t>
  </si>
  <si>
    <t>ফ্যাব্রিকের দৃঢ়তা চলাচলে বাধা দেয় পোশাকটিকে পরিধানযোগ্য করে তোলে না</t>
  </si>
  <si>
    <t>ছাতার হাতলটি আরামদায়ক দীর্ঘক্ষণ ধরে রাখতেও কোনো অসুবিধা হয় না</t>
  </si>
  <si>
    <t>বইটির প্রতিটি অধ্যায় খুবই আকর্ষণীয়</t>
  </si>
  <si>
    <t>রঙটি সাধারণ কোনো আকর্ষণীয় বৈশিষ্ট্য নেই</t>
  </si>
  <si>
    <t>এক কথায় অসাধারণ</t>
  </si>
  <si>
    <t>রঙ উজ্জ্বল তবে পুরোপুরি প্রাকৃতিক নয়</t>
  </si>
  <si>
    <t>বুনন ঠিক আছে প্যাকেজিং মোটামুটি ঠিক</t>
  </si>
  <si>
    <t>বাইকের লকের কম্বিনেশন মেকানিজম জ্যাম হয়ে গেছে বাইকে প্রবেশ করতে বাধা দিচ্ছে</t>
  </si>
  <si>
    <t>খুব সুন্দর বা মজা নয়</t>
  </si>
  <si>
    <t>ত্বকের অতিরিক্ত মৃত কোষ অপসারণ করে এই বডি ওয়াশ</t>
  </si>
  <si>
    <t>একটু বড় কিন্তু মানের শব্দ এবং দীর্ঘ ব্যাটারি জীবন</t>
  </si>
  <si>
    <t>কুৎসিত চুন স্কেল বিল্ড আপ এর চেহারা নষ্ট করে দিয়েছে</t>
  </si>
  <si>
    <t>শুকনো বা ভেজা ব্যবহার করা যেতে পারে</t>
  </si>
  <si>
    <t xml:space="preserve"> ডোর ল্যাচ মেকানিজম জ্যামিং প্রবণ খোলার জন্য ম্যানুয়াল হস্তক্ষেপ প্রয়োজন</t>
  </si>
  <si>
    <t>নির্দেশাবলী অনুসরণ করা সত্ত্বেও ধোয়ার পরে সঙ্কুচিত করুন</t>
  </si>
  <si>
    <t>চশমার কেস ভালো তবে ভারী</t>
  </si>
  <si>
    <t>হেমিং অনিয়ম প্রদর্শন করে সামগ্রিক নান্দনিকতা থেকে বিঘ্নিত করে</t>
  </si>
  <si>
    <t>গ্যাজেটের ন্যূনতম নকশাটি আকর্ষণীয় ছিল কিন্তু এর স্থায়িত্বের অভাব এটিকে স্বল্পকালীন বিনিয়োগে পরিণত করেছে</t>
  </si>
  <si>
    <t>প্যাকেজিং সাধারণ কিছু বিশেষ নয়</t>
  </si>
  <si>
    <t>ঘরের অন্যান্য জিনিসপত্রের সৌন্দর্য বাড়িয়ে দেয়</t>
  </si>
  <si>
    <t>চমৎকার ছোট ক্যামেরা</t>
  </si>
  <si>
    <t>শীতের তীব্রতা যেন বুঝতেই পারি না</t>
  </si>
  <si>
    <t>খেলনার শব্দগুলি খুব জোরে ছিল সম্ভবত শিশুদের শ্রবণশক্তি ক্ষতিকারক</t>
  </si>
  <si>
    <t>শিশুটি তার খেলনা নিয়ে খুব খুশি</t>
  </si>
  <si>
    <t>ঘুমের মান উন্নত করতে সাহায্য করতে পারে</t>
  </si>
  <si>
    <t xml:space="preserve"> কানের হুকগুলি সামঞ্জস্যযোগ্য নয় যা বিভিন্ন কানের আকার বা আকারের ব্যবহারকারীদের জন্য অস্বস্তির কারণ হয়৷</t>
  </si>
  <si>
    <t>শেলফটির আকার খুবই উপযুক্ত যেকোনো ঘরের জন্য মানানসই</t>
  </si>
  <si>
    <t>মেয়েটি নতুন স্কার্ট পরে দেখতে খুব সুন্দর লাগে</t>
  </si>
  <si>
    <t>এই রিংটির মধ্যে ব্যবহৃত গহনা খুবই প্রমিত</t>
  </si>
  <si>
    <t>আমি বিশেষভাবে এই বালিশগুলির ফর্মফিটিং বৈশিষ্ট্য পছন্দ করি এগুলি আমার মাথা ও গর্দানের আকৃতির সাথে নিখুঁতভাবে মানানসই হয়</t>
  </si>
  <si>
    <t>এটি বাধা এবং নক থেকে ক্ষতির জন্য সংবেদনশীল রেখে গেছে</t>
  </si>
  <si>
    <t>ওয়াটার বোতলের আকার খুবই সুবিধাজনক</t>
  </si>
  <si>
    <t>বইটির আকার বেশ সুবিধাজনক তবে মলাটটি খুব টেকসই নয়</t>
  </si>
  <si>
    <t>গরম পানীয়টা বেশ সুস্বাদু তবে খুব তীব্র হতে পারে</t>
  </si>
  <si>
    <t>কফি মেকারটি দ্রুত এবং কার্যকরভাবে কাজ করে</t>
  </si>
  <si>
    <t>সত্যিই নিজেকে বিলাসবহুল কোনো হোটেলের বিছানায় মনে হয়</t>
  </si>
  <si>
    <t>ডিভাইসটির ফিঙ্গারপ্রিন্ট সেন্সর খুবই দ্রুত</t>
  </si>
  <si>
    <t>কোয়ালিটি সম্পর্কে নিরপেক্ষ তথ্য প্রয়োজন</t>
  </si>
  <si>
    <t>পর্যাপ্তভাবে কাজ করে ত্রুটিহীনভাবে নয়</t>
  </si>
  <si>
    <t>সস্তায় তৈরি আঁকাবাঁকা এর মূল্য নেই</t>
  </si>
  <si>
    <t>বায়ু পরিশোধক একটি বাজে গন্ধ নির্গত করে বাতাসকে তাজা করে না</t>
  </si>
  <si>
    <t>প্রতিটি পৃষ্ঠা ছিল অত্যন্ত আকর্ষণীয়</t>
  </si>
  <si>
    <t>প্রতিদিন ব্যবহার করে অনেক সুবিধা পাচ্ছি</t>
  </si>
  <si>
    <t>ম্যাটেরিয়াল নরম তবে ওয়াশ করার পর রঙ হালকা হয়ে গেছে</t>
  </si>
  <si>
    <t>অতিথিদের দৃষ্টি আকর্ষণ করে প্রশংসা কুড়ায়</t>
  </si>
  <si>
    <t>প্যাকেজিং কফির উত্স বা স্বাদ প্রোফাইল সম্পর্কে তথ্য প্রদান করেনি</t>
  </si>
  <si>
    <t xml:space="preserve">  ডিজাইনে বহুমুখীতার অভাব রয়েছে যা বিভিন্ন অনুষ্ঠানে এর ব্যবহার সীমিত করে</t>
  </si>
  <si>
    <t>এই টিভি সিরিজটির প্রতিটি পর্ব খুবই আকর্ষণীয়</t>
  </si>
  <si>
    <t>এক চিমটিতে খুব কমই কাজ করে বেশি ভাল না</t>
  </si>
  <si>
    <t>চমৎকার কাজ করে বিশেষ করে পুরোনো কম্পিউটারের জন্য</t>
  </si>
  <si>
    <t>আমাদের বাগানে পাখিদের কিচিরমিচির সবসময় শোনা যায়</t>
  </si>
  <si>
    <t>এটি ত্বকের যেকোনো সমস্যায় কার্যকর</t>
  </si>
  <si>
    <t>ডিজিটাল কার্পেট ক্লিনার ধুলো অপসারণ করে কিন্তু ট্যাঙ্কটি ছোট</t>
  </si>
  <si>
    <t>ব্যাকপ্যাকের রেইন কভারটি গুটাতে কিছুটা কষ্ট হয়</t>
  </si>
  <si>
    <t>অত্যন্ত মুগ্ধকর</t>
  </si>
  <si>
    <t>ক্যানভাসের টেক্সচারটি রুক্ষ এবং আকর্ষণীয় ছিল</t>
  </si>
  <si>
    <t>পোর্টেবল ফ্যানের ব্যাটারি দ্রুত অকার্যকর শীতল নিষ্কাশন করে</t>
  </si>
  <si>
    <t>এটি অয়েল পেস্টেলের জন্য পুরোপুরি উপযুক্ত নয়</t>
  </si>
  <si>
    <t>আবার নতুন করে আর্ডার দিবো</t>
  </si>
  <si>
    <t>ফ্যাশনের জন্য ভালো তবে কাট উন্নত নয়</t>
  </si>
  <si>
    <t>রোবোটিক পোষা ফিডার এলোমেলো সময়ে খাবার বিতরণ করে অবিশ্বস্ত</t>
  </si>
  <si>
    <t>এক হাতে ব্যবহার করা যায়</t>
  </si>
  <si>
    <t xml:space="preserve"> অনস্ক্রিন কীবোর্ড ব্যবহার করা কষ্টকর ছিল বিশেষ করে পাসওয়ার্ড প্রবেশের জন্য</t>
  </si>
  <si>
    <t>অসামঞ্জস্যপূর্ণ উত্পাদন গুণমান পণ্যের ত্রুটির দিকে পরিচালিত করে</t>
  </si>
  <si>
    <t>ফসলের বৃদ্ধি পরিমাণে বেশি হলেও সামগ্রিক ফলন সন্তোষজনক ছিল না</t>
  </si>
  <si>
    <t>একাধিক ডিভাইস একসাথে সংযুক্ত হলে পাওয়ার ব্যাঙ্কের চার্জিং গতি উল্লেখযোগ্যভাবে কমে যায়</t>
  </si>
  <si>
    <t xml:space="preserve"> সেলাই কয়েক সপ্তাহ ব্যবহারের পরে আলাদা হতে শুরু করে</t>
  </si>
  <si>
    <t>বেশ মিষ্টি এবং সুস্বাদু তবে লেবুর স্বাদ মেলানো হয়নি ভালভাবে</t>
  </si>
  <si>
    <t>মেয়েটি নাচ প্রতিযোগিতায় প্রথম হয়েছে</t>
  </si>
  <si>
    <t>নখে কোনো দাগ ফেলে না মোটামুটি কার্যকর</t>
  </si>
  <si>
    <t>শিশুর বাথটাবের ড্রেন প্লাগ অপসারণ করা কঠিন এটি জল নিষ্কাশন করা কঠিন করে তোলে</t>
  </si>
  <si>
    <t xml:space="preserve">  ভিতরের পকেটগুলি খুব অগভীর যার ফলে জিনিসগুলি সহজেই পড়ে যায়</t>
  </si>
  <si>
    <t>সুস্বাদু তবে পানীয়টা খানিকটা বেশি কৃত্রিম</t>
  </si>
  <si>
    <t>গাড়িতে চার্জ দেওয়ার জন্য ভাল</t>
  </si>
  <si>
    <t>সীমিত গতিশীল পরিসর ছায়া এলাকায় বিস্তারিত ক্ষতির দিকে পরিচালিত করে</t>
  </si>
  <si>
    <t>কম্পার্টমেন্টগুলি খারাপভাবে ডিজাইন করা হয়েছিল যার ফলে আমার আনুষাঙ্গিকগুলি একটি জট পাকড়াও হয়ে গিয়েছিল</t>
  </si>
  <si>
    <t>মেঘলা পৃষ্ঠ সহজেই স্ক্র্যাচ দ্রুত জীর্ণ দেখায়</t>
  </si>
  <si>
    <t>দামের জন্য  তারা</t>
  </si>
  <si>
    <t>আমি যা খুঁজছিলাম তার কাছাকাছি</t>
  </si>
  <si>
    <t>আলমারির উচ্চতা পারফেক্ট আমার ঘরের সিলিংয়ের সাথে সুন্দরভাবে মানানসই</t>
  </si>
  <si>
    <t>গ্রেট সিপিইউএত ভাল কাজ করেছি যে আমি দ্বিতীয়টি কিনেছি</t>
  </si>
  <si>
    <t>দীর্ঘ সময় ধরে কার্যকর থাকে</t>
  </si>
  <si>
    <t>বিভিন্ন পোশাকের ছবি আছে তবে খুব ছোট</t>
  </si>
  <si>
    <t>পাওয়ার ব্যাঙ্কের ক্ষমতা বিজ্ঞাপনের চেয়ে কম একাধিক ডিভাইসের জন্য পর্যাপ্ত চার্জ প্রদান করে না</t>
  </si>
  <si>
    <t xml:space="preserve">চার্জ ও অনেক ভালো থাকে আমার চাহিদার চেয়ে বেশিই পূরণ হয়েছে </t>
  </si>
  <si>
    <t xml:space="preserve">কার্যকরী এবং পরিষ্কার প্রান্ত রয়েছে </t>
  </si>
  <si>
    <t>পোর্টেবল প্রজেক্টরের ছবির গুণমান খারাপ ঝাপসা এবং পিক্সেলেড</t>
  </si>
  <si>
    <t xml:space="preserve"> খুব তৈলাক্ত ছিল যার ফলে সেগুলি গ্রাইন্ডারে একসাথে জমাট বাঁধে</t>
  </si>
  <si>
    <t>বাতাসে শুকায় না</t>
  </si>
  <si>
    <t>শীতের তীব্রতা যেন আমি অনুভবই করতে পারছি না</t>
  </si>
  <si>
    <t>চার্জার কেবলটি খুব ছোট চার্জ করার সময় ডিভাইসের অবস্থান নির্ধারণে নমনীয়তা সীমিত করে</t>
  </si>
  <si>
    <t>আর্টওয়ার্ক জড়িত হতে ব্যর্থ হয় সৃজনশীলতার অভাব হয়</t>
  </si>
  <si>
    <t>দুর্বল স্থায়িত্ব এবং নির্মাণ নির্দেশ করে</t>
  </si>
  <si>
    <t xml:space="preserve">এই খেলনা টি অনেক মজবুত </t>
  </si>
  <si>
    <t>ডিভাইসটির ওয়াইফাই কনেক্টিভিটি খুবই দ্রুত</t>
  </si>
  <si>
    <t>অন্যান্য ব্র্যান্ডের তুলনায় কিছুটা ভালো বা খারাপ</t>
  </si>
  <si>
    <t>রান্নাঘরে ব্যবহারযোগ্য তবে রাসায়নিক প্রতিরোধী নয়</t>
  </si>
  <si>
    <t>দূর থেকেও এই স্পিকারের সাউন্ড কোয়ালিটি একই রকম থাকে কোনো পরিবর্তন হয় না</t>
  </si>
  <si>
    <t>ফ্রিজ পরিষ্কার করার পরেও একটি অদ্ভুত গন্ধ নির্গত করে যা বন্ধ হয়ে যায়</t>
  </si>
  <si>
    <t>ব্রিসল মাঝে মাঝে ঝরে পড়ে</t>
  </si>
  <si>
    <t>নতুন ফোনটির ক্যামেরা ছবি তোলার জন্য চমৎকার</t>
  </si>
  <si>
    <t>এক কথায় দারুণ</t>
  </si>
  <si>
    <t>খেলনার নকশাটি পুরানো এবং অপ্রীতিকর ছিল</t>
  </si>
  <si>
    <t>একবার ধোয়ার পরেই ফ্যাব্রিকের রঙ নাটকীয়ভাবে বিবর্ণ হয়ে যায়</t>
  </si>
  <si>
    <t>এই বডি ওয়াশ ব্যবহারে আপনার ত্বক হবে যত্নপ্রাপ্ত</t>
  </si>
  <si>
    <t xml:space="preserve"> বহন কেসটি ভারী এবং কষ্টকর যা ভ্রমণ বা যাতায়াতের সময় বহন করা অসুবিধাজনক করে তোলে</t>
  </si>
  <si>
    <t>চুলের মাস্কটি সঠিকভাবে ধুয়ে ফেলা হয়নি একটি ভারী অবশিষ্টাংশ রেখে যা আমার চুলকে ওজন করে ফেলেছিল</t>
  </si>
  <si>
    <t>BPAমুক্ত প্লাস্টিক ব্যবহার করা হয়েছে যা স্বাস্থ্যকর তবে বোতলটি স্বচ্ছ নয় অস্বচ্ছ</t>
  </si>
  <si>
    <t>লিপস্টিকের সূত্রটি শুকিয়ে যাচ্ছে ঠোঁটের লাইন এবং ফাটলকে জোর দিচ্ছে</t>
  </si>
  <si>
    <t>ঢাকনা সঠিকভাবে বন্ধ হয় না যা ট্রানজিটে ছড়িয়ে পড়ে</t>
  </si>
  <si>
    <t>ক্রয়ের মূল্য নয় নিম্নমানের</t>
  </si>
  <si>
    <t>প্রতিটি কামড়েই নতুন স্বাদ</t>
  </si>
  <si>
    <t xml:space="preserve">সেটের সাথে আসা সালাদ প্লেটগুলি আকারে নিখুঁত </t>
  </si>
  <si>
    <t xml:space="preserve">অনেক ভাল হয়েছে বাচ্চার ভাল লেগেছে উচ্চ মান </t>
  </si>
  <si>
    <t xml:space="preserve"> উপাদান আকৃতির বাইরে প্রসারিত হওয়ার প্রবণতা এর চেহারাকে প্রভাবিত করে</t>
  </si>
  <si>
    <t>আমাদের বাগানে ফুলের সুবাস মনমুগ্ধকর</t>
  </si>
  <si>
    <t>ভুল সাইজিং নিয়ে হতাশ ফলস্বরূপ একটি খারাপফিটিং পোশাক</t>
  </si>
  <si>
    <t>এটি ঘরের সৌন্দর্য কিছুটা বাড়াতে পারে</t>
  </si>
  <si>
    <t>বিছানায় শুয়ে থাকার সময় এটি আমাকে খুবই স্বস্তি দেয়</t>
  </si>
  <si>
    <t>ওভেনের তাপমাত্রা নিয়ন্ত্রণ ভুল খাদ্য সহজেই পুড়ে যায়</t>
  </si>
  <si>
    <t>লিপস্টিকের গন্ধ অপ্রতিরোধ্য এবং অপ্রীতিকর</t>
  </si>
  <si>
    <t>কার্ল ক্রিম আমার কার্লগুলিকে সংজ্ঞায়িত করেনি সেগুলিকে ফ্রিজি এবং অনির্ধারিত রেখে গেছে</t>
  </si>
  <si>
    <t>এই রং কলম একটি রসিকতা তারা এড়িয়ে যায় এবং স্ট্রীক ছেড়ে যায় আপনি যা তৈরি করার চেষ্টা করছেন তা নষ্ট করে দেয়</t>
  </si>
  <si>
    <t>প্রতিদিন নতুন আনন্দ ও উৎসাহ দেয়</t>
  </si>
  <si>
    <t xml:space="preserve">  হ্যান্ডেলটি অল্প সময়ের ব্যবহারের পরে ভেঙে যায় এটি বহন করা অসম্ভব করে তোলে</t>
  </si>
  <si>
    <t>সময়ের সাথে সাথে আইটেমের কর্মক্ষমতা দ্রুত হ্রাস পায়</t>
  </si>
  <si>
    <t>অ্যাডাপ্টারের আকার মাঝারি খুব বড় বা খুব ছোট নয়</t>
  </si>
  <si>
    <t>সস্তায় তৈরি জং ধরা স্ক্রু এড়িয়ে চলুন</t>
  </si>
  <si>
    <t xml:space="preserve"> দরজা এক হাত দিয়ে খোলা কঠিন অন্য হাত থেকে সহায়তা প্রয়োজন</t>
  </si>
  <si>
    <t>কম দামে মোটামুটি ঠিকঠাক লেগেছে</t>
  </si>
  <si>
    <t>রুম হিটারটি দ্রুত এবং কার্যকরভাবে ঘর গরম করে</t>
  </si>
  <si>
    <t>বুকশেলফটি ছোট ছোট বই ও সামগ্রী রাখার জন্য উপযুক্ত</t>
  </si>
  <si>
    <t>অবিস্মরণীয় দৃষ্টান্ত মৌলিকতার অভাব</t>
  </si>
  <si>
    <t>দুর্দান্ত ট্র্যাকিং ডিভাইস</t>
  </si>
  <si>
    <t>এটি বেশ মানসম্মত তবে কিছুটা দুর্বল</t>
  </si>
  <si>
    <t>সুস্বাদু তবে কিছুটা গন্ধ লাগে</t>
  </si>
  <si>
    <t>এটি ত্বকের লালচেভাব কমাতে সাহায্য করে</t>
  </si>
  <si>
    <t>গন্ধ বেশ ভালো তবে স্বাদ ভালো না</t>
  </si>
  <si>
    <t>পোর্টেবল প্রজেক্টরের ফ্যান খুব কোলাহলপূর্ণ সিনেমার রাতের সময় বিভ্রান্তিকর</t>
  </si>
  <si>
    <t>গরম রাখে কিন্তু অন্যান্য কম্ফর্টারের চেয়ে বেশি কিছু নয়</t>
  </si>
  <si>
    <t>পণ্যটি আরামদায়ক ব্যবহার করার জন্য খুব ভারী বা কষ্টকর ছিল</t>
  </si>
  <si>
    <t>উচ্চ মানের ভিডিও এবং অত্যন্ত উজ্জ্বল এলইডি ফ্লাডলাইট  সমস্ত সুনির্দিষ্টভাবে লক্ষ্য করার জন্য সামঞ্জস্যযোগ্য</t>
  </si>
  <si>
    <t>এটি ব্যবহার করলে মাড়িতে কোনো ধরনের আঘাত লাগে না</t>
  </si>
  <si>
    <t>অবস্থা স্যাঁতসেঁতে তাই  অভিজ্ঞতা খারাপ</t>
  </si>
  <si>
    <t>এটি স্টাইলিশ লুক দেয় তবে ফ্যাশনেবল নয়</t>
  </si>
  <si>
    <t>চুলের গোড়া মজবুত রাখতে এই শ্যাম্পুটি দারুণ</t>
  </si>
  <si>
    <t>নিশ্চিতভাবে কাজ করে</t>
  </si>
  <si>
    <t>এনার্জি সেভিং মোড মোটামুটি কার্যকর</t>
  </si>
  <si>
    <t>টর্চ লাইটের ওজন কম</t>
  </si>
  <si>
    <t>ছেলেটির অঙ্কের দক্ষতা অনেক উন্নত হয়েছে</t>
  </si>
  <si>
    <t>সৌরচালিত আউটডোর ক্যামেরার নাইট ভিশন দুর্বল কিছুই দেখতে পায় না</t>
  </si>
  <si>
    <t>এর উজ্জ্বল রঙ এবং সুন্দর নকশা আমার রান্নাঘরকে একেবারে নতুন রূপ দিয়েছে প্রতিটি খাবার এখন আরও আকর্ষণীয় দেখায়</t>
  </si>
  <si>
    <t>দামের সাথে মান ঠিক আছে তবে আশা সীমিত রাখা উচিত</t>
  </si>
  <si>
    <t>গরম রাখে কিন্তু অন্যান্য কম্ফর্টারের মতোই</t>
  </si>
  <si>
    <t>স্টাইল ভালো কিন্তু কিছুটা ব্যয়বহুল</t>
  </si>
  <si>
    <t>গার্ডেন হোজটি পানি সরবরাহ করে তবে সহজে জট পাকায়</t>
  </si>
  <si>
    <t>টর্চটি সহজে ধরার উপযোগী</t>
  </si>
  <si>
    <t>জমির জন্য এটি ব্যবহার করেছি তবে ফলন খুব বেশি বাড়েনি</t>
  </si>
  <si>
    <t>ফ্যাব্রিকের পাতলাতা আরাম ও বিনয়ের সাথে সমঝোতা করে</t>
  </si>
  <si>
    <t>দামের তুলনায় গুণমান সাধারণ</t>
  </si>
  <si>
    <t>রঙ সাধারণ কিছু বিশেষ নয়</t>
  </si>
  <si>
    <t xml:space="preserve">কম প্রাইজে একদম ঠিক আছে  কোয়ালিটি অনেক ভালো </t>
  </si>
  <si>
    <t>ফ্রিজের ভিতরের   ড্রয়ারগুলি ক্ষীণ এবং ফাটল হওয়ার প্রবণতা অনুভব করে</t>
  </si>
  <si>
    <t>বোতলজাত পাস্তা সস অত্যধিক মিষ্টি ছিল এবং একটি কৃত্রিম গন্ধ ছিল</t>
  </si>
  <si>
    <t>এর কোয়ালিটি ভালো কিন্তু দাম অনেক বেশি</t>
  </si>
  <si>
    <t>বিছানা ফ্রেম খারাপভাবে নির্মিত দুর্বল জয়েন্টগুলোতে যে সামান্য নড়াচড়া সঙ্গে জোরে creak সঙ্গে</t>
  </si>
  <si>
    <t>বোতলটি স্টোরেজে কিছুটা স্থান দখল করে</t>
  </si>
  <si>
    <t>স্বাস্থ্যকর উপাদান ব্যবহার করে তৈরি হওয়ায় স্বাস্থ্যের প্রতি ক্ষতিকর প্রভাব ফেলার কোন সুযোগ নেই</t>
  </si>
  <si>
    <t>প্রতিফলন পরিষ্কার তবে অতি উজ্জ্বল নয়</t>
  </si>
  <si>
    <t>এই কানের দুলগুলো আমার সংগ্রহের সবচেয়ে মূল্যবান সংযোজন</t>
  </si>
  <si>
    <t>টার্বো মোডে এই এসি দ্রুত ঘর ঠান্ডা করে গরম দুপুরে বাড়ি ফিরে এটি খুব উপকারী লাগে</t>
  </si>
  <si>
    <t>খেলনাটি ঠিকই আছে কিন্তু বিশেষ কিছু নয়</t>
  </si>
  <si>
    <t>অতিরিক্ত গরম পানি ব্যবহার করা উচিত নয়</t>
  </si>
  <si>
    <t>চায়ের সুগন্ধ এতই আকর্ষণীয় যে আমি সারাদিন এর কথা ভাবি</t>
  </si>
  <si>
    <t>উচ্চ শক্তি খরচ স্ফীত ইউটিলিটি বিলের দিকে পরিচালিত করে</t>
  </si>
  <si>
    <t>এটি আমার চুলের স্ক্যাল্পে ম্যাসাজের মতো অনুভূতি দেয় যা খুব আরামদায়ক</t>
  </si>
  <si>
    <t>দরিদ্র গ্রাহক পরিষেবা অমীমাংসিত সমস্যা</t>
  </si>
  <si>
    <t>গুণমান মধ্যম মানের</t>
  </si>
  <si>
    <t>খাওয়ানোর সময় শিশুর বোতলের স্তনবৃন্ত ভেঙে পড়ে যা শিশুর জন্য হতাশার কারণ হয়</t>
  </si>
  <si>
    <t>বিউটি সোপটি ত্বকের উজ্জ্বলতা বৃদ্ধি করে</t>
  </si>
  <si>
    <t>স্টাইলিশ লুক আছে তবে খুব আধুনিক নয়</t>
  </si>
  <si>
    <t>আমার শীতের রাতগুলো এখন অনেক বেশি আনন্দময়</t>
  </si>
  <si>
    <t>ছোট বাচ্চাদের জন্য খেলার সময় একজন বড়ের সাহায্য দরকার</t>
  </si>
  <si>
    <t>টুথপেস্টের টিউবে ব্যবহার নির্দেশনা আছে</t>
  </si>
  <si>
    <t>হতাশাজনক গুণমান প্রস্তাবিত নয়</t>
  </si>
  <si>
    <t>অটো শাটডাউন ফিচার আছে</t>
  </si>
  <si>
    <t>কাপগুলি খুব ভারী ছিল সেগুলি ব্যবহার করা কষ্টকর</t>
  </si>
  <si>
    <t xml:space="preserve"> সিরাম আঠালো অনুভূত এবং সঠিকভাবে শোষণ না</t>
  </si>
  <si>
    <t xml:space="preserve">ইন্ডাকশন কুকটপটি দেখতে আধুনিক এবং কার্যকর তবে কিছু সময় খাবার তাড়াতাড়ি  রান্না হয় না </t>
  </si>
  <si>
    <t>গাছের স্বাস্থ্য বৃদ্ধি পেলেও ফলন তেমন ভালো ছিল না</t>
  </si>
  <si>
    <t>রান্নাঘরের জন্য এই ডিশওয়াশারটি অনেক সুবিধাজনক</t>
  </si>
  <si>
    <t>বেসটি এটিকে টিপিংয়ের জন্য প্রবণ করে তোলে</t>
  </si>
  <si>
    <t>মপটি দিয়ে কাজ করার সময় সতর্ক থাকুন</t>
  </si>
  <si>
    <t>কিছু ত্রুটি সহ প্রকল্পগুলির জন্য এটি কার্যকর</t>
  </si>
  <si>
    <t>বীনের আকার মাঝারি খুব বড় বা ছোট নয়</t>
  </si>
  <si>
    <t>গন্ধটা ভালো কিন্তু স্বাদটা বেশি স্বাভাবিক</t>
  </si>
  <si>
    <t>শিশুর মনিটরের সংকেত দুর্বল যার ফলে ঘন ঘন সংযোগ বিচ্ছিন্ন হয়</t>
  </si>
  <si>
    <t>মপটি ব্যবহার করার পর পরিষ্কার করা যায়</t>
  </si>
  <si>
    <t>শ্যাম্পুটি চুলকে দারুণভাবে পুষ্টি জোগায়</t>
  </si>
  <si>
    <t>স্নানের লবণের সুগন্ধ ছিল প্রবল এবং কৃত্রিম</t>
  </si>
  <si>
    <t>স্টেনসিলিংয়ের জন্য দুর্দান্ত নয়</t>
  </si>
  <si>
    <t>আইটেমের বৈশিষ্ট্যগুলি অ্যাক্সেস বা ব্যবহার করা কঠিন ছিল</t>
  </si>
  <si>
    <t>বায়ুপ্রবাহ নিয়ন্ত্রণ সহজ</t>
  </si>
  <si>
    <t>স্বপরিষ্কার লিটার বক্স জ্যাম বর্জ্য জমে</t>
  </si>
  <si>
    <t>গাছপালা এবং ফুলের যত্নের জন্য কিছু কার্যকর পরামর্শ প্রদান করে</t>
  </si>
  <si>
    <t xml:space="preserve">বিছানার চাদরটি হাতে পাওয়ার পর </t>
  </si>
  <si>
    <t>এই বডি ওয়াশ ব্যবহারে আপনার ত্বক হবে আকর্ষক</t>
  </si>
  <si>
    <t xml:space="preserve"> দরজার কব্জা খোলা বা বন্ধ করার সময় জোরে চিৎকার করে বিরক্তিকরভাবে শোরগোল</t>
  </si>
  <si>
    <t>ডিলিয়ার করতে ব্যর্থ পুনরাবৃত্ত ত্রুটি</t>
  </si>
  <si>
    <t>চিত্রকর্মের বিবরণ একেবারে নিখুঁত</t>
  </si>
  <si>
    <t>হেয়ার কন্ডিশনার চুলের ওজন কমিয়ে দেয় এবং এটিকে নরম এবং পরিচালনাযোগ্য না করে বরং চর্বিযুক্ত বোধ করে</t>
  </si>
  <si>
    <t>চুলের তেল আমার চুলকে চর্বিযুক্ত এবং ধোয়াহীন দেখায়</t>
  </si>
  <si>
    <t>সিম কার্ড স্লট ক্ষীণ এবং অপ্রত্যাশিতভাবে সিম কার্ড বের করে দেওয়ার প্রবণতা</t>
  </si>
  <si>
    <t>রুক্ষ অভ্যন্তর পৃষ্ঠ সূক্ষ্ম আইটেম স্ক্র্যাচেস</t>
  </si>
  <si>
    <t>এই আংটির ব্যবহার খুব সহজ এবং অবস্থান বিশেষ হিসেবে উপযুক্ত</t>
  </si>
  <si>
    <t>রিলটি ভালো কিন্তু কিছু ফিলামেন্ট সহজে জট পাকায়</t>
  </si>
  <si>
    <t>ত্বকের ক্ষতিকর বস্তু অপসারণ করে এই বডি ওয়াশ</t>
  </si>
  <si>
    <t>মেকআপ ব্রাশ বিভিন্ন ফর্মুলার সাথে কাজ করে</t>
  </si>
  <si>
    <t>কানেক্টিভিটি অপশন নেই</t>
  </si>
  <si>
    <t>আমি নিশ্চিত এটি আপনার মন জয় করবে</t>
  </si>
  <si>
    <t>কোণগুলো সাধারণভাবে নিরাপদ</t>
  </si>
  <si>
    <t>বেশ ভালো কিন্তু আরেকটু উন্নতি দরকার</t>
  </si>
  <si>
    <t>সহজ সেটআপ এখন পর্যন্ত কোন সমস্যা স্থায়িত্ব প্রশ্নবিদ্ধ</t>
  </si>
  <si>
    <t>নোংরা খরগোশ ধারাবাহিক বিপর্যয়
ভিজ্যুয়াল একঘেয়েমি মোহিত করতে ব্যর্থ হয়</t>
  </si>
  <si>
    <t>কম্প্যাক্ট কিন্তু শক্তিশালী</t>
  </si>
  <si>
    <t>ফ্যাব্রিক দৃঢ়তা আন্দোলনকে অস্বস্তিকর করে তোলে</t>
  </si>
  <si>
    <t>স্ট্যাক করা যায় তবে উচ্চতায় এটি অস্থিতিশীল হয়ে পড়ে</t>
  </si>
  <si>
    <t>পরিবহনের জন্য উপযুক্ত কিন্তু পড়ে গেলে ভেঙে যেতে পারে</t>
  </si>
  <si>
    <t>আনসিল করা প্যাকেজ পণ্যের অবস্থা অজানা</t>
  </si>
  <si>
    <t>এটি সম্পর্কে আমার ভারসাম্যপূর্ণ মতামত রয়েছে</t>
  </si>
  <si>
    <t>খেলনার বোতামগুলি ছিল প্রতিক্রিয়াহীন হতাশাজনক শিশু</t>
  </si>
  <si>
    <t xml:space="preserve"> দরজার হাতলটি কয়েক মাস ব্যবহারের পরেই ভেঙে যায় অবিশ্বাস্যভাবে হতাশাজনক</t>
  </si>
  <si>
    <t>একটি নির্দিষ্ট পরিমাণে আরামদায়ক কিন্তু পিলিং প্রবণ</t>
  </si>
  <si>
    <t>গ্রেট ভ্যালু আরও ভাল হতে পারত</t>
  </si>
  <si>
    <t>ফ্রিজের মাত্রাগুলি ভুলভাবে তালিকাভুক্ত করা হয়েছিল যার ফলে রান্নাঘরের স্থানের সাথে অসঙ্গতি দেখা দিয়েছে</t>
  </si>
  <si>
    <t>প্রতিদিন দেখলেও বিরক্তি আসে না</t>
  </si>
  <si>
    <t>মটরশুটি তৈলাক্ত এবং চর্বিযুক্ত ছিল যা অতিরিক্ত ভাজা হওয়ার ইঙ্গিত দেয়</t>
  </si>
  <si>
    <t>কুয়াশায় একটি সস্তা গন্ধ ছিল যা রাসায়নিকের মতো অনুভূত হচ্ছিল</t>
  </si>
  <si>
    <t xml:space="preserve">  জিপারগুলি ক্রমাগত আটকে যায় এটি খুলতে এবং বন্ধ করতে বিরক্তিকর করে তোলে</t>
  </si>
  <si>
    <t>পোশাকটি সব ঋতুতেই পরার উপযোগী</t>
  </si>
  <si>
    <t>কার ভ্যাকুয়ামটি ময়লা পরিষ্কার করে তবে পাওয়ার কম</t>
  </si>
  <si>
    <t>সীমিত লেন্স সামঞ্জস্য ভবিষ্যতের আপগ্রেড এবং সম্প্রসারণের জন্য ক্যামেরার সম্ভাবনাকে সীমাবদ্ধ করে</t>
  </si>
  <si>
    <t>অন্য ব্র্যান্ডের থেকে একটু সস্তা</t>
  </si>
  <si>
    <t>ব্যাটারি ব্যাকআপ একটু কম মনে হয়</t>
  </si>
  <si>
    <t>প্রতিটি ঘটনার বর্ণনা খুবই জীবন্ত</t>
  </si>
  <si>
    <t>চার্জার অ্যাডাপ্টার ব্যবহারের সময় অতিরিক্ত গরম হয়ে যায় যা নিরাপত্তার জন্য উদ্বেগ সৃষ্টি করে</t>
  </si>
  <si>
    <t>বেস আচ্ছাদন যথেষ্ট</t>
  </si>
  <si>
    <t>স্মার্ট কিচেন স্কেলের ডিসপ্লে স্ক্রিন খুবই ম্লান উজ্জ্বল আলোতে পড়া কঠিন</t>
  </si>
  <si>
    <t>ফ্রিজের কুলিং সিস্টেম কোলাহলপূর্ণ এবং ব্যাঘাতমূলক বিশেষ করে ছোট থাকার জায়গাগুলিতে</t>
  </si>
  <si>
    <t>ব্যাকপ্যাকের পানির বোতল ধারক ছিঁড়ে যায় যার ফলে বোতলটি পড়ে যায়</t>
  </si>
  <si>
    <t>ব্রাশটি হালকা তাই দীর্ঘ সময় ধরে ব্যবহার করা যায় বিনা ক্লান্তিতে</t>
  </si>
  <si>
    <t>ফ্রিজটি দরজায় ডেন্ট নিয়ে এসেছিল যা হতাশাজনক ছিল</t>
  </si>
  <si>
    <t>পাওয়ার ব্যাঙ্কের চার্জিং তারের সংযোগকারীটি আলগা সামান্য নড়াচড়ায় সহজেই সংযোগ বিচ্ছিন্ন হয়ে যায়</t>
  </si>
  <si>
    <t>বোতলজাত স্মুদিটি খুব পুরু এবং একটি অপ্রীতিকর কৃত্রিম মিষ্টি ছিল</t>
  </si>
  <si>
    <t>এটি মেকআপের সৌন্দর্য বাড়ায়</t>
  </si>
  <si>
    <t>ক্যানভাস উপাদান হালকা এবং পাতলা দেখায়</t>
  </si>
  <si>
    <t>আমি এটা সম্পর্কে নিরপেক্ষ অনুভূতি আছে</t>
  </si>
  <si>
    <t>এর বহুমুখী ব্যবহার আমাকে মুগ্ধ করেছে</t>
  </si>
  <si>
    <t>কাঠামোগত অখণ্ডতার অভাব রয়েছে যার ফলে এটি আকৃতি হারায় এবং ন্যূনতম পরিধানের পরে বিশ্রীভাবে ঝুলে যায়</t>
  </si>
  <si>
    <t>ত্বকের অতিরিক্ত তেল দূর করে এই বডি ওয়াশ</t>
  </si>
  <si>
    <t>পণ্যটির একটি শক্তিশালী রাসায়নিক গন্ধ ছিল</t>
  </si>
  <si>
    <t>ক্রীড়া বেল্টের লক শক্তিশালী তবে চামড়া খুব শক্ত</t>
  </si>
  <si>
    <t>পোশাকটি ত্বকে আরাম দেয়</t>
  </si>
  <si>
    <t>মেয়েটি প্রতিদিন নিয়মিত যোগব্যায়াম করে</t>
  </si>
  <si>
    <t>সারটির কার্যকারিতা সাধারণ ছিল তবে কিছু গাছ আরও শক্তিশালী হতে পারে</t>
  </si>
  <si>
    <t>হতাশাজনক বিল্ড কোয়ালিটি ক্ষতির প্রবণতা</t>
  </si>
  <si>
    <t>দুর্দান্ত  ফুট ইউএসবি চার্জিং কেবল</t>
  </si>
  <si>
    <t>সৌরচালিত ব্যাকপ্যাকের সৌর প্যানেল সহজেই ছিঁড়ে যায় কার্যকারিতা হ্রাস করে</t>
  </si>
  <si>
    <t>আইশ্যাডো প্যালেটে পিগমেন্টের অভাব রয়েছে যে কোনও লক্ষণীয় রঙের জন্য একাধিক স্তর প্রয়োজন</t>
  </si>
  <si>
    <t>তীক্ষ্ণ পয়েন্ট রয়েছে তবে কিছুটা টেকসই হতে পারে</t>
  </si>
  <si>
    <t>অস্বীকার্য অবস্থায় প্রাপ্ত অগ্রহণযোগ্য</t>
  </si>
  <si>
    <t>বড় বুকের জন্য ভাল নয় যথেষ্ট সমর্থন নেই</t>
  </si>
  <si>
    <t>ব্যবহারের সময়  বাইরের অংশ অত্যন্ত গরম হয়ে যায় যা পোড়ার ঝুঁকি তৈরি করে</t>
  </si>
  <si>
    <t>আমার ল্যাপটপটি দ্রুত এবং কার্যকরভাবে কাজ করে</t>
  </si>
  <si>
    <t xml:space="preserve">আমার বাসার সবার অনেক ভাল লেগেছে </t>
  </si>
  <si>
    <t>সোপটি ত্বকে আরামদায়ক অনুভূতি দেয়</t>
  </si>
  <si>
    <t>বালিশগুলির ভেতরের উপাদান এমনভাবে নির্বাচিত করা হয়েছে যে এগুলি অতিরিক্ত গরম হয় না</t>
  </si>
  <si>
    <t>মাস্কারা ওয়ান্ডটি খুব নমনীয় এটি সমানভাবে দোররা লেপ কঠিন করে তোলে</t>
  </si>
  <si>
    <t>ল্যাপটপটির সাউন্ড কোয়ালিটি খুব ভালো স্পিকার থেকে শব্দ খুব পরিষ্কার আসে</t>
  </si>
  <si>
    <t>বাচ্চাদের জন্য মজাদার কিছু টুকরো তবে কিছুটা সহজে হারানো হতে পারে</t>
  </si>
  <si>
    <t>আপনার গল্ফ কার্টের জন্য অবশ্যই থাকতে হবে</t>
  </si>
  <si>
    <t>এই বডি ওয়াশ ব্যবহারে আপনার ত্বক হবে স্বাস্থ্যকর</t>
  </si>
  <si>
    <t>প্রতিটি পৃষ্ঠায় নতুন কিছু শেখার ছিল</t>
  </si>
  <si>
    <t>নরম এবং কোমল স্পর্শ</t>
  </si>
  <si>
    <t>জেবিএল ভাইব বাডস মোটামুটি ঠিককিন্তু কোয়ালিটি ভালো না</t>
  </si>
  <si>
    <t>ফ্যাব্রিকের স্বচ্ছতা অগ্রহণযোগ্য অন্তর্বাস প্রকাশ করে এবং বিনয়ের সাথে আপস করে</t>
  </si>
  <si>
    <t>স্মার্ট ইনসেক্ট ক্যাচারটি পোকা ধরে তবে আকর্ষণ ক্ষমতা কম</t>
  </si>
  <si>
    <t>প্যাকেটে ব্যবহার নির্দেশিকা দেওয়া আছে</t>
  </si>
  <si>
    <t>রিমোটের ডিসপ্লে খুব পরিষ্কার অন্ধকারেও আমি সহজে তাপমাত্রা ও সেটিংস দেখতে পারি</t>
  </si>
  <si>
    <t>ফুলটি আমার ঘরে একটি শান্তিপূর্ণ পরিবেশ সৃষ্টি করেছে</t>
  </si>
  <si>
    <t>ইনস্টলেশন জটিল</t>
  </si>
  <si>
    <t>হালকা হলেও অনমনীয় লাগে</t>
  </si>
  <si>
    <t>সুন্দর প্যাকেজিং আকর্ষণীয় গন্ধ আর অসাধারণ স্বাদ</t>
  </si>
  <si>
    <t>পরিষ্কার করার সময়কাল মোটামুটি</t>
  </si>
  <si>
    <t>এটি প্রত্যাশার চেয়ে ভালো তবে নিখুঁত নয়</t>
  </si>
  <si>
    <t>ফোনের ব্লুটুথ কানেক্টিভিটি অবিশ্বস্ত প্রায়শই পেয়ার করা ডিভাইস থেকে সংযোগ বিচ্ছিন্ন হয়</t>
  </si>
  <si>
    <t>যেকোনো ঘরের সাথে মানানসই</t>
  </si>
  <si>
    <t>মপের কাপড়টি দীর্ঘস্থায়ী মনে হচ্ছে</t>
  </si>
  <si>
    <t>স্বাদ কিছুটা সাধারণ তবে গন্ধ ভালো</t>
  </si>
  <si>
    <t>ডাইনিং টেবিলটি সহজেই সম্প্রসারণ করা যায় অতিরিক্ত অতিথির জন্য</t>
  </si>
  <si>
    <t>এটি দ্রুত ঠান্ডা করে এবং আরামদায়ক করে তোলে</t>
  </si>
  <si>
    <t>প্রাইস ফ্লাকচুয়েশন কম</t>
  </si>
  <si>
    <t>ত্বকের উজ্জ্বলতা বাড়ায় এই বডি ওয়াশ</t>
  </si>
  <si>
    <t>ক্যানভাসের পৃষ্ঠের একটি অসম টেক্সচার ছিল যা ব্রাশস্ট্রোককে প্রভাবিত করে</t>
  </si>
  <si>
    <t>পোশাক ঠিক আছে দামের জন্য খারাপ নয়</t>
  </si>
  <si>
    <t>স্মার্ট ডোরবেলের মাইক্রোফোন মাফড খারাপ অডিও কোয়ালিটি</t>
  </si>
  <si>
    <t>ব্যবহার করার পর সাবধানে সংরক্ষণ করতে হবে</t>
  </si>
  <si>
    <t>আমাদের ক্লাসে সব শিক্ষার্থী সবসময় মনোযোগী</t>
  </si>
  <si>
    <t>নখের স্বাস্থ্যের উপর বারবার ব্যবহারের প্রভাব সম্পর্কে বিভিন্ন মত রয়েছে</t>
  </si>
  <si>
    <t>এই কানের দুলগুলো আমার চুলের স্টাইলকে আরও উজ্জ্বল করে তোলে</t>
  </si>
  <si>
    <t>অতটা ভালো না হলেও চলে</t>
  </si>
  <si>
    <t>অ্যাপল পণ্যগুলির জন্য হাই মানের অ্যাডাপ্টার</t>
  </si>
  <si>
    <t>ফ্যাব্রিক বলিষ্ঠ তবে অন্যান্য দিকগুলোতে কিছুটা অভাব রয়েছে</t>
  </si>
  <si>
    <t>এই ক্রয়টি একটি স্মার্ট পছন্দ হিসাবে বিবেচিত হয়</t>
  </si>
  <si>
    <t>পুনব্যবহারযোগ্য তবে প্রতিবার ব্যবহারের পর মান কমে যায়</t>
  </si>
  <si>
    <t>মেঝেতে রাখা যায়</t>
  </si>
  <si>
    <t>এই বডি ওয়াশ ব্যবহারে আপনার ত্বক হবে আকর্ষণীয়</t>
  </si>
  <si>
    <t>স্বট্যানার স্ট্রিক এবং কমলা আন্ডারটোন তৈরি করে যা একটি খারাপভাবে কার্যকর করা স্প্রে ট্যানের মতো</t>
  </si>
  <si>
    <t>মেকআপ ব্রাশ ব্যবহার করা পেশাদার</t>
  </si>
  <si>
    <t>ব্যবহারের পর কিছু ত্রুটি চোখে পড়েছে</t>
  </si>
  <si>
    <t>এই কম অতিরিক্ত দামের পণ্য এড়িয়ে চলুন</t>
  </si>
  <si>
    <t>ফ্যাব্রিকের জন্য ঠিক আছে দুর্দান্ত কিছু নয়</t>
  </si>
  <si>
    <t>এনার্জি রেটিং মোটামুটি</t>
  </si>
  <si>
    <t>শ্যাম্পুর ব্যবহার চুলকে সিল্কি করে তোলে</t>
  </si>
  <si>
    <t>জ্যারেড সালসা অত্যধিক প্রক্রিয়াজাত স্বাদযুক্ত এবং বাড়িতে তৈরি জাতের সতেজতার অভাব ছিল</t>
  </si>
  <si>
    <t>অভ্যন্তরীণ কাঠামো মজবুত নয়</t>
  </si>
  <si>
    <t>যুক্তিসঙ্গত দাম</t>
  </si>
  <si>
    <t>বিউটি সোপটি ত্বকের আর্দ্রতা বজায় রাখে</t>
  </si>
  <si>
    <t>তাপমাত্রা নির্দিষ্ট করে সেট করা যেতে পারে</t>
  </si>
  <si>
    <t xml:space="preserve">অসাধারণ একটি প্রোডাক্ট </t>
  </si>
  <si>
    <t>মোটামুটি ভালো</t>
  </si>
  <si>
    <t>সানডিস্ক আল্ট্রা এসডিএইচসি মেমরি কার্ডডেটা করাপশনের সমস্যা যা অবিশ্বাস্য</t>
  </si>
  <si>
    <t>মান ভালো তবে কেউ কেউ দাম বেশি মনে করতে পারেন</t>
  </si>
  <si>
    <t>ত্বকের ডার্ক স্পট কমাতে সাহায্য করে এই বডি ওয়াশ</t>
  </si>
  <si>
    <t>ফ্রিজের ভিতরের এলইডিআলো খুবই ম্লান যার ফলে পিছনের জিনিসগুলি দেখতে অসুবিধা হয়৷</t>
  </si>
  <si>
    <t>সীমিত কাস্টমাইজেশন বিকল্প এটিকে প্রত্যাশার চেয়ে কম বহুমুখী করে তুলেছে</t>
  </si>
  <si>
    <t>ওয়েবক্যাম দানাদার এবং পিক্সেলযুক্ত ভিডিও গুণমান তৈরি করে এটি ভিডিও কনফারেন্সিংয়ের জন্য অনুপযুক্ত করে তোলে</t>
  </si>
  <si>
    <t>বাড়ির একটি সাধারণ আকর্ষণ হতে পারে</t>
  </si>
  <si>
    <t>সৌরচালিত বাগানের সজ্জা রাতে আলো হয় না ত্রুটিপূর্ণ</t>
  </si>
  <si>
    <t>এটি প্রত্যাশিতভাবে কাজ করতে পারে</t>
  </si>
  <si>
    <t xml:space="preserve">আমার মার অনেক ভাল লেগেছে </t>
  </si>
  <si>
    <t xml:space="preserve"> রান্নার চেম্বার পরিষ্কার করা কঠিন খাবারের অবশিষ্টাংশ দেয়ালে লেগে থাকে</t>
  </si>
  <si>
    <t>দামের জন্য দুর্দান্ত প্রজেক্টর</t>
  </si>
  <si>
    <t>সীমিত রঙের বৈচিত্র্য</t>
  </si>
  <si>
    <t>ঘড়িটির আকার খুবই উপযুক্ত</t>
  </si>
  <si>
    <t xml:space="preserve">  মাস্ক প্রয়োগ করতে অগোছালো ছিল এবং কিছুই করেনি</t>
  </si>
  <si>
    <t xml:space="preserve">  জয়েন্টগুলি খারাপভাবে তৈরি করা হয়েছে যার ফলে ট্যাবলেটপটিতে ফাঁক এবং মিসলাইনমেন্ট হয়</t>
  </si>
  <si>
    <t>প্রতিটি পিসের উপরের অংশ পানি প্রতিরোধী কোটিং দিয়ে প্রস্তুত</t>
  </si>
  <si>
    <t>ব্যাটারির ফলপ্রসূতা অসাধারণএকটি চমৎকার প্রোডাক্ট আমি খুবই আনন্দিত</t>
  </si>
  <si>
    <t>জিমের জন্য দারুণ</t>
  </si>
  <si>
    <t>টুথপেস্টের মেয়াদ সাধারণ</t>
  </si>
  <si>
    <t>বুকশেলফটি স্কুল অফিস বা বাসায় ব্যবহার করা যায়</t>
  </si>
  <si>
    <t>লেখালেখির জন্য এই পেনসিলটি অনেক আরামদায়ক এবং ব্যবহার উপযোগী</t>
  </si>
  <si>
    <t>চিত্রে বৈচিত্র্যের অভাব দ্বারা হতাশ পুনরাবৃত্তিমূলক এবং নিস্তেজ</t>
  </si>
  <si>
    <t>ব্রাশটির মাথা মাঝারি আকারের</t>
  </si>
  <si>
    <t>ছুটিতে বাইরে গেলেও শুকিয়ে যাওয়ার ভয় নেই</t>
  </si>
  <si>
    <t>ফ্যানটি খুব দ্রুত ও দ্রুত প্রদর্শন করে</t>
  </si>
  <si>
    <t>ফ্যাব্রিক প্লাস্টিক এবং অপ্রাকৃত মনে হয়</t>
  </si>
  <si>
    <t xml:space="preserve"> মাস ব্যবহার করার পর রিভিউ দিলাম সত্যি বলতে এতো কম দামের মধ্যে বেশ কোয়ালিটিফুল একটা প্রোডাক্ট  টাকা ছিল</t>
  </si>
  <si>
    <t>বই সাজানোর জন্য তাকগুলো পারফেক্ট সাইজের</t>
  </si>
  <si>
    <t>স্থায়িত্ব এবং কর্মক্ষমতা পরিপ্রেক্ষিতে কম পড়ে</t>
  </si>
  <si>
    <t>বিশাল নকশা ক্যাবিনেটে সংরক্ষণ করা চ্যালেঞ্জিং করে তোলে</t>
  </si>
  <si>
    <t>এটি আমার প্রত্যাশার চেয়ে ছোট</t>
  </si>
  <si>
    <t>অসাধারণ একটি প্রোডাক্ট আমি খুবই আনন্দিত</t>
  </si>
  <si>
    <t>সাউন্ড কোয়ালিটি এবং এএনসি নিয়ে অসন্তুষ্ট</t>
  </si>
  <si>
    <t>লিক প্রুফ নয় তরল পদার্থ রাখার জন্য পুরোপুরি উপযুক্ত নয়</t>
  </si>
  <si>
    <t>ফুলটি আমার ঘরে একটি আধুনিক স্পর্শ এনেছে</t>
  </si>
  <si>
    <t>প্যাডের কিনারগুলো কিছুটা খসখসে হতে পারে</t>
  </si>
  <si>
    <t>রাইস কুকারের অভ্যন্তরীণ পাত্র সহজেই স্ক্র্যাচ করে রান্নার কর্মক্ষমতা প্রভাবিত করে</t>
  </si>
  <si>
    <t>এটি ব্যবহার করা যায় তবে দাম বেশি মনে হচ্ছে</t>
  </si>
  <si>
    <t>এটি মাইক্রোওয়েভ সেফ তবে উচ্চ তাপমাত্রায় বিকৃত হতে পার</t>
  </si>
  <si>
    <t>পোশাকটির কাপড় অত্যন্ত আরামদায়ক</t>
  </si>
  <si>
    <t>চমৎকার রাডার ডিটেক্টর এই বাজেটে এতো ভালো পাবো আশা করিনি</t>
  </si>
  <si>
    <t>আইটেমটি প্রতিশ্রুত কাস্টমাইজেশনের স্তর অফার করেনি</t>
  </si>
  <si>
    <t xml:space="preserve">সাবান বারটি আমার ত্বকে একটি অবশিষ্টাংশ রেখেছিল </t>
  </si>
  <si>
    <t>চা সেটের প্যাকেজিং দুর্বল ছিল ফলে শিপিংয়ের সময় ক্ষতি হয়েছিল</t>
  </si>
  <si>
    <t>এই চা আমার কাছে হয়ে উঠেছে দৈনন্দিন জীবনের অপরিহার্য অংশ</t>
  </si>
  <si>
    <t>বাচ্চারা নিজেদের দেখতে পারে</t>
  </si>
  <si>
    <t>সাইজিং চার্ট বিভ্রান্তিকর যার ফলে একটি খারাপ ফিটিং পোশাক</t>
  </si>
  <si>
    <t>মেস বা দুর্গন্ধমুক্ত থাকে যা ব্যবহারের সময় মনকে শান্ত রাখে</t>
  </si>
  <si>
    <t>চায়ের কেটলির হাতল স্পর্শে গরম হয়ে যায় যা পোড়ার ঝুঁকি তৈরি করে</t>
  </si>
  <si>
    <t xml:space="preserve"> খাদ্য প্রসেসরের ব্লেডগুলি নিস্তেজ এটি সঠিকভাবে খাবার পিউরি করা কঠিন করে তোলে</t>
  </si>
  <si>
    <t>লেখকের শব্দপ্রয়োগ অত্যন্ত মুগ্ধকর</t>
  </si>
  <si>
    <t>চিত্রকর্মের প্রতিটি ব্রাশস্ট্রোক একেবারে নিখুঁত</t>
  </si>
  <si>
    <t>ওজন খুব বেশি নয় ইনস্টলেশন জটিল</t>
  </si>
  <si>
    <t>ঘড়িটি সময়মতো সঠিক সময় দেখাবে এটাই স্বাভাবিক</t>
  </si>
  <si>
    <t xml:space="preserve">  মিস করবেন না দামের জন্য দারুণ কাজ করেমিস করবেন না প্রোডাক্টটি </t>
  </si>
  <si>
    <t>পরিমাণ অনুযায়ী দাম একটু বেশি তবে কিছু ভালো ফলন পেয়েছি</t>
  </si>
  <si>
    <t>পণ্যটি বাড়িতে একটি স্বাস্থ্যকর পরিবেশ বজায় রাখতে অবদান রাখে</t>
  </si>
  <si>
    <t>দাগ নিয়ে এসেছে যা বের হবে না</t>
  </si>
  <si>
    <t>নতুন প্রযুক্তি যুক্ত হলেও সারটি পুরনো ধরনের ফলন ফিরিয়ে দিয়েছে</t>
  </si>
  <si>
    <t>জল পরিবর্তন করা প্রয়োজন</t>
  </si>
  <si>
    <t>স্নানের লবণগুলি আমার ত্বককে জ্বালাতন করে যার ফলে লালভাব এবং চুলকানি হয়</t>
  </si>
  <si>
    <t>ব্ল্যাক ক্লাসিক আর্মরেস্ট চেয়ারটি গড় মানের</t>
  </si>
  <si>
    <t>চুলের স্বাভাবিক তেল বজায় রাখতে সহায়ক এই শ্যাম্পু</t>
  </si>
  <si>
    <t>অপারেশন চলাকালীন মাইক্রোওয়েভ উচ্চস্বরে আওয়াজ করে যা সম্ভাব্য যান্ত্রিক সমস্যার ইঙ্গিত দেয়</t>
  </si>
  <si>
    <t>ডাইনিং টেবিলের সাথে টেবিল ম্যাট দেওয়া আছে</t>
  </si>
  <si>
    <t>হ্যান্ডহেল্ড ভ্যাকুয়ামের দুর্বল স্তন্যপান ক্ষমতা রয়েছে সঠিকভাবে পরিষ্কার হয় না</t>
  </si>
  <si>
    <t>জাস্ট ওকে</t>
  </si>
  <si>
    <t>স্কুলের মাঠে সবসময় খেলা হয়</t>
  </si>
  <si>
    <t>গ্রানোলা বারগুলি অত্যধিক মিষ্টি ছিল এবং একটি অদ্ভুত আফটারটেস্ট ছিল</t>
  </si>
  <si>
    <t>বাচ্চারা এটি পছন্দ করেছে তবে খেলা শেষে পরিষ্কার করা কিছুটা ঝামেলা</t>
  </si>
  <si>
    <t>ব্যবহৃত উপাদানটি ক্ষীণ এবং ভাঙ্গার প্রবণ ছিল</t>
  </si>
  <si>
    <t xml:space="preserve">গ্লাস হিটারটি সুন্দর তবে কিছু সময় বেশি তাপ তৈরি হতে পারে </t>
  </si>
  <si>
    <t>ঘড়িটির সময় ঠিকঠাক চলে এবং দেখতে দৃষ্টিনন্দন</t>
  </si>
  <si>
    <t>ক্যানভাস উপাদান অত্যধিক পেইন্ট শোষণ করে সরবরাহ নষ্ট করে</t>
  </si>
  <si>
    <t>প্যাকেজিংটি পুনর্ব্যবহার করা কঠিন ছিল পরিবেশগত বর্জ্যে অবদান রাখে</t>
  </si>
  <si>
    <t>অসন্তোষজনক ক্রয় এড়িয়ে চলুন</t>
  </si>
  <si>
    <t>পোর্টেবল ডিশওয়াশার বাসন পরিষ্কার করে তবে জায়গা কম</t>
  </si>
  <si>
    <t>পোর্টেবল এস্প্রেসো মেকার কফি বানায় তবে ট্যাংক ছোট</t>
  </si>
  <si>
    <t>প্যাকেজিংটিতে অতিরিক্ত   সন্নিবেশ রয়েছে যা ল্যান্ডফিল বর্জ্য যোগ করছে</t>
  </si>
  <si>
    <t>পণ্যের স্থায়িত্ব রয়েছে</t>
  </si>
  <si>
    <t>এটি মেকআপ প্রয়োগে নমনীয়তা দেয়</t>
  </si>
  <si>
    <t>পা গরম রাখতে ব্যবহৃত হয়</t>
  </si>
  <si>
    <t>বুকশেলফটি বিভিন্ন রঙে পাওয়া যায়</t>
  </si>
  <si>
    <t>পরিবারের সকলের জন্য এটি উপযুক্ত</t>
  </si>
  <si>
    <t>বেশিক্ষণ ব্যবহারের পর গরম হয়ে যাওয়ার সম্ভাবনা আছে</t>
  </si>
  <si>
    <t>আমার ডায়েরির পৃষ্ঠাগুলি খুব মসৃণ এবং লিখতে আরামদায়ক</t>
  </si>
  <si>
    <t>কারুশিল্পের জন্য শালীন অসামান্য নয়</t>
  </si>
  <si>
    <t>পাত্রে অসম প্রান্তগুলি পরিচালনায় অসুবিধা সৃষ্টি করে</t>
  </si>
  <si>
    <t>খেলনার নকশাটি ছোট বাচ্চাদের বোঝার জন্য খুব জটিল ছিল</t>
  </si>
  <si>
    <t>শুকানোর সময় পেইন্টের রঙগুলি ক্র্যাকিং প্রবণ ছিল</t>
  </si>
  <si>
    <t>চা পাতাগুলি ধুলোবালি এবং নিম্নগ্রেডের ছিল যার ফলে একটি অপ্রস্তুত চোলাই ছিল</t>
  </si>
  <si>
    <t>শ্যাম্পুর ব্যবহারে চুলে কোন রুক্ষতা থাকে না</t>
  </si>
  <si>
    <t>এই বডি ওয়াশ ব্যবহারে আপনি অনুভব করবেন স্ফূর্তি</t>
  </si>
  <si>
    <t>বোতামের গুণমান মোটামুটি</t>
  </si>
  <si>
    <t>একেবারে ভয়ঙ্কর রং নিস্তেজ এবং সব সহজে দেখায়</t>
  </si>
  <si>
    <t>এই বডি ওয়াশ ব্যবহারে আপনি অনুভব করবেন পুনরুজ্জীবিত</t>
  </si>
  <si>
    <t>ঝাঁকুনি দিলে ধুলো ঝরে পড়ে</t>
  </si>
  <si>
    <t>নতুন ফোনটির স্ক্রিন বড় এবং স্পষ্ট</t>
  </si>
  <si>
    <t>খুবই কার্যকর এবং সাশ্রয়ী</t>
  </si>
  <si>
    <t>ব্যাটারি ব্যাকআপ অসাধারণ একটানা  ঘন্টা গান শুনেছি</t>
  </si>
  <si>
    <t>মোটামুটি ঠিককিন্তু কোয়ালিটি ভালো সুন্দর নয়</t>
  </si>
  <si>
    <t>বইয়ের আলমারিটির পৃষ্ঠদেশ সুন্দরভাবে সমাপ্ত করা হয়েছে</t>
  </si>
  <si>
    <t>হেয়ার স্প্রেতে একটি শক্তিশালী রাসায়নিক গন্ধ ছিল যা অপ্রতিরোধ্য ছিল</t>
  </si>
  <si>
    <t>সানস্ক্রিনের সূত্রটি ত্বকে চর্বিযুক্ত অনুভূত হয়েছে একটি অবশিষ্টাংশ রেখে গেছে</t>
  </si>
  <si>
    <t>নখের বৃদ্ধিতে সাহায্য করতে পারে</t>
  </si>
  <si>
    <t xml:space="preserve">  একটি অদ্ভুত গন্ধ সঙ্গে আগত</t>
  </si>
  <si>
    <t>ল্যাপটপ ব্যাগের উপাদান সহজেই লিন্ট এবং ধুলোকে আকৃষ্ট করে এর চেহারা বজায় রাখার জন্য ঘন ঘন পরিষ্কার করা প্রয়োজন</t>
  </si>
  <si>
    <t xml:space="preserve">  চাকা টেকসই নয় এবং প্রায়শই আটকে যায় চলাফেরায় বাধা দেয়</t>
  </si>
  <si>
    <t xml:space="preserve"> দরজার সীলটি জীর্ণ হয়ে গেছে যার ফলে তাপ চলে যায় এবং খাবার অসমভাবে রান্না হয়</t>
  </si>
  <si>
    <t>ব্যাগযুক্ত চিপগুলি বাসি ছিল এবং স্বাদে র্যাসিড ছিল ইঙ্গিত করে যে সেগুলি তাদের মেয়াদ শেষ হয়ে গেছে</t>
  </si>
  <si>
    <t>পোর্টেবল ফ্যানের ব্লেডগুলি সহজেই ভেঙে যায় ব্যবহার করা অনিরাপদ</t>
  </si>
  <si>
    <t>বাচ্চারা কামড়াতে পারে কিন্তু দাঁতের ছাপ পড়ে যায়</t>
  </si>
  <si>
    <t>প্লাস্টিকের ফুলটি এত বাস্তবসদৃশ যে প্রথমে আমি ভেবেছিলাম এটি আসল</t>
  </si>
  <si>
    <t>একটি দৃশ্যমান নোংরা পুতুল সহ একটি পোশাক পেয়েছি অস্বাস্থ্যকর এবং অসন্তোষজনক</t>
  </si>
  <si>
    <t>এটি সম্পূর্ণ প্রাকৃতিক এবং কোনো কৃত্রিম উপাদান নেই</t>
  </si>
  <si>
    <t xml:space="preserve"> দেয়া জায় অনেক ভাল</t>
  </si>
  <si>
    <t>এটি মেকআপের গভীরতা নিয়ন্ত্রণ করে</t>
  </si>
  <si>
    <t>স্নানের তেলের সুগন্ধ খুব শক্তিশালী এবং কৃত্রিম ছিল</t>
  </si>
  <si>
    <t>আর্দ্রতা সহ্য করার ক্ষমতা মাঝারি</t>
  </si>
  <si>
    <t>পাত্রের হাতলটি খারাপভাবে সংযুক্ত ছিল আলগা অনুভব করছিল</t>
  </si>
  <si>
    <t>দইটা গাঢ় তবে স্বাদে খুব বেশি পার্থক্য পাইনি</t>
  </si>
  <si>
    <t>প্রোগ্রামেবল টাইমার নেই</t>
  </si>
  <si>
    <t>লিক প্রুফ তবে সময়ের সাথে পরীক্ষা করা দরকার</t>
  </si>
  <si>
    <t>পেইন্ট টিউবগুলি খারাপভাবে লেবেলযুক্ত ছিল বিভ্রান্তি সৃষ্টি করেছিল</t>
  </si>
  <si>
    <t>কাপড়টি বর্ণনার মতো নরম বা রঙিন নয়</t>
  </si>
  <si>
    <t>সাউন্ড কোয়ালিটি অবিশ্বাস্য</t>
  </si>
  <si>
    <t>এটি দীর্ঘ সময় ধরে কার্যকর থাকে</t>
  </si>
  <si>
    <t>মূল্যের জন্য গ্রহণযোগ্য তবে দীর্ঘমেয়াদী ব্যবহারের নিশ্চয়তা নেই</t>
  </si>
  <si>
    <t>বোতলজাত সালাদ ড্রেসিং অত্যধিক অম্লীয় ছিল এবং একটি অদ্ভুত কৃত্রিম গন্ধ ছিল</t>
  </si>
  <si>
    <t>ডিজাইনে উদ্ভাবন এবং সৃজনশীলতার অভাব রয়েছে সাধারণ এবং অনুপ্রাণিত</t>
  </si>
  <si>
    <t>কফির গুণমান দেখে মনে হয় এটি হাতে তৈরি</t>
  </si>
  <si>
    <t>পানীয়টি একটু অম্লীয় তবে মিষ্টি পাওয়া যাচ্ছে</t>
  </si>
  <si>
    <t>খারাপভাবে ডিজাইন করা ল্যাচ মেকানিজম ঢাকনা সুরক্ষিত করতে ব্যর্থ হয়</t>
  </si>
  <si>
    <t>চা পাতা খুব শক্তভাবে ঘূর্ণিত ছিল সঠিকভাবে খাড়া হওয়া রোধ করে</t>
  </si>
  <si>
    <t>আইটেমটি সাধারণভাবে দেখতে হয়েছে</t>
  </si>
  <si>
    <t>দামের তুলনায় কিছু টুকরো অনুপস্থিত</t>
  </si>
  <si>
    <t>স্মার্ট থার্মোস্ট্যাটের টাচস্ক্রিন স্পর্শ করার জন্য প্রতিক্রিয়াশীল নয় একাধিক প্রচেষ্টার প্রয়োজন</t>
  </si>
  <si>
    <t>এই হেয়ারড্রায়ারটি খুব দ্রুত কাজ করে</t>
  </si>
  <si>
    <t>ছোট পাত্রে সব জিনিস কিন্তু কিছু টুকরা অনুপস্থিত</t>
  </si>
  <si>
    <t>এটি আমার চোখের মেকআপকে পুরোপুরি ট্রান্সফর্ম করে</t>
  </si>
  <si>
    <t>পোশাকটিতে একটি অদ্ভুত রাসায়নিক গন্ধ ছিল যা বেশ কয়েক দিন ধরে এটি প্রচার করার পরেও অব্যাহত ছিল</t>
  </si>
  <si>
    <t>এটি গলা ব্যথা কমাতে কার্যকর</t>
  </si>
  <si>
    <t>আকার গ্রহণযোগ্য বিশেষ কিছু নয়</t>
  </si>
  <si>
    <t xml:space="preserve"> চ্যাসিস সহজেই আঙ্গুলের ছাপ আকর্ষণ করে এবং দাগ পড়ে যার জন্য ঘন ঘন পরিষ্কারের প্রয়োজন হয়</t>
  </si>
  <si>
    <t>ওভেনের টাইমার বীপ করে না রান্না করার সময় নির্দেশ করতে পারে না</t>
  </si>
  <si>
    <t>এই কেটলি দ্রুত পানি গরম করে</t>
  </si>
  <si>
    <t>আঙ্গুল দিয়ে টিপলে আওয়াজ হয় কিন্তু সবসময় কাজ করে না</t>
  </si>
  <si>
    <t>হেয়ার স্প্রে অগ্রভাগ ত্রুটিপূর্ণ অসমভাবে পণ্য স্প্রে করে এবং এটি নষ্ট করে</t>
  </si>
  <si>
    <t>এটি স্পেস সেভার কিন্তু সেরা নয়</t>
  </si>
  <si>
    <t>খুব ভালো লাগল শুনে</t>
  </si>
  <si>
    <t>স্পোর্টস ট্রাউজার আরামদায়ক কিন্তু পকেট নেই</t>
  </si>
  <si>
    <t>গুণমানটি সাধারণ</t>
  </si>
  <si>
    <t>ওভেনের ফাংশনগুলি ব্যবহার করা সহজ</t>
  </si>
  <si>
    <t xml:space="preserve"> রান্নার নির্দেশাবলী অস্পষ্ট এবং অনুসরণ করা কঠিন যা ট্রায়াল এবং ত্রুটির দিকে পরিচালিত করে</t>
  </si>
  <si>
    <t>অস্থির ভিত্তির কারণে ধারকটি সহজেই টিপ হয়ে যায়</t>
  </si>
  <si>
    <t>ওয়্যারলেস ব্যাকআপ ক্যামেরাটি গাড়ির পিছনে দেখে তবে ইনস্টলেশন জটিল</t>
  </si>
  <si>
    <t>ল্যাপটপের কীবোর্ড টাইপ করার জন্য খুব আরামদায়ক</t>
  </si>
  <si>
    <t>এই সফটওয়্যারটি ইনস্টল করা খুব সহজ এবং দ্রুত</t>
  </si>
  <si>
    <t>প্রতিদিন বিকেলে আমি এটা খেতে খুব পছন্দ করি</t>
  </si>
  <si>
    <t xml:space="preserve">  একটি আনফ্ল্যাটারিং সিলুয়েট যে   সব ভুল এলাকায় জোর দেওয়া ছিল</t>
  </si>
  <si>
    <t xml:space="preserve"> এলইডি সূচকটি খুব উজ্জ্বল বিশেষ করে অন্ধকার ঘরে অস্বস্তি সৃষ্টি করে</t>
  </si>
  <si>
    <t>খুব সহজ স্টোরেজ</t>
  </si>
  <si>
    <t>জেবিএল ভাইব বাডস ব্লুটুথ আছে তবে সব সময় না</t>
  </si>
  <si>
    <t>টাকার জন্য চমৎকার ক্যামেরা সিস্টেম</t>
  </si>
  <si>
    <t>এটি জলে টিকে থাকবে কিনা তা নিশ্চিত নয়</t>
  </si>
  <si>
    <t>খুব ভালো তবে দামটা একটু বেশি মনে হয়েছে</t>
  </si>
  <si>
    <t>প্লাস্টিকের হওয়ায় শেলফটি পানিতে কোনো ক্ষতি হয় না</t>
  </si>
  <si>
    <t>নরম তবে অতিরিক্ত নরম নয়</t>
  </si>
  <si>
    <t>নাইট মোডে এই এসি এত নিশব্দে চলে যে আমি আরামে ঘুমাতে পারি</t>
  </si>
  <si>
    <t>অ্যাক্রাইলিক পেইন্টিংয়ের জন্য ব্রাশগুলি ব্যবহার করা হয়</t>
  </si>
  <si>
    <t>ফোনটির ওজন একটু বেশি মনে হয়</t>
  </si>
  <si>
    <t>পাওয়ার ব্যাঙ্কের কেসিং চার্জ করার সময় উষ্ণ হয়ে যায় সম্ভাব্যভাবে এর জীবনকাল হ্রাস করে</t>
  </si>
  <si>
    <t>চেয়ারগুলোর এরগনোমিক ডিজাইন দীর্ঘক্ষণ বসার জন্য আদর্শ</t>
  </si>
  <si>
    <t>কার্যকারিতা গড়</t>
  </si>
  <si>
    <t>প্লাস্টিকের ফুলটি কখনও মরে যায় না সবসময় প্রাণবন্ত থাকে</t>
  </si>
  <si>
    <t>রঙ একটি বর্ধিত সময়ের জন্য সামঞ্জস্যপূর্ণ থাকে</t>
  </si>
  <si>
    <t>ব্লাশ প্যাচা এবং মিশ্রিত করা কঠিন গালে দাগ পড়ে</t>
  </si>
  <si>
    <t>এই প্লাস্টিকের বুকশেলফটি ব্যবহার করার পর থেকে ঘরের অর্গানাইজেশন অনেক ভালো হয়েছে</t>
  </si>
  <si>
    <t>কম্বলের ওজন এবং নরমত্ব শীতে আরাম দেয়</t>
  </si>
  <si>
    <t>জুতার সোল খুবই নরম এবং আরামদায়ক</t>
  </si>
  <si>
    <t>মপটি দিয়ে কাজ করার সময় পানি ছড়ায় না</t>
  </si>
  <si>
    <t>স্বস্তিকর কিন্তু শব্দ অস্পষ্ট</t>
  </si>
  <si>
    <t>তাদের উচ্চ স্তরের শক্তি নেই বলে মনে হয়</t>
  </si>
  <si>
    <t>ছেলেটি তার নতুন খেলনা নিয়ে অনেক খুশি</t>
  </si>
  <si>
    <t>এটি জল প্রতিরোধী বৈশিষ্ট্যযুক্ত হতে পারে</t>
  </si>
  <si>
    <t>পণ্যের বিজ্ঞাপন বৈশিষ্ট্য বিভ্রান্তিকর বা অতিরঞ্জিত ছিল</t>
  </si>
  <si>
    <t>রঙ সাদাসিধা নকশার বিশেষ কোনো বৈশিষ্ট্য নেই</t>
  </si>
  <si>
    <t>ঘড়িটি সঠিক সময় দেখায়</t>
  </si>
  <si>
    <t>মূল্য অনুযায়ী গুণমান মোটামুটি সন্তোষজনক মনে হয়েছে</t>
  </si>
  <si>
    <t>সহজে সেট আপ এবং ক্লিয়ার ভিডিও ও অডিও তবে সব প্রয়োজন পূরণ করে না</t>
  </si>
  <si>
    <t>এয়ারট্যাগকে সুরক্ষা দেয় এবং কী এবং জিনিসগুলির সাথে সংযুক্ত করা সহজ করে তোলে</t>
  </si>
  <si>
    <t>উপাদানগুলি ব্যবহারের পরে মাথার ত্বকে জ্বালা এবং চুলকানি সৃষ্টি করে</t>
  </si>
  <si>
    <t>মাসিকের সময় এটি ব্যবহার করে আমি সম্পূর্ণ সুরক্ষিত এবং নিশ্চিন্ত অনুভব করি</t>
  </si>
  <si>
    <t>হেয়ার সিরাম স্ট্রেন্ডে একটি আঠালো অবশিষ্টাংশ ছেড়ে যায় যা সারা দিন ময়লা এবং জমাট আকর্ষণ করে</t>
  </si>
  <si>
    <t>আকর্ষণীয় হলেও কিছু অংশ সহজেই হারানো দুখজনক</t>
  </si>
  <si>
    <t xml:space="preserve">গুণমান এবং নির্ভরযোগ্যতা সেরা </t>
  </si>
  <si>
    <t xml:space="preserve">  নকশা অবাস্তব বিশ্রীভাবে পা রাখা যা লেগরুম এবং ব্যবহারযোগ্যতা সীমিত করে</t>
  </si>
  <si>
    <t>এটি অনলাইনে দেখানো আকারের তুলনায় কিছুটা ছোট</t>
  </si>
  <si>
    <t>রঙগুলি দীর্ঘস্থায়ী অনেকদিন ব্যবহার করা যাবে</t>
  </si>
  <si>
    <t>বিভিন্ন আকারে পাওয়া যায় তবে রঙের বৈচিত্র্য কম</t>
  </si>
  <si>
    <t>এই জুতাগুলি দীর্ঘক্ষণ হাঁটার জন্য আরামদায়ক</t>
  </si>
  <si>
    <t>কার্যকরী এবং গাড়ী ব্যবহার মহান</t>
  </si>
  <si>
    <t xml:space="preserve">  ওয়াশের একটি অদ্ভুত টেক্সচার ছিল এবং ভালভাবে ফেটেনি</t>
  </si>
  <si>
    <t>সামগ্রিকভাবে ক্রয়ের সাথে খুশি</t>
  </si>
  <si>
    <t>সোলার লাইটগুলি রাতের বাগানের জন্য চমৎকার</t>
  </si>
  <si>
    <t>শব্দবাতিলকারী হেডফোনগুলির ব্যাটারি লাইফ খারাপ দ্রুত মারা যায়</t>
  </si>
  <si>
    <t>ঠিক যা খুঁজছিলাম</t>
  </si>
  <si>
    <t>পণ্যের গুণমান গ্রহণযোগ্য তবে কিছু উপাদানের অভাব রয়েছে</t>
  </si>
  <si>
    <t>ডাইনিং টেবিলের উপরের অংশ উচ্চমানের ও সহজে পরিষ্কার করা যায়</t>
  </si>
  <si>
    <t>ওয়ারড্রোবটি একটি মৃদু গন্ধ নির্গত করে যা দুর্বল বায়ুচলাচল এবং ভিতরে সম্ভাব্য ছাঁচ বৃদ্ধির ইঙ্গিত দেয়</t>
  </si>
  <si>
    <t>পানীয়টা খুব মিষ্টি তবে খুব বেশি ঠাণ্ডা হলে ভালো লাগেনি</t>
  </si>
  <si>
    <t>স্বাদ প্রোফাইলটি নাট এবং ক্যারামের স্বাদ উপস্থাপন করে</t>
  </si>
  <si>
    <t>প্রতিদিনের ব্যবহারযোগ্য কিন্তু খুব মজবুত নয়</t>
  </si>
  <si>
    <t xml:space="preserve"> বোতল নির্বীজনকারীর গরম করার উপাদানটি ত্রুটিপূর্ণ যা অসম্পূর্ণ জীবাণুমুক্তির দিকে পরিচালিত করে</t>
  </si>
  <si>
    <t>সীল ছাড়াই এসেছে সত্যতা সম্পর্কে সন্দেহ উত্থাপন করে</t>
  </si>
  <si>
    <t>আলমারির হ্যান্ডেলগুলো ধরতে আরামদায়ক ও দেখতে সুন্দর</t>
  </si>
  <si>
    <t>ভালো প্রোডাক্টটা দেওয়ার জন্য আপনারা যারা আজকে কিছু কিছু পণ্য কিনে জিততে পারেন</t>
  </si>
  <si>
    <t>পোশাকটির একটি শক্ত কলার ছিল যা ঘাড়ের বিরুদ্ধে ঘষে এবং অস্বস্তি সৃষ্টি করে</t>
  </si>
  <si>
    <t>বেশি চাপ দিলে স্ক্রিন ক্ষতিগ্রস্ত হতে পারে</t>
  </si>
  <si>
    <t>বহনযোগ্য কিন্তু পড়ে গেলে ভেঙে যাওয়ার সম্ভাবনা বেশি</t>
  </si>
  <si>
    <t>দামের জন্য ভাল মানের কিছুটা গড়</t>
  </si>
  <si>
    <t>দামের জন্য শালীন একেবারেই  গুণ নয়</t>
  </si>
  <si>
    <t>শিল্পমানের ডিজাইন</t>
  </si>
  <si>
    <t>শুধু গড় উল্লেখযোগ্য কিছুই না</t>
  </si>
  <si>
    <t>এক মাপ সব ফিট করে হিসাবে বিজ্ঞাপন দেওয়া সত্ত্বেও গয়নাগুলি খুব টাইট এবং পরতে অস্বস্তিকর ছিল যার ফলে ব্যথা এবং অস্বস্তি হয়েছিল</t>
  </si>
  <si>
    <t>উদ্ভিজ্জ ক্রিস্পার ফল বেশি দিন তাজা রাখে না যা অকালে নষ্ট হয়ে যায়</t>
  </si>
  <si>
    <t>ফেব্রিকের সহজে ছিনতাই এবং টানার প্রবণতা কুৎসিত দৌড় এবং অশ্রুতে পরিণত হয় যা পোশাকের জীবনকালকে হ্রাস করে</t>
  </si>
  <si>
    <t>রঙটি কালো যা সাধারণ কিন্তু ব্যবহারিক</t>
  </si>
  <si>
    <t>শিশুর স্মৃতিশক্তি বাড়াতে সাহায্য করে তবে খুব সহজ স্তরে</t>
  </si>
  <si>
    <t>পুষ্টিগুণ ভালো আরও উন্নত হতে পারে</t>
  </si>
  <si>
    <t>পকেট সাইজের মেটাল ডিটেক্টর ধাতু খুঁজে পায় তবে গভীরতা সীমিত</t>
  </si>
  <si>
    <t>জুতাগুলিতে পর্যাপ্ত কুশনের অভাব হয় যার ফলে পায়ে এবং গোড়ালিতে ব্যথা হয় বিশেষ করে শক্ত পৃষ্ঠে</t>
  </si>
  <si>
    <t>অডিও পারফরম্যান্স গ্রহণযোগ্য মনে হয়েছে</t>
  </si>
  <si>
    <t>মূল্যের জন্য গ্রহণযোগ্য তবে দীর্ঘমেয়াদী ব্যবহারের জন্য উপযুক্ত নয়</t>
  </si>
  <si>
    <t>কানের কুঁড়ি ভালো তবে মাঝে মাঝে সমস্যা দেখা দেয়</t>
  </si>
  <si>
    <t>বিভিন্ন ঋতুতে একই রকম সুন্দর দেখায়</t>
  </si>
  <si>
    <t>প্রতিবেশীরা তেমন কোনো মন্তব্য করেনি</t>
  </si>
  <si>
    <t>ওয়্যারলেস মাউসের কার্সার অনিয়মিতভাবে লাফ দেয় সুনির্দিষ্ট আন্দোলনকে অসম্ভব করে তোলে</t>
  </si>
  <si>
    <t>আলহামদুলিল্লাহ পন্যর কোয়ালিটি অনেক ভাল</t>
  </si>
  <si>
    <t>স্মার্ট ফ্লাওয়ার পটটি গাছকে পানি দেয় তবে অ্যাপ ব্যবহার জটিল</t>
  </si>
  <si>
    <t>কীবোর্ডের মাঝে আটকে থাকা ময়লা পরিষ্কার করতে অসুবিধা হতে পারে</t>
  </si>
  <si>
    <t>পেইন্টিং সেটে পর্যাপ্ত পরিমাণ ক্যানভাস অন্তর্ভুক্ত ছিল না</t>
  </si>
  <si>
    <t>সহজেই ভাঙতে পারে</t>
  </si>
  <si>
    <t>আমাদের স্কুলের পরিবেশ সবসময় শিক্ষামূলক</t>
  </si>
  <si>
    <t>খাবারের স্বাদ প্রভাবিত করে না কিন্তু উপস্থাপনা আকর্ষণীয় নয়</t>
  </si>
  <si>
    <t>অতিরিক্ত ব্যবহারে প্লাস্টিক নষ্ট হতে পারে</t>
  </si>
  <si>
    <t>উপাদানের শ্বাসপ্রশ্বাসের অভাব হয় যখন পরা হয় তখন অস্বস্তি হয়</t>
  </si>
  <si>
    <t xml:space="preserve">  সস্তায় তৈরি দেখায়</t>
  </si>
  <si>
    <t>পোর্টেবল স্পিকারের সাউন্ড কোয়ালিটি সময়ের সাথে সাথে খারাপ হয়ে যায় মফ্ড হয়ে যায়</t>
  </si>
  <si>
    <t>রঙ বেশ সুন্দর কিন্তু স্টিচিং ভালো হয়নি</t>
  </si>
  <si>
    <t>পাওয়ার ব্যাঙ্কের চার্জিং পোর্টগুলি নির্দিষ্ট কিছু ডিভাইসের সাথে সামঞ্জস্যপূর্ণ নয় যার ফলে সামঞ্জস্যের সমস্যা দেখা দেয়</t>
  </si>
  <si>
    <t xml:space="preserve">আমার খুবি ভাল লেগেছে </t>
  </si>
  <si>
    <t>প্যাডের রঙটা নিরপেক্ষ</t>
  </si>
  <si>
    <t>চেয়ারের আর্মরেস্ট খুব মজবুত এবং আরামদায়ক</t>
  </si>
  <si>
    <t>দাম অনুযায়ী এটি একটি বেসিক পণ্য</t>
  </si>
  <si>
    <t xml:space="preserve">  পৃষ্ঠটি তাপ প্রতিরোধী নয় এটি গরম বস্তুর ক্ষতি এবং পোড়া চিহ্ন রেখে যাওয়ার জন্য সংবেদনশীল করে তোলে</t>
  </si>
  <si>
    <t>ওজন হালকা কিন্তু এর কারণে একটু ভঙ্গুর মনে হয়</t>
  </si>
  <si>
    <t>এর স্বাদ আমাকে মনে করিয়ে দেয় পাহাড়ি এলাকার কথা</t>
  </si>
  <si>
    <t>রঙের বৈচিত্র্য খুবই চমৎকার</t>
  </si>
  <si>
    <t>এটির রেস্পন্স ও অনেক ভালো পেয়েছি এটির রেটিংস দিতে গেলে আমি  দিবো আপনারা নিসন্দেহে নিতে পারেন</t>
  </si>
  <si>
    <t>সাবপার কোয়ালিটি প্রত্যাশা পূরণ করে না</t>
  </si>
  <si>
    <t>এর মোলায়েমতা এবং কোমলতা সত্যিই প্রশংসনীয়</t>
  </si>
  <si>
    <t>গুণমান খুব একটা ভালো নাও হতে পারে</t>
  </si>
  <si>
    <t>দামের তুলনায় গুণমান চমৎকার</t>
  </si>
  <si>
    <t>আপগ্রেডটি চিত্তাকর্ষক তবে নিখুঁত নয়</t>
  </si>
  <si>
    <t>পুতুলটির চুল আঁচড়ানো যায় যা আমার মেয়ে খুব উপভোগ করে সে ঘণ্টার পর ঘণ্টা পুতুলের চুলে বিভিন্ন স্টাইল করে</t>
  </si>
  <si>
    <t>কনসিলারটি দ্রুত অক্সিডাইজ করে সারাদিনে বেশ কয়েকটি শেডকে গাঢ় করে</t>
  </si>
  <si>
    <t>আমি এই টুথপেস্ট এবং ব্রাশ ব্যবহার করে সন্তুষ্ট তবে অন্য কিছু চেষ্টা করতে চাই</t>
  </si>
  <si>
    <t>প্যাকেজিং মোটামুটি কিন্তু ভাঙার ঝুঁকি থাকতে পারে</t>
  </si>
  <si>
    <t>একটি সার্ভিং চামচ অন্তর্ভুক্ত করা যেতে পারে</t>
  </si>
  <si>
    <t>কাজ করে কিন্তু সুপার ভালো নয়</t>
  </si>
  <si>
    <t>অমসৃণ সেলাই এবং সমাপ্তিতে স্পষ্ট কারুকাজ</t>
  </si>
  <si>
    <t>কফি গ্রাইন্ডারটি দানা পেষণ করে তবে আওয়াজ বেশি</t>
  </si>
  <si>
    <t>পোর্টেবল ব্লেন্ডারের মোটর দ্রুত গরম হয়ে যায় অপ্রত্যাশিতভাবে বন্ধ হয়ে যায়</t>
  </si>
  <si>
    <t>শিশুটি প্রতিদিন সকালে খেতে বসে</t>
  </si>
  <si>
    <t>প্যাকেজিংটি সঠিকভাবে রিসিল হয়নি যার ফলে গন্ধ এবং গন্ধ নষ্ট হয়ে গেছে</t>
  </si>
  <si>
    <t>অপর্যাপ্ত বায়ুচলাচল পণ্যটি অতিরিক্ত গরম করে</t>
  </si>
  <si>
    <t>ব্যবহার করা সহজ এবং আরামদায়ক কিন্তু সব কানের দুলের জন্য উপযুক্ত নয়</t>
  </si>
  <si>
    <t>থলিটি খুব পাতলা ছিল যার ফলে চা পাশ দিয়ে ছিটকে পড়ছিল</t>
  </si>
  <si>
    <t>ননকমেডোজেনিক হওয়ার দাবি সত্ত্বেও মুখের তেল ছিদ্র বন্ধ করে এবং ব্রেকআউটকে আরও বাড়িয়ে দেয়</t>
  </si>
  <si>
    <t>তীক্ষ্ণতা মাঝারি</t>
  </si>
  <si>
    <t>পাতলা উপাদান সস্তা এবং নিষ্পত্তিযোগ্য অনুভূত</t>
  </si>
  <si>
    <t>এই বডি ওয়াশ ব্যবহারে আপনি অনুভব করবেন লাবণ্য</t>
  </si>
  <si>
    <t>অস্থির কাপড় আমার পরে অনেক আরাম লাগছে</t>
  </si>
  <si>
    <t>পরিবেশবান্ধব উপাদান সম্পর্কে তথ্য কিছুটা অনুপস্থিত</t>
  </si>
  <si>
    <t>খুবই মজার এবং স্বাদযুক্ত</t>
  </si>
  <si>
    <t>ব্যবহারের পর ময়লা হলে ধুয়ে নেওয়া যায়</t>
  </si>
  <si>
    <t>ব্লাশটি খুব পিগমেন্টেড যার ফলে মাত্র একটি সোয়াইপের সাথে একটি ক্লাউনের মতো চেহারা হয়</t>
  </si>
  <si>
    <t>পার্টির জন্য উপযোগী হতে পারে</t>
  </si>
  <si>
    <t>লেখকের শব্দচয়ন খুব সুন্দর</t>
  </si>
  <si>
    <t>একটি অগোছালো ব্যাপার ঢালা ড্রিবলিং spout তৈরি</t>
  </si>
  <si>
    <t>পর্যাপ্ত পরিমাণে পানি ধারণ করবে আশা করি</t>
  </si>
  <si>
    <t>কুশনের কাপড়টি নরম এবং টেকসই</t>
  </si>
  <si>
    <t xml:space="preserve">  স্ট্র্যাপগুলি সারা শরীরে আরামদায়কভাবে পরার জন্য খুব ছোট যার ফলে স্ট্রেন হয়</t>
  </si>
  <si>
    <t>পেইন্ট রং একটি পাতলা ধারাবাহিকতা ছিল চলমান প্রবণ</t>
  </si>
  <si>
    <t>শরীরের স্ক্রাবটি খুব ঘষিয়া তুলিয়াছিল যা জ্বালা সৃষ্টি করত</t>
  </si>
  <si>
    <t>মেয়েটি তার বন্ধুদের সাথে খেলার সময় অনেক মজা করে</t>
  </si>
  <si>
    <t>শ্যাম্পু প্রাকৃতিক তেল ছিনিয়ে নেয় আমার চুল শুষ্ক এবং ভঙ্গুর করে দেয়</t>
  </si>
  <si>
    <t>ক্যামেরার ব্যবহারকারী ম্যানুয়ালটি খারাপভাবে লেখা এবং বৈশিষ্ট্য এবং ফাংশনগুলির ব্যাপক ব্যাখ্যার অভাব রয়েছে</t>
  </si>
  <si>
    <t>খারাপ না তবে নিখুঁত নয়</t>
  </si>
  <si>
    <t>আমি দেখেছি আমার মেয়ে পুতুলের যত্ন নেওয়ার মাধ্যমে দায়িত্বশীলতা শিখছে</t>
  </si>
  <si>
    <t>অ্যাপল এয়ার ট্যাগ কার্ড কেস কাজ করে</t>
  </si>
  <si>
    <t>পরিচ্ছন্নতার অভাব স্বাস্থ্যবিধি উদ্বেগ</t>
  </si>
  <si>
    <t>তাপ অনেক বেশি নয়</t>
  </si>
  <si>
    <t xml:space="preserve">  ওয়াশ আমার ত্বকে একটি অবশিষ্টাংশ রেখেছিল যা অস্বস্তিকর বোধ করেছিল</t>
  </si>
  <si>
    <t>প্রাচীর মাউন্টিং হার্ডওয়্যার ভালোভাবে কাজ করে</t>
  </si>
  <si>
    <t>পাজামার কাপড়টি খুব নরম এবং আরামদায়ক</t>
  </si>
  <si>
    <t>অনেক ভাল লেগেছে উচ্চ মান অনেক</t>
  </si>
  <si>
    <t>স্কুলের শিক্ষকেরা সবসময় সাহায্য করে</t>
  </si>
  <si>
    <t>মানসম্পন্ন চামড়ার চাদর তবে ব্যতিক্রমী নয়</t>
  </si>
  <si>
    <t>বুকশেলফটি শিশুদের রুমের জন্য খুবই উপযোগী</t>
  </si>
  <si>
    <t>কিছুদিন আগে আমার বন্ধুরা যখন আমার বাসায় আসে</t>
  </si>
  <si>
    <t xml:space="preserve"> দ্রুত কানেক্ট হয় অডিও কোয়ালিটি খুব ভালো</t>
  </si>
  <si>
    <t xml:space="preserve"> টার্নটেবল মোটর ঘোরানোর সময় একটি নাকাল শব্দ নির্গত করে যা যান্ত্রিক ব্যর্থতা নির্দেশ করে</t>
  </si>
  <si>
    <t>সময়ের সাথে সাথে পোশাক স্থিতিস্থাপকতা হারায়</t>
  </si>
  <si>
    <t>মেকআপ রিমুভারটি ত্বকে জ্বালাপোড়া করে এবং একটি চর্বিযুক্ত অবশিষ্টাংশ ফেলে দেয়</t>
  </si>
  <si>
    <t>পাত্রে সিলের অভাব ছিল সত্যতা সন্দেহে</t>
  </si>
  <si>
    <t>কারিগরের কাজ আশা অনুযায়ী হতে পারে বা নাও হতে পারে</t>
  </si>
  <si>
    <t xml:space="preserve">ধারালো প্রান্তে অস্বস্তিকরভাবে আমার ঠোঁট জ্বলছে </t>
  </si>
  <si>
    <t>সেলফি স্টিকটি কাজ করে তবে একটু ভারী মনে হয়</t>
  </si>
  <si>
    <t>অপর্যাপ্ত গ্রাহক সমর্থন আমার উদ্বেগের সমাধান করতে ব্যর্থ হয়েছে</t>
  </si>
  <si>
    <t>ডেস্ক অর্গানাইজারটি জিনিস গুছিয়ে রাখে তবে প্লাস্টিকের গুণমান খারাপ</t>
  </si>
  <si>
    <t>হেয়ার মাস্ক মেরামতের প্রতিশ্রুতি দিয়েছিল কিন্তু আমার চুলকে খড়ের মতো এবং নিয়ন্ত্রণের অযোগ্য বোধ করে রেখেছিল</t>
  </si>
  <si>
    <t>বিকৃত নীচে সমতল পৃষ্ঠে অস্থিরতা সৃষ্টি করেছে</t>
  </si>
  <si>
    <t>প্লাস্টিকের মান গড় স্তরে রয়েছে</t>
  </si>
  <si>
    <t>ওয়ার্ডরোবের অভ্যন্তরীণ আলো ম্লান এবং অপর্যাপ্ত এটি ভিতরে সঞ্চিত আইটেমগুলি দেখতে চ্যালেঞ্জিং করে তোলে</t>
  </si>
  <si>
    <t>ওয়্যারলেস হেডফোন মোটামুটি ঠিক</t>
  </si>
  <si>
    <t>ঝাঁকুনি দিলে শব্দ হয় না</t>
  </si>
  <si>
    <t>বিভিন্ন সেটিং অপশন পাওয়া যায়</t>
  </si>
  <si>
    <t>ওয়াটারপ্রুফ ফোন কেস থেকে পানি বের হয় ফোনের ক্ষতি হয়</t>
  </si>
  <si>
    <t>নতুন বইয়ের গল্পগুলি খুবই আকর্ষণীয়</t>
  </si>
  <si>
    <t>ওয়েদার সিলিংয়ের অভাব ক্যামেরাকে বাইরের পরিবেশে ক্ষতির জন্য ঝুঁকিপূর্ণ করে তোলে</t>
  </si>
  <si>
    <t>নতুন ট্রেন্ডের সাথে সামঞ্জস্যপূর্ণ</t>
  </si>
  <si>
    <t>এই বেডশীটটির ব্যবহার অত্যন্ত সহজ এবং আরামদায়ক</t>
  </si>
  <si>
    <t>ভবিষ্যত গ্যাজেটটিতে সমস্ত ঘণ্টা এবং বাঁশি ছিল কিন্তু ঘন ঘন ত্রুটি এবং সফ্টওয়্যার বাগ সহ নির্ভরযোগ্যতার দিক থেকে কম পড়েছিল৷</t>
  </si>
  <si>
    <t>চায়ের একটি মাছের গন্ধ ছিল যা দূষণ বা খারাপ স্টোরেজ পরিস্থিতি নির্দেশ করে</t>
  </si>
  <si>
    <t>হিমায়িত নৈশভোজে একটি অদ্ভুত কৃত্রিম স্বাদ ছিল এবং উত্তপ্ত হলে গন্ধ বের হয়</t>
  </si>
  <si>
    <t>চুলের পোমেড আমার চুলের স্টাইলকে ঠিক রাখে না এবং আমার চুলকে সমতল দেখায়</t>
  </si>
  <si>
    <t xml:space="preserve">এলইডি লাইটটি অনেক শক্তিশালী তবে কিছু সময় পর গরম হতে পারে </t>
  </si>
  <si>
    <t>দামের সাথে মানের সামঞ্জস্য আছে বলা যায়</t>
  </si>
  <si>
    <t>এই সস্তায় তৈরি অতিরিক্ত দামের আইটেমটি এড়িয়ে চলুন</t>
  </si>
  <si>
    <t>এটি দেখতে মোটামুটি তবে ডিজাইনে নতুনত্ব নেই</t>
  </si>
  <si>
    <t xml:space="preserve"> ক্যামেরা কোয়ালিটি আশানুরূপ অনেক খুশি</t>
  </si>
  <si>
    <t>পোশাকটি গড় মানের বিশেষ কিছু নয়</t>
  </si>
  <si>
    <t>দেখতে বেশ সুন্দর এবং হাতে নেওয়াতে একধরনের প্রিমিয়াম ফিলিং আসছে</t>
  </si>
  <si>
    <t>বুকশেলফটি যেকোনো স্থানে মানানসই</t>
  </si>
  <si>
    <t>পকেটসাইজ রেডিয়েশন ডিটেক্টরটি বিকিরণ মাপে তবে সীমা কম</t>
  </si>
  <si>
    <t>বইয়ের আলমারিটির উপরের অংশে থাকা লাইটিং সিস্টেম খুব সুবিধাজনক</t>
  </si>
  <si>
    <t>নকশাটি পুরানো ধাঁচের তবে নতুন কিছু উপাদান  আছে</t>
  </si>
  <si>
    <t xml:space="preserve">  উপাদানটি দাবি অনুযায়ী জলরোধী নয় যার ফলে ভিতরের জিনিসগুলি বৃষ্টিতে ভিজে যায়৷</t>
  </si>
  <si>
    <t>পেইন্টিং সেটে সঠিক ব্রাশের কৌশলগুলির উপর যথেষ্ট তথ্য অন্তর্ভুক্ত করা হয়নি</t>
  </si>
  <si>
    <t>চরিত্রগুলো খুবই জীবন্ত</t>
  </si>
  <si>
    <t>নেকলাইন খুব কম খুব বেশি দেখায়</t>
  </si>
  <si>
    <t>ইউভি স্টেরিলাইজার ব্যবহার করার সময় একটি বাজে গন্ধ নির্গত করে অপ্রীতিকর</t>
  </si>
  <si>
    <t>বালিশগুলির ভেতরের উপাদান এমনভাবে বিন্যস্ত যে এগুলি কখনও একপাশে জমা হয়ে যায় না</t>
  </si>
  <si>
    <t>ফ্রিজের দরজার দোল খুব চওড়া সরু রান্নাঘরে যাতায়াত বাধাগ্রস্ত করে</t>
  </si>
  <si>
    <t>প্রতিবার এই কফি পান করে আমি অনুভব করি নতুন এক অনুভূতি</t>
  </si>
  <si>
    <t>ইলেকট্রনিক ফেসিয়াল পোর এনালাইজার ত্বক পরীক্ষা করে তবে ব্যাটারি দ্রুত শেষ হয়</t>
  </si>
  <si>
    <t>মুখে দিলে গলে যায় কিন্তু মিহি হয়ে চিবানোর মজাও দেয়</t>
  </si>
  <si>
    <t>কিটটির প্রতিটি প্রোডাক্ট মসৃণ ফিনিশিং দেয়</t>
  </si>
  <si>
    <t>ত্বকের প্রাকৃতিক সৌন্দর্য বাড়ায় এই বডি ওয়াশ</t>
  </si>
  <si>
    <t>নিম্ন কম্পনও খুব স্পষ্টভাবে অনুভব করা যায় যা অন্য স্পিকারে পাওয়া যায় না</t>
  </si>
  <si>
    <t>এটি মেকআপ পণ্যের গুণমান বাড়ায়</t>
  </si>
  <si>
    <t>ক্যানভাসে দৃশ্যমান ক্রিজ এবং ভাঁজ ছিল</t>
  </si>
  <si>
    <t>অতিরিক্ত ঘষার ফলে পর্দায় দাগ পড়তে পারে</t>
  </si>
  <si>
    <t>বইয়ের আলমারিটির সাথে দেওয়া ইনস্ট্রাকশন ম্যানুয়াল খুব সহজবোধ্য ছিল</t>
  </si>
  <si>
    <t>এটি আরও ভালো হতে পারত</t>
  </si>
  <si>
    <t xml:space="preserve">চমৎকার শিপিং </t>
  </si>
  <si>
    <t>কাপগুলির একটি তীক্ষ্ণ টেক্সচার ছিল যা নিম্নমানের কাদামাটির পরামর্শ দেয়</t>
  </si>
  <si>
    <t xml:space="preserve">  কুয়াশা একটি ত্রুটিপূর্ণ স্প্রেয়ার ছিল যা সর্বত্র squirted</t>
  </si>
  <si>
    <t>একটি চুম্বক সঙ্গে সংযুক্ত করা যেতে পারে কিন্তু হোল্ড খুব শক্তিশালী নয়</t>
  </si>
  <si>
    <t>পণ্যের রং দ্রুত বিবর্ণ হয়ে গেছে দেখতে নিস্তেজ এবং পরা</t>
  </si>
  <si>
    <t>ফ্রিজ মাঝে মাঝে জোরে আওয়াজ করে বাড়ির শান্তি নষ্ট করে</t>
  </si>
  <si>
    <t>শিশুটি নতুন খেলনাটি পেয়ে অনেক খুশি</t>
  </si>
  <si>
    <t>চায় একটি রাসায়নিক গন্ধ ছিল যা দূষণ বা অনুপযুক্ত প্রক্রিয়াকরণের পরামর্শ দেয়</t>
  </si>
  <si>
    <t>গুণমান গড় স্তরের এবং মূল্য যুক্তিসঙ্গত</t>
  </si>
  <si>
    <t>ব্যবহারের পর ঝেড়ে রাখা উচিত</t>
  </si>
  <si>
    <t xml:space="preserve">খাবারের সাথে বা খালি পেটে নেওয়া যায় </t>
  </si>
  <si>
    <t>সোপটি ত্বকের টানটান ভাব বজায় রাখে</t>
  </si>
  <si>
    <t>চাদরটি খুবই টেকসই এবং দীর্ঘস্থায়ী নিয়মিত ব্যবহারের পরও রঙ এবং কাপড়ের গুণমান অক্ষুণ্ণ থাকে</t>
  </si>
  <si>
    <t>পোশাকটির সামনের দিকে একটি বড় দাগ ছিল যা পণ্যের বিবরণে উল্লেখ করা হয়নি</t>
  </si>
  <si>
    <t>রাসায়নিক দ্রব্যের সাথে ব্যবহার এড়ানো উচিত</t>
  </si>
  <si>
    <t>শিশুর ভাষা শিখতে সাহায্য করে কিন্তু শব্দভাণ্ডার সীমিত</t>
  </si>
  <si>
    <t>অনেকে রংয়ের প্রদর্শন হলো</t>
  </si>
  <si>
    <t>মধুটি বিভিন্ন রান্নায় ব্যবহার করা যায়</t>
  </si>
  <si>
    <t>আলমারির কাঠের গন্ধ আমার ঘরে একটি আরামদায়ক পরিবেশ সৃষ্টি করেছে</t>
  </si>
  <si>
    <t>শেলফটির প্রতিটি স্তর পরিষ্কার করা অত্যন্ত সহজ</t>
  </si>
  <si>
    <t>চায়ের মানে বোঝা যায় এর পিছনে রয়েছে দক্ষ চা বিশেষজ্ঞ</t>
  </si>
  <si>
    <t>মেকআপ ব্রাশ ব্যবহার করা আত্মবিশ্বাস বাড়ায়</t>
  </si>
  <si>
    <t>নিখুঁত নয়</t>
  </si>
  <si>
    <t xml:space="preserve"> স্ট্যান্ডের ধারালো প্রান্ত ছিল যা শিশুদের এবং পোষা প্রাণীদের আঘাতের ঝুঁকি তৈরি করে</t>
  </si>
  <si>
    <t>আমি অবশ্যই আবার কিনব</t>
  </si>
  <si>
    <t>কর্ডলেস ফোনের অভ্যর্থনা খারাপ ঘন ঘন কল ড্রপ হয়</t>
  </si>
  <si>
    <t>প্রতিটি ব্যাগ আলাদা ফয়েল প্যাকেটে মোড়ানো</t>
  </si>
  <si>
    <t>বিভিন্ন পশুপাখির শব্দ করে কিন্তু সবগুলো স্পষ্ট নয়</t>
  </si>
  <si>
    <t>সাইজিং ভুলের কারণে হতাশ যার ফলে ফিট হয় না</t>
  </si>
  <si>
    <t>বৈদ্যুতিক রেজারের ব্লেডগুলি আর্দ্রতার সংস্পর্শে আসার পরে মরিচা ধরে কার্যক্ষমতাকে প্রভাবিত করে</t>
  </si>
  <si>
    <t>ফ্রিজের তাপমাত্রার সেটিংস সঠিক নয় ফলে ফ্রিজের বিভাগে হিমায়িত আইটেমগুলি তৈরি হয়</t>
  </si>
  <si>
    <t>ফ্রিজটি ভাঙা কাচের তাক নিয়ে এসেছিল প্রতিস্থাপনের প্রয়োজন ছিল</t>
  </si>
  <si>
    <t>বৈদ্যুতিক কেটলিতে পানি পড়ে কাউন্টারটপে গন্ডগোল হয়</t>
  </si>
  <si>
    <t>বৈদ্যুতিক স্কুটারের হ্যান্ডেলবারের গ্রিপগুলি পিচ্ছিল নিরাপদে ধরা শক্ত</t>
  </si>
  <si>
    <t>ফেনিক্স  থেকে  মূল্যবান</t>
  </si>
  <si>
    <t>দীর্ঘস্থায়ী হওয়ায় পুরনো স্মৃতি মনে করিয়ে দেয়</t>
  </si>
  <si>
    <t xml:space="preserve">  মুখোশের একটি অদ্ভুত গন্ধ ছিল যা আমি পছন্দ করিনি</t>
  </si>
  <si>
    <t>পোশাকটি খুবই সাশ্রয়ী</t>
  </si>
  <si>
    <t>চুলের তেল আমার চুলকে চর্বিযুক্ত দেখায় এবং ময়লা এবং ধুলো আকর্ষণ করে</t>
  </si>
  <si>
    <t>ওয়্যারলেস এবং সুবিধাজনক তবে মাঝে মাঝে সংযোগ সমস্যা হতে পারে</t>
  </si>
  <si>
    <t>ঘরের আর্দ্রতা বজার রাখতে হবে</t>
  </si>
  <si>
    <t>গন্ধহীন যা কিছু বুঝাই যায় না</t>
  </si>
  <si>
    <t>চমৎকার ক্যামেরা</t>
  </si>
  <si>
    <t>শিশুটি তার খেলনা দিয়ে অনেক মজা করে</t>
  </si>
  <si>
    <t>আমাদের অফিসে সবসময় কাজের জন্য ভালো পরিবেশ থাকে</t>
  </si>
  <si>
    <t>খারাপভাবে নির্মিত বিনিয়োগের যোগ্য নয়</t>
  </si>
  <si>
    <t>রঙগুলি ধোয়া সহজ যা শিশুদের জন্য নিরাপদ</t>
  </si>
  <si>
    <t>ফুলটি ঘরে প্রকৃতির ছোঁয়া এনেছে</t>
  </si>
  <si>
    <t>স্টোরেজ ক্যাপাসিটি প্রচুর যা অনেক ডাটা সংরক্ষণের জন্য উপযুক্ত</t>
  </si>
  <si>
    <t>বেবি প্যাসিফায়ারের স্তনবৃন্ত খুব শক্ত শিশুর মুখের জন্য অস্বস্তি সৃষ্টি করে</t>
  </si>
  <si>
    <t>আঠালো অবশিষ্টাংশ রেখে স্মার্টফোনের কেসের নকশা সহজেই খোসা ছাড়িয়ে যায়</t>
  </si>
  <si>
    <t>মোবাইলটির নেভিগেশন অনেক সহজ</t>
  </si>
  <si>
    <t>ভারী ইউনিট উত্তোলন করা কঠিন ছিল বিশেষ করে যখন পূর্ণ</t>
  </si>
  <si>
    <t>প্রোডাক্টটির বিল্ড কোয়ালিটি চমৎকার সাউন্ড কোয়ালিটিও ভাল</t>
  </si>
  <si>
    <t>গরম বাতাস ব্যবহারকারীর দিকে নির্দেশিত হয়</t>
  </si>
  <si>
    <t>সবাইকে খেতে বলব</t>
  </si>
  <si>
    <t>ওয়াইফাই রাউটারটি দ্রুত ইন্টারনেট সরবরাহ করে</t>
  </si>
  <si>
    <t>দীর্ঘ সময় ধরে ভালো চলে তবে গরম পরিবেশে সমস্যা দেখা দেয়</t>
  </si>
  <si>
    <t>রাতের ঘুমের জন্য এটি সত্যিই দুর্দান্ত</t>
  </si>
  <si>
    <t>শর্ট সার্কিট প্রটেকশন আছে</t>
  </si>
  <si>
    <t>এই কফি আমার কাছে হয়ে উঠেছে একটি বিলাসিতা</t>
  </si>
  <si>
    <t>খুব মিষ্টি</t>
  </si>
  <si>
    <t>মূল্য সাশ্রয়ী কিন্তু মান তেমন ভালো নয়</t>
  </si>
  <si>
    <t>অবশ্যই এখানে সরলীকৃত নেতিবাচক পয়েন্ট রয়েছে</t>
  </si>
  <si>
    <t>নির্ভরযোগ্য এবং সুবিধাজনক</t>
  </si>
  <si>
    <t>আইশ্যাডো প্যালেটে ডুপ্লিকেট শেড রয়েছে যা এর বহুমুখীতা হ্রাস করে</t>
  </si>
  <si>
    <t>অপ্রতুল আকার প্রত্যাশা পূরণ করে না</t>
  </si>
  <si>
    <t>ডাইনিং চেয়ারগুলোর ব্যাক সাপোর্ট এমনভাবে ডিজাইন করা যে দীর্ঘক্ষণ বসা যায়</t>
  </si>
  <si>
    <t>একটি ভাল পোর্টেবল ক্লিপঅন লাইটগুণমান ভালো মান</t>
  </si>
  <si>
    <t>আমার চুল আঁচড়ানোর সময় কোনো ব্যথা অনুভব করি না যা আমার কাছে খুব গুরুত্বপূর্ণ</t>
  </si>
  <si>
    <t>প্রতিফলন স্পষ্ট তবে খুব উজ্জ্বল নয়</t>
  </si>
  <si>
    <t>ওয়াইফাই কানেক্টিভিটি খুবই উপকারী আমি এখন গুগল অ্যাসিস্ট্যান্ট দিয়েও এসি নিয়ন্ত্রণ করতে পারি</t>
  </si>
  <si>
    <t>পাজামাটি শীতের জন্য খুব আরামদায়ক</t>
  </si>
  <si>
    <t>দ্রুত শীতল করার ক্ষমতা রয়েছে</t>
  </si>
  <si>
    <t>সোপটি ত্বকের মসৃণতা বৃদ্ধি করে</t>
  </si>
  <si>
    <t>ব্রাশের সেট মাঝারি মানের</t>
  </si>
  <si>
    <t>শেভিং ফোমটি ত্বকে একদম মসৃণভাবে মিশে যায়</t>
  </si>
  <si>
    <t>চুলের মোম ধোয়া কঠিন ছিল যার ফলে আমার চুলগুলি চর্বিযুক্ত এবং আঠালো বোধ করে</t>
  </si>
  <si>
    <t>রেটিংস দিতে গেলে আমি  দিবোঅত্যন্ত মুগ্ধকর</t>
  </si>
  <si>
    <t>টিনজাত শাকসবজি মসৃণ এবং স্বাদযুক্ত ছিল যেন সেগুলি অতিরিক্ত রান্না করা হয়েছে</t>
  </si>
  <si>
    <t>মেকআপ কিটটির লিপস্টিকের শেডগুলি অত্যন্ত আকর্ষণীয়</t>
  </si>
  <si>
    <t>সোপটির ব্যবহার ত্বককে সুস্থ রাখে</t>
  </si>
  <si>
    <t>এটি উষ্ণতা প্রদান করে তবে অন্যান্য কম্ফর্টারের তুলনায় এটি বিশেষ কিছু নয়</t>
  </si>
  <si>
    <t>কাপগুলি খুব ছোট ছিল সবেমাত্র চায়ে এক চুমুক ধরেছিল</t>
  </si>
  <si>
    <t>বিউটি সোপটি ত্বকের ফাটা ভাব কমায়</t>
  </si>
  <si>
    <t>এর স্বাদ আমাকে মনে করিয়ে দেয় শীতের সকালের কুয়াশার কথা</t>
  </si>
  <si>
    <t>হেয়ারস্প্রে আমার চুলের স্টাইল ঠিক রাখে নি এবং আমার চুল শক্ত এবং কুঁচকে যায়</t>
  </si>
  <si>
    <t>ভালো আশা করেছিলাম কিন্তু কাজ মোটামুটি হয়েছে</t>
  </si>
  <si>
    <t>পণ্যের ওয়ারেন্টি কভারেজ অপর্যাপ্ত ছিল</t>
  </si>
  <si>
    <t>বিভিন্ন আকারে পাওয়া যায় তবে সবগুলোর মান একই</t>
  </si>
  <si>
    <t>ফ্লিপচার্টগুলি প্রত্যাশার থেকে কিছুটা ভিন্ন</t>
  </si>
  <si>
    <t>শীতল করার ক্ষমতা অসাধারণ</t>
  </si>
  <si>
    <t>প্যাকেজিং সাধারণ তবে কাজের</t>
  </si>
  <si>
    <t>মেকআপ ব্রাশ ত্বকের টোন উন্নত করে</t>
  </si>
  <si>
    <t>হেয়ার স্প্রেতে একটি শক্তিশালী রাসায়নিক গন্ধ ছিল যা অত্যধিক শক্তিশালী এবং অপ্রীতিকর ছিল</t>
  </si>
  <si>
    <t>শোরগোল বন্ধ করার ব্যবস্থা পরিবারের সদস্যদের বিরক্ত করে</t>
  </si>
  <si>
    <t>বুকশেলফটি ইনডোর এবং আউটডোর উভয় স্থানেই ব্যবহার উপযোগী</t>
  </si>
  <si>
    <t>এই বেডশীটটির রঙ ও প্যাটার্ন সম্মত এবং অত্যন্ত আদর্শ</t>
  </si>
  <si>
    <t>সূর্যের মতো উজ্জ্বল</t>
  </si>
  <si>
    <t>পাওয়ার ব্যাঙ্কের চার্জিং তারের সংযোগকারী ক্ষয় প্রবণ এর পরিবাহিতা প্রভাবিত করে</t>
  </si>
  <si>
    <t>অতিরিক্ত গরম করলে প্লাস্টিক গলে যেতে পারে</t>
  </si>
  <si>
    <t>স্নানের বালিশের সাকশন কাপগুলি তাদের গ্রিপ হারিয়ে ফেলে যার ফলে এটি টবের নিচে পড়ে যায়</t>
  </si>
  <si>
    <t>বিষয়টি সবার কাছে লক্ষ্মণীয়</t>
  </si>
  <si>
    <t>দুর্বল নির্মাণের কারণে দীর্ঘমেয়াদী ব্যবহারের জন্য উপযুক্ত নয়</t>
  </si>
  <si>
    <t>বোতল ভ্রমণের জন্য আদর্শ নাও হতে পারে</t>
  </si>
  <si>
    <t>বীণাগুলি কিছুটা তেলাক্ত যা তাদের অবস্থা নির্দেশ করে</t>
  </si>
  <si>
    <t>গয়নাগুলির পাথরগুলি নিস্তেজ এবং নিস্তেজ ছিল পণ্যের ফটোগুলিতে প্রতিশ্রুত উজ্জ্বলতা ক্যাপচার করতে ব্যর্থ হয়েছিল৷</t>
  </si>
  <si>
    <t>কাপগুলি খারাপভাবে চকচকে ছিল ভিতরে রুক্ষ প্যাচ ছিল</t>
  </si>
  <si>
    <t>ব্রাশের ঢিলেঢালা ফেরুল ছিল যার ফলে পেইন্টিং করার সময় নড়বড়ে হয়ে যায়</t>
  </si>
  <si>
    <t>এটি চুলের যত্নেও ব্যবহৃত হয়</t>
  </si>
  <si>
    <t>পোর্টেবল এয়ার পিউরিফায়ার বাজে গন্ধ নির্গত করে বাতাসকে তাজা করে না</t>
  </si>
  <si>
    <t>ফার্নিচারগুলোর পায়া মেঝেতে কোনো দাগ ফেলে না</t>
  </si>
  <si>
    <t>হতাশাজনক কিট</t>
  </si>
  <si>
    <t>গরম তাপমাত্রার সংস্পর্শে আসার পরে ঢাকনা বিকৃত হয়ে যায়</t>
  </si>
  <si>
    <t>দৈর্ঘ্য বিশ্রী পায়ে একটি অপ্রস্তুত বিন্দুতে আঘাত করে এবং এটিকে আকর্ষণীয় দেখায়</t>
  </si>
  <si>
    <t>দামি হলেও দীর্ঘমেয়াদে সাশ্রয়ী</t>
  </si>
  <si>
    <t>আমি একেবারে মুগ্ধ</t>
  </si>
  <si>
    <t>টুকরা খুব ছোট ছিল একটি শ্বাসরোধ ঝুঁকি উপস্থাপন</t>
  </si>
  <si>
    <t xml:space="preserve">  স্ক্রাব আমার ত্বককে জ্বালাতন করে এবং ছোট ছোট কাটার সৃষ্টি করে</t>
  </si>
  <si>
    <t>বডি ওয়াশ ডিসপেনসারটি সহজেই আটকে যায় যার ফলে পণ্যটি বিতরণ করা কঠিন হয়</t>
  </si>
  <si>
    <t>এই লাইটটি রাতে পড়ার জন্য একদম উপযুক্ত</t>
  </si>
  <si>
    <t xml:space="preserve"> অডিও প্লেব্যাক তোতলাতে বা পিছিয়ে পড়ার প্রবণতা বিশেষ করে যখন কোনো উৎস ডিভাইসের সাথে তারবিহীনভাবে সংযুক্ত থাকে</t>
  </si>
  <si>
    <t>দাম যুক্তিযুক্ত তবে ফিনিশিং ভালো নয়</t>
  </si>
  <si>
    <t>গ্রেট কোয়ালিটি প্রোডাক্ট এই বাজেটে এতো ভালো</t>
  </si>
  <si>
    <t>ব্র্যান্ড রিলায়েবল মনে হয়</t>
  </si>
  <si>
    <t>রঙ বিবর্ণ এবং চিপিং একটি বয়স্ক চেহারা দিয়েছে</t>
  </si>
  <si>
    <t>মেয়েটি সবসময় নতুন আইডিয়া নিয়ে কাজ করে</t>
  </si>
  <si>
    <t>সুন্দর পার্টির উপহার তবে খোলার প্রক্রিয়া কিছুটা জটিল</t>
  </si>
  <si>
    <t>মধুটি বিভিন্ন রোগ প্রতিরোধে সহায়ক</t>
  </si>
  <si>
    <t>ফ্যানটি বেশ শক্তিশালী এবং দীর্ঘদিন ব্যবহার করা যায়</t>
  </si>
  <si>
    <t>শৈলী আবিষ্কার করেছি যা আমি পছন্দ করি না</t>
  </si>
  <si>
    <t xml:space="preserve"> অন্তর্নির্মিত মাইক্রোফোন ব্যাকগ্রাউন্ড নয়েজ থেকে অনিচ্ছাকৃত ভয়েস কমান্ড তুলে নেয়</t>
  </si>
  <si>
    <t>সস্তা দেখতে অতিরিক্ত দামের আইটেম</t>
  </si>
  <si>
    <t>মনের মধ্যে শান্তি ও প্রশান্তি বয়ে আনে</t>
  </si>
  <si>
    <t xml:space="preserve"> উপাদান পিলিং প্রবণ এটি একটি জীর্ণ আউট চেহারা দেয়</t>
  </si>
  <si>
    <t>কিছুটা টানাটানি আছে</t>
  </si>
  <si>
    <t>অমসৃণ পাথর এবং আঁকাবাঁকা সেটিংস সহ গহনার নকশাটি খারাপভাবে কার্যকর করা হয়েছিল যা এর সামগ্রিক সৌন্দর্যকে বিঘ্নিত করেছিল</t>
  </si>
  <si>
    <t>চায়ের গুণমান দেখে মনে হয় এটি বিশেষ যত্নে প্রস্তুত করা হয়েছে</t>
  </si>
  <si>
    <t>মোবাইল গরম হয় না সেটাও ভালো লাগলো</t>
  </si>
  <si>
    <t>দাম মধ্যম পর্যায়ের</t>
  </si>
  <si>
    <t>ডিজাইনের বহুমুখিতা নেই বিভিন্ন অনুষ্ঠানের জন্য এর আবেদন সীমিত করে</t>
  </si>
  <si>
    <t>মোলায়েমতা এবং উষ্ণতার জন্য এটি অসাধারণ</t>
  </si>
  <si>
    <t xml:space="preserve"> টি ফ্যাব্রিকের মধ্যে একটি ছিদ্র নিয়ে এসেছিল যা এটিকে আরও ক্ষতি না করে মেরামত করা কঠিন ছিল</t>
  </si>
  <si>
    <t>পেইন্টটি টিউবগুলিতে দ্রুত শুকিয়ে যায়</t>
  </si>
  <si>
    <t>হতাশাজনক অভিজ্ঞতা কন্টেইনার খোলা এসেছে</t>
  </si>
  <si>
    <t>ফ্যাব্রিক সহজে দাগ ধরে</t>
  </si>
  <si>
    <t>ঠিক আমি যা চেয়েছিলাম  আরও ভাল মানের হতে পারে</t>
  </si>
  <si>
    <t>মান ভালো তবে ব্যতিক্রমী নয়</t>
  </si>
  <si>
    <t>নড়লে শব্দ হয় তবে খুব আকর্ষণীয় নয়</t>
  </si>
  <si>
    <t>খুব সহায়ক নয়</t>
  </si>
  <si>
    <t>গ্রেট লিটল গ্যাজেট অনেক ভাল</t>
  </si>
  <si>
    <t>জুতা দুর্বল খিলান সমর্থন আছে বর্ধিত পরিধান সময় অস্বস্তি এবং ক্লান্তি সৃষ্টি করে</t>
  </si>
  <si>
    <t>অধিক প্রবাহের দিনে ব্যবহার করা যায়</t>
  </si>
  <si>
    <t>অযৌক্তিক নকশা যা প্রতিদিনের পরিধানের জন্য উপযুক্ত নয়</t>
  </si>
  <si>
    <t>বাচ্চারা পার্কে আনন্দের সাথে খেলে</t>
  </si>
  <si>
    <t>অস্থির এবং অবিশ্বস্ত এটা মূল্যহীন</t>
  </si>
  <si>
    <t>পরার জন্য আরামদায়ক কিন্তু ফিনিশিং ভালো না</t>
  </si>
  <si>
    <t>চুলের স্বাস্থ্য রক্ষায় এই শ্যাম্পুটি খুব কার্যকর</t>
  </si>
  <si>
    <t>আপনার পোষা প্রাণীর কলারে এয়ারট্যাগগুলি সংযুক্ত করার জন্য দুর্দান্ত পণ্য</t>
  </si>
  <si>
    <t>পর্যাপ্ত কাজ করে কিন্তু চিত্তাকর্ষক নয়</t>
  </si>
  <si>
    <t xml:space="preserve"> টি আলগা বোতামগুলির সাথে এসেছে যা পরার আগে পুনরায় সংযুক্ত করতে হয়েছিল</t>
  </si>
  <si>
    <t>ফ্যাব্রিকের রুক্ষ টেক্সচার জ্বালা এবং অস্বস্তি সৃষ্টি করে</t>
  </si>
  <si>
    <t xml:space="preserve">  লোশনে চকচকে কণা থাকে যা পোশাকের উপর স্থানান্তরিত হয় ঝিলমিলের লেজ পিছনে ফেলে</t>
  </si>
  <si>
    <t>আমি বিশেষভাবে এই বালিশগুলির আকার পছন্দ করি এগুলি আমার বিছানার জন্য একদম সঠিক না খুব বড় না খুব ছোট</t>
  </si>
  <si>
    <t>অবশ্যই আমি আরও কিছু ইতিবাচক মন্তব্য লিখে যাচ্ছি</t>
  </si>
  <si>
    <t>ফ্রিজটি দৃশ্যমান স্ক্র্যাচ সহ এসেছে যা ট্রানজিটের সময় দুর্বল হ্যান্ডলিং নির্দেশ করে</t>
  </si>
  <si>
    <t>অর্থের অপচয় কারণ তারা প্রত্যাশিত কার্যকরী নয়</t>
  </si>
  <si>
    <t>ব্লেন্ডারের ব্লেড সমাবেশ অপসারণ করা কঠিন পুঙ্খানুপুঙ্খভাবে পরিষ্কার করা কঠিন</t>
  </si>
  <si>
    <t>কিছু গাছ আরও ভালো হয়েছে তবে সারটির দাম কিছুটা বেশি</t>
  </si>
  <si>
    <t>দামের জন্য সক্ষম স্ক্যানারটিতে সামঞ্জস্যতা সম্পর্কে উদ্বেগ থাকতে পারে</t>
  </si>
  <si>
    <t>এর মান এবং স্বাদ আমাকে মুগ্ধ করেছে</t>
  </si>
  <si>
    <t>রুক্ষ জমিন আটকে ময়লা পরিষ্কার করা কঠিন করে তোলে</t>
  </si>
  <si>
    <t xml:space="preserve"> ক্যামেরা লেন্স স্ক্র্যাচিং প্রবণ ছবির গুণমান এবং স্বচ্ছতা প্রভাবিত করে</t>
  </si>
  <si>
    <t xml:space="preserve"> ডিসপ্লে প্যানেল পড়া কঠিন বিশেষ করে কম আলোর অবস্থায়</t>
  </si>
  <si>
    <t>পুতুলটি আমার মেয়েকে যত্ন নেওয়া ও সহানুভূতিশীল হওয়া শেখাচ্ছে</t>
  </si>
  <si>
    <t xml:space="preserve"> যত্নের নির্দেশাবলী অনুসরণ করা সত্ত্বেও পোশাকটি প্রথম ধোয়ার পরে যথেষ্ট সঙ্কুচিত হয় এটি পরিধানের অযোগ্য হয়ে ওঠে</t>
  </si>
  <si>
    <t>বুকশেলফের তাকগুলো সহজেই সামঞ্জস্য করা যায় বিভিন্ন সাইজের বইয়ের জন্য</t>
  </si>
  <si>
    <t>ব্যবহারের পর সহজেই ফেলে দেওয়া যায়</t>
  </si>
  <si>
    <t>নিখোঁজ অলঙ্করণ সহ একটি পোশাক প্রাপ্তি হতাশাজনক</t>
  </si>
  <si>
    <t>কফিতে গভীরতা এবং জটিলতার অভাব ছিল স্বাদ একমাত্রিক</t>
  </si>
  <si>
    <t>চমৎকার ফোন হোল্ডার</t>
  </si>
  <si>
    <t>মটরটির  শক্তি  অনেক বেশি</t>
  </si>
  <si>
    <t>ফোনের ওয়াইফাই সংযোগটি অস্থির ঘন ঘন ড্রপ বা সংযোগ বিচ্ছিন্ন হয়</t>
  </si>
  <si>
    <t>কফি মেশিনের তৈরি চক্র ধীর কফি তৈরি করতে খুব বেশি সময় নেয়</t>
  </si>
  <si>
    <t>আয়নাটি প্রত্যাশিত মানের সাথে তুলনায় কিছুটা আলাদা ছিল</t>
  </si>
  <si>
    <t>সারারাত ব্যবহার করলে সকালে হাত অত্যন্ত কোমল থাকে</t>
  </si>
  <si>
    <t>মাটির স্বাস্থ্য কিছুটা ভালো হলেও ফসলের পরিমাণ আশানুরূপ ছিল না</t>
  </si>
  <si>
    <t>কমফোর্টারটি খুব হালকা ওজনের</t>
  </si>
  <si>
    <t>ন্যূনতম ব্যবহারের পরে পণ্যটির কর্মক্ষমতা দ্রুত খারাপ হয়ে যায়</t>
  </si>
  <si>
    <t>আমার শুষ্ক ত্বককে তৎক্ষণাৎ নরম ও মসৃণ করে তোলে</t>
  </si>
  <si>
    <t>প্রত্যাশার চেয়ে সামান্য পাতলা</t>
  </si>
  <si>
    <t>এত বড় নয় তবে কাজ চালিয়ে নেওয়ার মত আছে</t>
  </si>
  <si>
    <t>ব্যবহার করার সময় নড়াচড়া করলে পানি সরে যায়</t>
  </si>
  <si>
    <t>সাধারণ মানের ফ্যাব্রিক তবে কাটটা সুন্দর</t>
  </si>
  <si>
    <t>পণ্যটি নরম নয়</t>
  </si>
  <si>
    <t>এই বডি ওয়াশ ব্যবহারে আপনি অনুভব করবেন নতুনত্ব</t>
  </si>
  <si>
    <t>ব্যবহারের আগে লিক আছে কিনা পরীক্ষা করা উচিত</t>
  </si>
  <si>
    <t>পোশাকের স্থায়িত্ব নেই ন্যূনতম ব্যবহারের পরে পরিধানের লক্ষণ দেখায়</t>
  </si>
  <si>
    <t>নোংরা পুতুল অভিজ্ঞতা নষ্ট করেছে নোংরা এবং ব্যবহৃত</t>
  </si>
  <si>
    <t>খরচ এবং কার্যকারিতার দিক থেকে এটি সেরা</t>
  </si>
  <si>
    <t>ফ্যানটির উচ্চ মান এবং এফিশিয়েন্ট কার্যক্ষমতা অত্যন্ত প্রশংসনীয়</t>
  </si>
  <si>
    <t>দাম অনুযায়ী মান ভালো কিন্তু আরও উন্নতি করা যেত</t>
  </si>
  <si>
    <t>ভিজ্যুয়াল ক্লান্তি দেয় পণ্যটি</t>
  </si>
  <si>
    <t>খুবই সুন্দর দেখতে</t>
  </si>
  <si>
    <t>এই স্পিকারগুলো দিয়ে মুভি দেখার অভিজ্ঞতা সম্পূর্ণ আলাদা হোম থিয়েটারের মতো অনুভূতি</t>
  </si>
  <si>
    <t>মাল্টিরুম সেটআপের জন্য পারফেক্ট বাড়ির সব ঘরে একই গান বাজাতে পারি</t>
  </si>
  <si>
    <t>কাগজটি খুব মসৃণ এবং ছিঁড়ে যাওয়ার প্রবণতা কম</t>
  </si>
  <si>
    <t>বই স্ট্যান্ডটি কাজ করে তবে প্লাস্টিকের মান ভালো নয়</t>
  </si>
  <si>
    <t>ইলেকট্রনিক পেট ফিডারটি খাবার দেয় তবে টাইমার অনির্ভরযোগ্য</t>
  </si>
  <si>
    <t>বিবর্ণ এবং ধোয়া রঙের একটি   পেয়েছি অচেনা</t>
  </si>
  <si>
    <t>সস্তা এবং কার্যকর তবে কিছুটা টেকসই নয়</t>
  </si>
  <si>
    <t>সৌরচালিত ব্যাকপ্যাকের জিপার আটকে যায় খোলা এবং বন্ধ করা কঠিন</t>
  </si>
  <si>
    <t>সেটের সাথে আসা কেয়ার লেবেলগুলি খুবই স্পষ্ট ও সহজবোধ্য এটি যত্ন নেওয়া সহজ করে তোলে</t>
  </si>
  <si>
    <t>স্মার্ট কফি মেকারের ত্রুটি সঠিকভাবে কফি তৈরি করে না</t>
  </si>
  <si>
    <t>মোবাইলটির ভিডিও রেকর্ডিং কোয়ালিটি অনেক ভালো</t>
  </si>
  <si>
    <t>স্নানের মাদুরের উপাদান ভিজে গেলে পিচ্ছিল হয়ে যায় যা নিরাপত্তার জন্য বিপদ ডেকে আনে</t>
  </si>
  <si>
    <t>প্লেটগুলির নকশা খুবই ক্লাসিক এবং পরিপাটি</t>
  </si>
  <si>
    <t>গুণমান এবং যুক্তিসঙ্গত মূল্য</t>
  </si>
  <si>
    <t>মার্কিন যুক্তরাষ্ট্রে তৈরি তবে কিছু উন্নতির সুযোগ আছে</t>
  </si>
  <si>
    <t xml:space="preserve">এটা কি হয়  ডলারের লঞ্চ মনিটর  গ্রেট পণ্যগুণমান ভালো মানঅসাধারণ একটি প্রোডাক্ট </t>
  </si>
  <si>
    <t>হালকা প্যাড মানানসই তবে বিজ্ঞাপনের মতো কাজ করে না</t>
  </si>
  <si>
    <t>প্যাকেজিংটি কার্যকর হতে পারে</t>
  </si>
  <si>
    <t xml:space="preserve">Tk হিসাবে ভালোই খারাপ বলার কোনো উপায় ই নাই প্যাকেজিং ও ভালো প্যাকেজিং এ  out of  দাওয়া যায় </t>
  </si>
  <si>
    <t>এটি ঘরের সৌন্দর্য বাড়ায় তবে নাটকীয়ভাবে নয়</t>
  </si>
  <si>
    <t>শিশুটি তার খেলনা দিয়ে সারা দিন মজা করে</t>
  </si>
  <si>
    <t>দীর্ঘ সময় ব্রু করলে তিক্ততা বাড়তে পারে</t>
  </si>
  <si>
    <t>রঙ প্রাণবন্ত তবে ফ্যাব্রিক বেশি পাতলা</t>
  </si>
  <si>
    <t>লুফাহ এর ফাইবারগুলি খুব রুক্ষ এবং স্ক্র্যাচি ছিল যা জ্বালা সৃষ্টি করে</t>
  </si>
  <si>
    <t>এটি মেকআপের স্বাভাবিকতা বাড়ায়</t>
  </si>
  <si>
    <t>খোলা পাত্রে প্রাপ্ত সম্ভাব্য স্বাস্থ্যবিধি সমস্যা</t>
  </si>
  <si>
    <t>ঘরের সজ্জার জন্য এই মোমবাতিগুলি দারুণ</t>
  </si>
  <si>
    <t>খাবারের মধ্যে একটি অদ্ভুত রাসায়নিক স্বাদ ছিল যা এটিকে অখাদ্য করে তুলেছিল</t>
  </si>
  <si>
    <t>মিশ্রণ সহজ</t>
  </si>
  <si>
    <t>এই বডি ওয়াশ ব্যবহারে আপনি অনুভব করবেন পরিষ্কার</t>
  </si>
  <si>
    <t>খুবই সাশ্রয়ী এবং কার্যকর</t>
  </si>
  <si>
    <t xml:space="preserve"> চমৎকার দেখতে </t>
  </si>
  <si>
    <t>জুতা হালকা কিন্তু দীর্ঘ সময় পরে অস্বস্তিকর হয়ে ওঠে</t>
  </si>
  <si>
    <t>পেন হোল্ডারটি দেখতে ভালো তবে জায়গা কিছুটা সীমিত</t>
  </si>
  <si>
    <t>আরও ভাল স্ট্রিং এবং সূঁচ দরকার</t>
  </si>
  <si>
    <t>সারটি ফসলের জন্য ভালো তবে অন্যান্য সমস্যার সমাধান হয়নি</t>
  </si>
  <si>
    <t>খারাপ লেদারিং এবং ধোয়া কঠিন অবশিষ্টাংশ চুলকে ধোয়া ও চর্বিযুক্ত বোধ করে</t>
  </si>
  <si>
    <t>দ্রুত এবং শক্তিশালী</t>
  </si>
  <si>
    <t>খরচ এবং কার্যকারিতার দিক থেকে সেরা</t>
  </si>
  <si>
    <t>বহন করা সহজ</t>
  </si>
  <si>
    <t>এটি ভাল কার্যকারিতা সীমিত হতে পারে</t>
  </si>
  <si>
    <t>ফেসিয়াল মিস্টে বিরক্তিকর অপরিহার্য তেল থাকে যা সংবেদনশীল ত্বকে লালভাব এবং প্রদাহ সৃষ্টি করে</t>
  </si>
  <si>
    <t>পণ্যের বয়সের সুপারিশ ভুল ছিল এটি উল্লিখিত বয়সের জন্য সঠিক নয়</t>
  </si>
  <si>
    <t xml:space="preserve">  সমাবেশ নির্দেশাবলী অস্পষ্ট এবং বিভ্রান্তিকর যার ফলে সেটআপের সময় অসুবিধা হয়</t>
  </si>
  <si>
    <t>মোবাইলটির ইউআই খুবই সিম্পল ও সহজবোধ্য</t>
  </si>
  <si>
    <t>অনেকটা ফ্যাব্রিক</t>
  </si>
  <si>
    <t>পোডাকটি খুব ভালো সবাই নিতে পারেন</t>
  </si>
  <si>
    <t>পণ্যের বোতামগুলি সহজেই আটকে গিয়েছিল শিশুদের হতাশাজনক</t>
  </si>
  <si>
    <t>সারটি জমিতে কিছুটা কার্যকরী তবে ফলন খুব বেশি বাড়েনি</t>
  </si>
  <si>
    <t>ন্যূনতম ব্যবহারের পরে সেলাই পূর্বাবস্থায় আসে</t>
  </si>
  <si>
    <t>পণ্য নির্ভরযোগ্যতা দ্বারা হতাশ</t>
  </si>
  <si>
    <t xml:space="preserve">  ফ্যাব্রিক ন্যূনতম পরিধানের পরে পিলিং শুরু করে এটি একটি জীর্ণআউট চেহারা দেয়</t>
  </si>
  <si>
    <t>কিছু বোতল ভাঙা সীল নিয়ে এসেছে যা টেম্পারিং বা দূষণের বিষয়ে উদ্বেগ প্রকাশ করেছে</t>
  </si>
  <si>
    <t>অস্থির এবং অবিশ্বস্ত ক্রেতা সাবধান</t>
  </si>
  <si>
    <t>একটি চমৎকার ডিজাইন</t>
  </si>
  <si>
    <t>বোতলটা রাখার জন্য জায়গা লাগে</t>
  </si>
  <si>
    <t>সেটের সাথে আসা গ্যারান্টি খুবই প্রশংসনীয় এটি আমাকে দীর্ঘমেয়াদী সন্তুষ্টির নিশ্চয়তা দেয়</t>
  </si>
  <si>
    <t xml:space="preserve"> খুব খারাপভাবে উৎসারিত হয়েছিল ফলে একটি সাবপার ব্রু হয়</t>
  </si>
  <si>
    <t>ডিজাইনে ব্যবহারিকতার কিছু সীমাবদ্ধতা রয়েছে তবে এটি দৈনন্দিন ক্রিয়াকলাপের জন্য পরিধানযোগ্য</t>
  </si>
  <si>
    <t>পানি দেওয়ার ঝামেলা নেই সময় বাঁচে</t>
  </si>
  <si>
    <t>স্থাপন ও ব্যবহারে সহজ</t>
  </si>
  <si>
    <t>প্লাস্টিক উপাদান উত্তপ্ত হলে ক্ষতিকারক রাসায়নিক নির্গত করে</t>
  </si>
  <si>
    <t>সাধারণ লুক এবং ব্যবহারে ঠিক আছে</t>
  </si>
  <si>
    <t>বডি মিডিয়াম খুব হালকা বা ভারী নয়</t>
  </si>
  <si>
    <t>অপ্রতিরোধ্য রাসায়নিক গন্ধ এটি সহ্য করা কঠিন করে তোলে</t>
  </si>
  <si>
    <t>কাপগুলি খারাপভাবে ভারসাম্যপূর্ণ ছিল সহজে টিপ দিতে পারে</t>
  </si>
  <si>
    <t>ফুলদানির উজ্জ্বল রং মনকে প্রফুল্ল রাখে</t>
  </si>
  <si>
    <t>পণ্যের বিপণন উপকরণ বিভ্রান্তিকর বা প্রতারণামূলক ছিল</t>
  </si>
  <si>
    <t>এটি তাড়াতাড়ি ধারালো হয় না এবং মাঝে মাঝে মোচড় দেয়</t>
  </si>
  <si>
    <t>এই ফ্যানটি ঘরে ঠাণ্ডা বাতাস সরবরাহ করে</t>
  </si>
  <si>
    <t>ফ্রিজটি ভালো তবে একটু বেশি জায়গা দখল করে</t>
  </si>
  <si>
    <t>একটি পণ্য শুধুমাত্র মূল্যের দিক দিয়ে ঠিক থাকতে পারে না</t>
  </si>
  <si>
    <t>ফোনের স্ক্রিন মাঝে মাঝে ফ্লিক করে যা ব্যবহারের সময় চোখের চাপ এবং অস্বস্তি সৃষ্টি করে</t>
  </si>
  <si>
    <t>অগন্ধযুক্ত হিসাবে লেবেল হওয়া সত্ত্বেও শক্তিশালী রাসায়নিক গন্ধ</t>
  </si>
  <si>
    <t>জুতা প্রতিটি পদক্ষেপের সাথে জোরে চিৎকার করে বিব্রত এবং বিরক্তির কারণ হয়</t>
  </si>
  <si>
    <t>পেপারের ওজন কেজি বা গ্রাম ইউনিটে পরিমাপ করা হয়</t>
  </si>
  <si>
    <t>গেমারদের জন্য শীর্ষ পছন্দ এবং যাদের গতি স্টোরেজ ক্ষমতা এবং নির্ভরযোগ্যতা প্রয়োজন</t>
  </si>
  <si>
    <t>দরিদ্র মানের অর্থের মূল্য নয়</t>
  </si>
  <si>
    <t>প্লাস্টিকের মান দীর্ঘস্থায়ী হবে কিনা তা নির্ধারণ করা কঠিন</t>
  </si>
  <si>
    <t>ডিভাইসটির সফটওয়্যার আপডেট নিয়মিত আসে</t>
  </si>
  <si>
    <t>এটি সুপার লাইট তবে শব্দের মান সাধারণ</t>
  </si>
  <si>
    <t xml:space="preserve"> অটোফোকাস পয়েন্ট সঠিকভাবে চলন্ত বিষয়গুলি ট্র্যাক করার ক্যামেরার ক্ষমতাকে সীমাবদ্ধ করে</t>
  </si>
  <si>
    <t>সবাই কিনতে পারেন গেঞ্জির মান অনেক ভালো</t>
  </si>
  <si>
    <t>পকেটে রাখার জন্য আকার কিছুটা উপযুক্ত</t>
  </si>
  <si>
    <t>পানির বোতলের ঢাকনা ফুটো হয়ে গেছে আমার ব্যাগের বিষয়বস্তু ভিজিয়ে দিয়েছে</t>
  </si>
  <si>
    <t>প্লাস্টিক উপাদান গন্ধ ধরে রাখে সঞ্চিত জিনিসগুলিকে প্রভাবিত করে</t>
  </si>
  <si>
    <t>এটি পাসযোগ্য কিন্তু আমি আরও সুন্দর পণ্য দেখেছি</t>
  </si>
  <si>
    <t>পণ্যের ফিনিস স্ক্র্যাচিং বা চিপিং প্রবণ ছিল</t>
  </si>
  <si>
    <t>কারুকার্য কম ছিল যার ফলে ঘন ঘন সমস্যা দেখা দেয়</t>
  </si>
  <si>
    <t>অনেকদিন ইউজ করার পর রিভিউ দিচ্ছি প্রোডাক্ট ভালো সবাই নিতে পারেন আশা করি ইনশাল্লাহ</t>
  </si>
  <si>
    <t>হেয়ার জেল আমার স্ট্র্যান্ডগুলিকে একটি শক্ত কুঁচকে যাওয়া জগাখিচুড়িতে পরিণত করেছে যা স্টাইল করা অসম্ভব</t>
  </si>
  <si>
    <t>লিকপ্রুফ ক্যাপ আছে তবে মাঝে মাঝে আটকে যায়</t>
  </si>
  <si>
    <t>অতিরিক্ত ঘষলে কাপড়ের সুতা বের হতে পারে</t>
  </si>
  <si>
    <t xml:space="preserve">একজন সৎ ব্যবসায়ী শহিদের ন্যায় মৃত্যুবরণ করেন গ্রেট পণ্যখুব সুন্দরসেরা </t>
  </si>
  <si>
    <t>মেকআপ ব্রাশ ত্বকের প্রাকৃতিক সন্দর্য বাড়ায়</t>
  </si>
  <si>
    <t>ওয়াও কী দারুণ ব্যাপার তবে স্থায়িত্ব অনিশ্চিত</t>
  </si>
  <si>
    <t>পেইন্টের রঙগুলি সময়ের সাথে সাথে বিবর্ণ হওয়ার প্রবণ ছিল</t>
  </si>
  <si>
    <t>পোশাকটি প্রত্যাশার চেয়ে অনেক বেশি ভারী ছিল এটি দীর্ঘ সময়ের জন্য পরতে অস্বস্তিকর করে তোলে</t>
  </si>
  <si>
    <t>গাছের বৃদ্ধি ভাল হলেও সারটি খুব কার্যকরী ছিল না</t>
  </si>
  <si>
    <t>মাইক্রোফাইবার হলেও উচ্চমানের নয়</t>
  </si>
  <si>
    <t>কাজের ধারাবাহিকতা কিছুটা কম মনে হয়</t>
  </si>
  <si>
    <t>সাইড টেবিলগুলো ডেকোরেটিভ ও ফাংশনাল উভয় দিক থেকেই চমৎকার</t>
  </si>
  <si>
    <t>অন্যান্য ডিভাইসের সাথে সীমিত সামঞ্জস্যতা এটি ব্যবহার করা অসুবিধাজনক করে তুলেছে</t>
  </si>
  <si>
    <t>ফ্রস্ট প্রটেকশন মোড আছে</t>
  </si>
  <si>
    <t>আকার পরিবর্তন একটি প্রধান সমস্যা হতে পরিণত   হয় খুব ছোট বা খুব বড় এটি সঠিক ফিট খুঁজে পাওয়া কঠিন করে তোলে</t>
  </si>
  <si>
    <t>স্ট্র্যাপগুলি ন্যূনতম চাপে ছিঁড়ে যায় এটি ব্যবহার করার অযোগ্য হয়ে পড়ে</t>
  </si>
  <si>
    <t>সুগন্ধযুক্ত শ্যাম্পু চুলের স্বাস্থ্যের উপর বিরূপ প্রভাব ফেলে</t>
  </si>
  <si>
    <t>প্যাকেজ খোলা এসেছে সন্দেহজনক গুণমান</t>
  </si>
  <si>
    <t xml:space="preserve"> ইনলাইন রিমোট কন্ট্রোল খারাপভাবে স্থাপন করা হয় যা ইয়ারফোন পরার সময় অ্যাক্সেস করা বা ব্যবহার করা কঠিন করে তোলে</t>
  </si>
  <si>
    <t>আলগা থ্রেড এবং খারাপ সেলাই পোশাকের চেহারা নষ্ট করেছে</t>
  </si>
  <si>
    <t>এটি একটি আধুনিক চেহারা দেয়</t>
  </si>
  <si>
    <t>মোবাইলটির ডিসপ্লে কোয়ালিটি অসাধারণ</t>
  </si>
  <si>
    <t>কিছুটা কৃত্রিম মনে হয় তবে সস্তা দাম অনুযায়ী ভালো</t>
  </si>
  <si>
    <t>চুলের তেল আমার চুলকে চর্বিযুক্ত দেখায় এবং ময়লা আকর্ষণ করে</t>
  </si>
  <si>
    <t>এয়ার বাডস এর কোয়ালিটি ভালো</t>
  </si>
  <si>
    <t>আশ্চর্যজনক জিনিস একটা</t>
  </si>
  <si>
    <t>ফ্যানটি ব্যবহার করা খুব সহজ এবং তার কাজ অত্যন্ত ভাল করে</t>
  </si>
  <si>
    <t xml:space="preserve">ভাল কাজ </t>
  </si>
  <si>
    <t>ডায়াপারের ইলাস্টিক কোমরবন্ধটি খুব টাইট শিশুর ত্বকে দাগ ফেলে</t>
  </si>
  <si>
    <t>আকারটি গ্রহণযোগ্য কিন্তু কিছুটা বড় হলে ভালো হত</t>
  </si>
  <si>
    <t>আইটেমের নিরাপত্তা সতর্কতা অপর্যাপ্ত ছিল দুর্ঘটনার ঝুঁকি ছিল</t>
  </si>
  <si>
    <t>পণ্যের নিয়ন্ত্রণ দুর্বলভাবে প্রতিক্রিয়াশীল বা অবিশ্বস্ত ছিল</t>
  </si>
  <si>
    <t>লিভইন কন্ডিশনার আমার চুলকে চর্বিযুক্ত এবং ওজন কমিয়েছে</t>
  </si>
  <si>
    <t>আনসিল করা পাত্র সম্ভাব্য দূষণ</t>
  </si>
  <si>
    <t>আমার আইফোন  প্রো ম্যাক্সের জন্য দুর্দান্ত কাজ করে</t>
  </si>
  <si>
    <t>হেয়ার মাস্ক কোন লক্ষণীয় সুবিধা প্রদান করেনি এবং আমার চুল শুকনো এবং ক্ষতিগ্রস্থ বোধ করে</t>
  </si>
  <si>
    <t>সেলাই ভালো কিন্তু মাপটা একটু বড়</t>
  </si>
  <si>
    <t>আইটেমগুলি নিখুঁতভাবে কাজ করে এবং দ্রুত আসে তবুও কিছু অস্পষ্ট</t>
  </si>
  <si>
    <t>ক্ষীণ ঢাকনা অপ্রত্যাশিতভাবে পপ অফ প্রবণ</t>
  </si>
  <si>
    <t>ওয়াটার বটলের ধারণক্ষমতা ভালো তবে লিকপ্রুফ নয়</t>
  </si>
  <si>
    <t>আমার এখন ভাল চায়ের মানদণ্ড এটাই অন্য সব চা এর সাথে তুলনা করি</t>
  </si>
  <si>
    <t>ডিভাইসটির সফটওয়্যার আপডেট নিয়মিত আসে</t>
  </si>
  <si>
    <t>আমি চার দিনের মধ্যে পণ্যটি পেয়েছি</t>
  </si>
  <si>
    <t>সুগন্ধটি দুর্বল এবং সমতল ছিল কোন জটিলতা বা সমৃদ্ধির অভাব ছিল</t>
  </si>
  <si>
    <t>স্মার্ট লাইট বাল্ব ফ্লিকার অসঙ্গত উজ্জ্বলতা মাত্রা</t>
  </si>
  <si>
    <t xml:space="preserve"> অত্যন্ত সুন্দর এবং ব্যবহার করা খুব সহজ</t>
  </si>
  <si>
    <t>মেকআপ ব্রাশ ত্বকের জন্য কোমল</t>
  </si>
  <si>
    <t>আমার গারমিন ভিভোঅ্যাক্টিভ  এর জন্য নিখুঁত প্রতিস্থাপন ফিট</t>
  </si>
  <si>
    <t>হিমায়িত পিৎজাটির একটি রাবারি টেক্সচার ছিল এবং স্বাদে মসৃণ খুব কমই টপিং ছিল</t>
  </si>
  <si>
    <t>কফির পাত্রে ঢালার সময় থেকেই এর সুগন্ধ ঘরময় ছড়িয়ে পড়ে</t>
  </si>
  <si>
    <t>পানির বোতলটি ব্যবহার করে মোটামুটি ভালো অভিজ্ঞতা হয়েছে</t>
  </si>
  <si>
    <t>খারাপ মানের কানের দুল</t>
  </si>
  <si>
    <t>তিনি স্বয়ংক্রিয় সাবান বিতরণকারী অত্যধিক সাবান বিতরণ করেন অপচয়কারী</t>
  </si>
  <si>
    <t>পানি শোষণ ক্ষমতা আশানুরূপ</t>
  </si>
  <si>
    <t>একটি ভালো মানের পণ্য</t>
  </si>
  <si>
    <t>ঘরের জন্য এই পেইন্টিংটি খুবই মানানসই</t>
  </si>
  <si>
    <t>এটি ছোট ঘরের জন্য উপযুক্ত</t>
  </si>
  <si>
    <t>খেলনার জিনিসপত্র ছিঁড়ে যাওয়ার প্রবণ ছিল</t>
  </si>
  <si>
    <t>ডিভাইসটির সাউন্ড কোয়ালিটি অত্যন্ত ভালো</t>
  </si>
  <si>
    <t>ফোল্ডিং চেয়ারটি বসার জন্য উপযুক্ত তবে আরামদায়ক নয়</t>
  </si>
  <si>
    <t>ফ্যাশনের জন্য সুন্দর তবে মান উন্নতি করা দরকার</t>
  </si>
  <si>
    <t>চমৎকার পণ্য কিছুটা সাধারণ</t>
  </si>
  <si>
    <t>ধোয়া সহজ তবে ডিশওয়াশারে রাখলে রঙ কিছুটা ফিকে হতে পারে</t>
  </si>
  <si>
    <t>সঞ্চয় করার জন্য অর্থ ব্যয় করা হয়েছে</t>
  </si>
  <si>
    <t>লেন্স টা কম দামের মধ্যে বেশ কোয়ালিটিফুল একটা প্রোডাক্টটা</t>
  </si>
  <si>
    <t>পোষা প্রাণীর আলিঙ্গন অপ্রত্যাশিতভাবে ভেঙ্গে যায় যার ফলে পোষা প্রাণীটি পালিয়ে যায়</t>
  </si>
  <si>
    <t>সারটি ব্যবহারের পর কিছু ফলন বৃদ্ধি পেয়েছে তবে বিশেষ কোনো পরিবর্তন হয়নি</t>
  </si>
  <si>
    <t>স্বয়ংক্রিয় সাদা ভারসাম্য অবিশ্বাস্য ফলে ফটোতে অপ্রাকৃতিক রঙ দেখা যায়</t>
  </si>
  <si>
    <t>প্রতিটি পৃষ্ঠা অত্যন্ত আকর্ষণীয়</t>
  </si>
  <si>
    <t>খুব কমই একটি শট রেকর্ডিং মিস করে রাপসোডোর চেয়ে অনেক ভালো</t>
  </si>
  <si>
    <t>পোর্টেবল ব্লেন্ডারটি লিক হয়ে যায় সর্বত্র তরল ছড়িয়ে পড়ে</t>
  </si>
  <si>
    <t>ব্যবহারে মোটামুটি বিশেষ কিছু নয়</t>
  </si>
  <si>
    <t>খারাপ গ্রাহক পরিষেবা সমস্যাগুলির সাথে সাহায্য করেনি৷</t>
  </si>
  <si>
    <t>ন্যূনতম পরিধানের পরে গর্ত স্থায়িত্বের অভাব</t>
  </si>
  <si>
    <t>কুয়াশার গন্ধটি সস্তা ও কৃত্রিম ছিল যা আমি একেবারেই সহ্য করতে পারতাম না</t>
  </si>
  <si>
    <t>লাইট আছে তবে খুব উজ্জ্বল নয়</t>
  </si>
  <si>
    <t>একবচন মৃত পিক্সেল</t>
  </si>
  <si>
    <t>সৌরচালিত বাগানের আলোর দাগ খুব ছোট মাটিতে ইনস্টল করা কঠিন</t>
  </si>
  <si>
    <t>মুখের মাস্ক ত্বককে শান্ত ও প্রশমিত করার পরিবর্তে লালভাব এবং জ্বালা সৃষ্টি করে</t>
  </si>
  <si>
    <t>প্যাকেজ করা কুকিগুলি শুকনো এবং চূর্ণবিচূর্ণ ছিল সতেজতার অভাব ছিল</t>
  </si>
  <si>
    <t>পানীয়টি অনেক তাজা তবে কিছুটা তিক্ত</t>
  </si>
  <si>
    <t>পোলারয়েড ক্যামেরা সেটআপ এর জন্ন্যে অনেক ভাল</t>
  </si>
  <si>
    <t>চামচগুলো সাধারণ কোনো বিশেষ ডিজাইন নেই</t>
  </si>
  <si>
    <t>হেয়ারস্টাইলের জন্য এটি ব্যবহার করা যায়</t>
  </si>
  <si>
    <t>পোশাকের নেকলাইন খুব কম ছিল বিনয়ের জন্য কাঙ্খিত চেয়ে বেশি ত্বক প্রকাশ করে</t>
  </si>
  <si>
    <t>আমি দীর্ঘ ব্যবহারের পরে একটি জ্ঞাত মতামত প্রদান করতে পারব</t>
  </si>
  <si>
    <t>প্রতিটি পিস পারফেক্টভাবে একে অপরের সাথে মানানসই</t>
  </si>
  <si>
    <t>এই বাজেটে এতো ভালো পাবো আসা করিনি</t>
  </si>
  <si>
    <t>কোয়ালিটি খুব একটা ভালো না</t>
  </si>
  <si>
    <t>পাত্রগুলির নীচের অংশ এমনভাবে তৈরি করা হয়েছে যে সেগুলি টেবিলে স্থিরভাবে থাকে এটি দুর্ঘটনাজনিত পড়ে যাওয়া প্রতিরোধ করে</t>
  </si>
  <si>
    <t>মেকআপ কিটটি ভ্রমণের সময় ব্যবহারের জন্য উপযুক্ত</t>
  </si>
  <si>
    <t>স্বাদে কোনো বিশেষত্ব নেই তবে খারাপও না</t>
  </si>
  <si>
    <t>ঢাকনা সিল অকার্যকর ফুটো এবং ছিটকে সৃষ্টি করে</t>
  </si>
  <si>
    <t>নকশাটি খুব সুন্দর এবং আধুনিক</t>
  </si>
  <si>
    <t>নতুন ঘড়িটি সময় ঠিকঠাক চলে এবং দেখতে চমৎকার</t>
  </si>
  <si>
    <t>মাঝারি মানের আবিষ্কার</t>
  </si>
  <si>
    <t>নতুন মোবাইলের স্ক্রিনের সাইজ অনেক উপযুক্ত</t>
  </si>
  <si>
    <t>চা সেটের গ্লাসে বুদবুদ এবং অপূর্ণতা ছিল দেখতে সস্তা</t>
  </si>
  <si>
    <t>গানের লিরিকস এত স্পষ্ট শোনা যায় যে মনে হয় গায়ক যেন কানে কানে গাইছেন</t>
  </si>
  <si>
    <t>সেটিং পাউডার একটি সাদা অবশিষ্টাংশের পিছনে ছেড়ে যায় ত্বককে ছাই করে তোলে</t>
  </si>
  <si>
    <t>খারাপভাবে নির্মিত অস্থির ভিত্তি</t>
  </si>
  <si>
    <t>ওয়্যারলেস পেইন্ট মিক্সার রঙ মেশায় তবে খুব শক্তিশালী নয়</t>
  </si>
  <si>
    <t>উপহার সামান্য বাড়ায় বিশেষ কিছু নয়</t>
  </si>
  <si>
    <t>এই শ্যাম্পুর ব্যবহার চুলের প্রাকৃতিক উজ্জ্বলতা বাড়ায়</t>
  </si>
  <si>
    <t>পরিবহনের জন্য ব্যবহারযোগ্য কিন্তু শক্ত আঘাত সহ্য করতে পারে না</t>
  </si>
  <si>
    <t>এটি শরীরে খুব সহজেই মিশে যায়</t>
  </si>
  <si>
    <t>কীটপতঙ্গ তাড়ানোর জন্য কার্যকর হতে পারে</t>
  </si>
  <si>
    <t>একেবারে অত্যাশ্চর্য দাম দিয়ে আরও ভাল হতে পারত</t>
  </si>
  <si>
    <t xml:space="preserve">  একটি অদ্ভুত টেক্সচার ছিল যা ত্বকের বিরুদ্ধে রুক্ষ এবং খসখসে অনুভূত হয়েছিল</t>
  </si>
  <si>
    <t>নস্টালজিয়া তে ভুগছি</t>
  </si>
  <si>
    <t>ফ্যাব্রিকের সস্তা গুণমান স্পষ্ট স্থায়িত্বের অভাব</t>
  </si>
  <si>
    <t>টোস্টার ওভেনের গরম করার উপাদানগুলি মরিচা একটি জ্বলন্ত গন্ধ নির্গত করে</t>
  </si>
  <si>
    <t>আমাদের ক্লাসের পরিবেশ সবসময় আনন্দময়</t>
  </si>
  <si>
    <t>দরিদ্র প্যাকেজিং পণ্য পরিবহনে ছড়িয়ে পড়ে</t>
  </si>
  <si>
    <t>অযৌক্তিক নকশা প্রতিদিনের অনুষ্ঠানের জন্য পোশাকটিকে পরিধানযোগ্য করে তোলে</t>
  </si>
  <si>
    <t>পুতুল তৈরির জন্য এই আইটেমটি ঠিক ছিল তবে মজবুত নয়</t>
  </si>
  <si>
    <t>মিষ্টি ঠিক কিন্তু পানীয়টা বেশি তরল</t>
  </si>
  <si>
    <t>পোর্টেবল চার্জারের ইন্ডিকেটর লাইট ব্যাটারি লেভেল সঠিকভাবে দেখাতে ব্যর্থ হয়েছে</t>
  </si>
  <si>
    <t xml:space="preserve">আমি একটি ওটার ডিফেন্ডার সিরিজের ক্ষেত্রে একটি আইফোন  প্রো ম্যাক্স এর সাথে এই চার্জারটি ব্যবহার করি </t>
  </si>
  <si>
    <t>পরিবারের সকলের প্রিয় একটি পণ্য</t>
  </si>
  <si>
    <t>প্যাকেজ করা ক্র্যাকারগুলি বাসি ছিল এবং ক্রাঞ্চের অভাব ছিল স্বাদের মতো সেগুলি অনেক দিন খোলা রেখেছিল৷</t>
  </si>
  <si>
    <t>প্লাস্টিকের ফুলটি বিভিন্ন আলোকসজ্জায় চমৎকার দেখায়</t>
  </si>
  <si>
    <t>মেঝের উপর টানার সময় সহজেই চলবে</t>
  </si>
  <si>
    <t>বইয়ের কাভারের নকশা খুবই আকর্ষণীয়</t>
  </si>
  <si>
    <t>হিমায়িত মাছের কাঠিগুলো ভেজা ভেজা এবং স্বাদ ছিল যেন সেগুলো পুরনো তেলে ভাজা হয়েছে</t>
  </si>
  <si>
    <t>সফ্টওয়্যারটি পুরানো নতুন মডেলগুলিতে উপলব্ধ নতুন বৈশিষ্ট্য এবং অপ্টিমাইজেশনের অভাব রয়েছে৷</t>
  </si>
  <si>
    <t>মানের সাথে দামের সামঞ্জস্য আছে</t>
  </si>
  <si>
    <t>দুর্দান্ত কাজ করে ঠিক যা আমার প্রয়োজন ছিল</t>
  </si>
  <si>
    <t xml:space="preserve"> আমাকে এটিকে চেপে নিতে সংগ্রাম করতে হয়েছিল</t>
  </si>
  <si>
    <t>ফাউন্ডেশনের প্যাকেজিং লেকস মেকআপ ব্যাগে গণ্ডগোল সৃষ্টি করে</t>
  </si>
  <si>
    <t>কোয়ালিটি এত বড় নয়</t>
  </si>
  <si>
    <t>কানের দুলগুলোর উজ্জ্বলতা এখনও প্রথম দিনের মতোই আছে</t>
  </si>
  <si>
    <t>ইকো ফ্রেন্ডলি নয়</t>
  </si>
  <si>
    <t>খেলনার প্লাস্টিকটি পাতলা এবং সহজেই আকৃতির বাইরে বাঁকানো ছিল</t>
  </si>
  <si>
    <t>মিশ্রণ সহজ মনে হয়</t>
  </si>
  <si>
    <t>পরিবহনের জন্য ব্যবহার করা যেতে পারে কিন্তু উচ্চ চাপ সহ্য করতে পারে না</t>
  </si>
  <si>
    <t>স্মার্ট থার্মোস্ট্যাটের অ্যাপ ঘন ঘন ক্র্যাশ হয় তাপমাত্রা নিয়ন্ত্রণ করতে পারে না</t>
  </si>
  <si>
    <t>ছেলেটি তার স্কুলের প্রতিযোগিতায় প্রথম হয়েছে</t>
  </si>
  <si>
    <t>বেশি দূর পর্যন্ত আলো যেতে পারে</t>
  </si>
  <si>
    <t>প্রতিদিন এটি দেখে আমি অনুপ্রাণিত হই</t>
  </si>
  <si>
    <t>আমি সম্প্রতি এই বালিশ সেটটি কিনেছি এবং এটি নিয়ে অত্যন্ত সন্তুষ্ট ঘুমানোর অভিজ্ঞতা এখন অনেক আরামদায়ক হয়েছে</t>
  </si>
  <si>
    <t>ঘর প্রশস্ত দেখায় তবে অতিরিক্ত কিছু নয়</t>
  </si>
  <si>
    <t>হেয়ার মাস্ক আমার চুলকে প্রতিশ্রুতি অনুযায়ী হাইড্রেট করেনি এবং এটিকে শুকনো এবং ক্ষতিগ্রস্থ বোধ করে রেখেছিল</t>
  </si>
  <si>
    <t>চমৎকার কিছু ত্রুটি সহ তেমন ভাল লাগেনি</t>
  </si>
  <si>
    <t>পোশাকের অভাব কাঠামো একটি অপভ্যাসিত অপমানজনক আকৃতি দেখায়</t>
  </si>
  <si>
    <t>এটি অত্যন্ত স্থায়ী এবং দুর্যোগপ্রতিরোধী</t>
  </si>
  <si>
    <t>পণ্যটি বিজ্ঞাপনের মতো কাজ করেনি</t>
  </si>
  <si>
    <t>চাটির একটি ময়লা গন্ধ ছিল যা অনুপযুক্ত স্টোরেজের পরামর্শ দেয়</t>
  </si>
  <si>
    <t>পণ্যের চলমান অংশগুলি শক্ত ছিল শিশুদের পক্ষে পরিচালনা করা কঠিন</t>
  </si>
  <si>
    <t>বইটির শেষটা খুবই চমকপ্রদ</t>
  </si>
  <si>
    <t>এটির পেশাদারী চেহারা রয়েছে</t>
  </si>
  <si>
    <t>মধুটি কাটা বা পোড়ার ক্ষত সারাতে সাহায্য করে</t>
  </si>
  <si>
    <t>ওয়ারেন্টি পলিসি স্ট্যান্ডার্ড লেগেছে</t>
  </si>
  <si>
    <t>কুইল্ট ব্যাকিংয়ের জন্য উপযুক্ত বিশেষ কিছু নয়</t>
  </si>
  <si>
    <t>সোলার পাওয়ার ব্যাংকটি চার্জ করে কিন্তু ধীরে চার্জ হয়</t>
  </si>
  <si>
    <t>এর মূল্য খুব একটা সুবিধাজনক নাও হতে পারে</t>
  </si>
  <si>
    <t xml:space="preserve">  স্ক্রাবটিতে ধারালো কণা ছিল যা আমার ত্বকে আঁচড় দিয়েছিল</t>
  </si>
  <si>
    <t>ফিল্টারটি কার্যকর এবং সহজেই পরিষ্কার করা যায়</t>
  </si>
  <si>
    <t>সাজানোর জন্য উপযুক্ত বিশেষ কিছু নয়</t>
  </si>
  <si>
    <t>চাপ প্রয়োগ করলে আকৃতি পরিবর্তন হয়</t>
  </si>
  <si>
    <t>একটি চুক্তি আছে</t>
  </si>
  <si>
    <t>হালকা রোস্টের তুলনায় এর অম্লতা কম</t>
  </si>
  <si>
    <t>প্রতিদিন সকালে এটি ব্যবহার করলে মুখ একদম সতেজ হয়ে যায়</t>
  </si>
  <si>
    <t xml:space="preserve"> দরজার ল্যাচ মেকানিজম আটকে থাকার প্রবণতা যার ফলে খোলা এবং বন্ধ করতে অসুবিধা হয়</t>
  </si>
  <si>
    <t>প্লাস্টিকের ফুলটি ধুলো জমার সমস্যা থেকে মুক্ত</t>
  </si>
  <si>
    <t>মেশিনে ধোয়া যায় না  অনেক খারাপ জিনিস</t>
  </si>
  <si>
    <t>হালকা বটে তবে একটু বেশি সাধারণ মনে হয়</t>
  </si>
  <si>
    <t>মটরশুটি খুব তৈলাক্ত ছিল আমার পেষকদন্ত এবং এসপ্রেসো মেশিন আটকে ছিল</t>
  </si>
  <si>
    <t>ওয়াটার কুলারটি দ্রুত পানিকে ঠাণ্ডা করে</t>
  </si>
  <si>
    <t>দীর্ঘায়িত aftertaste প্রভাবিত পানীয় উপভোগ</t>
  </si>
  <si>
    <t>একটি ভাল মানের পণ্য</t>
  </si>
  <si>
    <t>পরার পরে নেকলাইন আকৃতির বাইরে প্রসারিত হয়</t>
  </si>
  <si>
    <t>ইলেকট্রনিক পারফিউম ডিস্পেন্সারটি সুগন্ধি ছড়ায় তবে রিফিল দামি</t>
  </si>
  <si>
    <t>মধুটি প্রতিদিন সকালে খালি পেটে খাওয়া যায়</t>
  </si>
  <si>
    <t xml:space="preserve"> চার্জিং কেবলটি মালিকানাধীন এটি প্রতিস্থাপন বা সামঞ্জস্যপূর্ণ বিকল্প খুঁজে পাওয়া কঠিন করে তোলে</t>
  </si>
  <si>
    <t>সংক্ষিপ্ত আকার উল্লেখযোগ্য বিপর্যয়</t>
  </si>
  <si>
    <t>প্যাকেটে টি শিট আছে</t>
  </si>
  <si>
    <t>খাবার গরম রাখে তবে হাত পুড়ে যাওয়ার ঝুঁকি</t>
  </si>
  <si>
    <t>দীর্ঘমেয়াদী নির্ভরযোগ্যতা নিয়ে উদ্বেগ</t>
  </si>
  <si>
    <t>প্রতিটি দৃশ্য এবং চরিত্র জীবন্ত মনে হয়</t>
  </si>
  <si>
    <t>হেয়ার সিরাম আমার চুলকে চর্বিযুক্ত এবং অপরিষ্কার বোধ করে কোন দৃশ্যমান উন্নতি ছাড়াই</t>
  </si>
  <si>
    <t>সলিড কেনাবেচা তবে খুব মজবুত নয়</t>
  </si>
  <si>
    <t>সারটি ব্যবহারে কিছু পরিবর্তন হলেও গাছের ফলন খুব বেশি বৃদ্ধি পায়নি</t>
  </si>
  <si>
    <t>জিনিসটি জ্বলজ্বল করে তবে আমি যা ভেবেছিলাম তার চেয়ে কম উজ্জ্বল</t>
  </si>
  <si>
    <t>খুব দ্রুত বা তীক্ষ্ণ নয়</t>
  </si>
  <si>
    <t>ভাল মানের কিন্তু প্রতিযোগিতার তুলনায় সস্তা ও সীমিত কার্যকারিতা</t>
  </si>
  <si>
    <t>জলাধারে ছাঁচের বৃদ্ধি জল সরবরাহকে দূষিত করে</t>
  </si>
  <si>
    <t>অতিরিক্ত ঘষা গেলে ক্ষতি হতে পারে</t>
  </si>
  <si>
    <t>পেইন্ট টিউবগুলি খোলা কঠিন ছিল অত্যধিক শক্তি প্রয়োজন</t>
  </si>
  <si>
    <t>সীমিত তাপমাত্রা সেটিংস বিভিন্ন প্রয়োজন পূরণ করেনি</t>
  </si>
  <si>
    <t xml:space="preserve">  বামটির একটি অদ্ভুত টেক্সচার ছিল এবং এটি আমার ত্বকে একটি অবশিষ্টাংশ রেখেছিল</t>
  </si>
  <si>
    <t>প্যাকেজ করা চিপগুলি বাসি ছিল এবং ক্রঞ্চের অভাব ছিল পিচবোর্ডের মতো স্বাদ ছিল</t>
  </si>
  <si>
    <t>চার্জিং স্পিড এবং সুরক্ষা ফিচার সবই ভালো</t>
  </si>
  <si>
    <t>পণ্যটি প্রত্যাশিত  time পৌঁছেছে</t>
  </si>
  <si>
    <t>ঠাণ্ডা পানীয়টি বেশ সুস্বাদু তবে লেবুর পরিমাণ কম</t>
  </si>
  <si>
    <t>কাপড়ের মান মোটামুটি তবে দীর্ঘস্থায়ী কিনা সন্দেহ আছে</t>
  </si>
  <si>
    <t>চলমান ময়লা সমস্যা অবিলম্বে সমাধান প্রয়োজন</t>
  </si>
  <si>
    <t>বিউটি সোপটি ত্বককে মসৃণ করে তোলে</t>
  </si>
  <si>
    <t>এর গুণগত মানে নির্ভরযোগ্যতা অনিশ্চিত</t>
  </si>
  <si>
    <t>দামের তুলনায় রঙের সংখ্যা ও গুণমান চমৎকার</t>
  </si>
  <si>
    <t>চা একটি ঘাসযুক্ত স্বাদ ছিল নিম্নমানের পাতার পরামর্শ দেয়</t>
  </si>
  <si>
    <t>বাবা এটা অপছন্দ করেন না আবার কিছু বলেন ও না</t>
  </si>
  <si>
    <t>নোংরা খরগোশ ধারাবাহিক সমস্যা</t>
  </si>
  <si>
    <t>ভালো স্কুল সাপ্লাই নেই তবে আকার বেশ বড়</t>
  </si>
  <si>
    <t>গুণমানের দ্বারা ধারাবাহিকভাবে হতাশ হতাশাজনক</t>
  </si>
  <si>
    <t>শুধু ইলেকট্রনিক্সের জন্য উপযুক্ত</t>
  </si>
  <si>
    <t>টিনজাত শাকসবজি ছিল মসৃণ এবং তাজাতার অভাব ছিল যার স্বাদ অতিরিক্ত নোনতা ছিল</t>
  </si>
  <si>
    <t>টিনজাত মটরশুটি একটি ধাতব স্বাদ এবং মসৃণ টেক্সচার ছিল বাড়িতে তৈরি রসালোতা থেকে অনেক দূরে</t>
  </si>
  <si>
    <t>ইনডোর মনিটরিং নির্ভরযোগ্যতার জন্য সলিড ক্যামেরা অনিশ্চিত রয়ে গেছে</t>
  </si>
  <si>
    <t>ল্যাপটপ ব্যাগের কাঁধের স্ট্র্যাপটি সামান্য ওজনেই ছিঁড়ে গেছে ফলে ব্যবহার করতে অসুবিধা হচ্ছে</t>
  </si>
  <si>
    <t>শীর্ষ উপাদানটি লেমিনেটেড পার্টিকেল বোর্ড</t>
  </si>
  <si>
    <t>নোংরা পুতুল বইয়ের আবেদন থেকে বিরত থাকে</t>
  </si>
  <si>
    <t>ফটো পোশাকের সঠিক মূল্যায়ন এবং গুণমান প্রদর্শন করে না</t>
  </si>
  <si>
    <t>বক্সড কেক মিক্স শুষ্ক গন্ধহীন কেক উত্পন্ন করে যেগুলিতে ঘরে তৈরি মিষ্টির সমৃদ্ধির অভাব ছিল</t>
  </si>
  <si>
    <t>ব্যবহার বা কার্যকরভাবে পরিচালনা অসুবিধাজনক</t>
  </si>
  <si>
    <t>আমার যা দরকার ছিল যদিও কিছু আইটেম পৌঁছানোর পরে ক্ষতিগ্রস্থ হয়েছিল</t>
  </si>
  <si>
    <t>শিশুটি তার বন্ধুদের সাথে খুব আনন্দে খেলে</t>
  </si>
  <si>
    <t>স্থানান্তর করা যায় তবে সহজ নয়</t>
  </si>
  <si>
    <t>প্যালেটের রঙগুলি দ্রুত শুকিয়ে যাওয়ার প্রবানতা আছে</t>
  </si>
  <si>
    <t xml:space="preserve"> স্পিকার উচ্চ ভলিউমে কর্কশ শব্দ তৈরি করে যা মিডিয়া প্লেব্যাকের সময় অডিও গুণমানকে প্রভাবিত করে</t>
  </si>
  <si>
    <t>পাওয়ার কাট প্রটেকশন ফিচার আমার এসিকে বিদ্যুতের ওঠানামা থেকে রক্ষা করে</t>
  </si>
  <si>
    <t>ব্রেসলেট এর কালার ভাললাগেনি</t>
  </si>
  <si>
    <t>আমার ঘরের পর্দাগুলি খুবই সুন্দর এবং মানানসই</t>
  </si>
  <si>
    <t xml:space="preserve">ডিজেআই আরসি  ডিজেআই এয়ার  এবং ডিজেআই মিনি  প্রো নেক্সটজেন প্রসেসরের জন্য রিমোট কন্ট্রোলার  কিমি ও  </t>
  </si>
  <si>
    <t xml:space="preserve">  সমস্যাগুলির বিষয়ে যোগাযোগ করা হলে গ্রাহক পরিষেবাটি প্রতিক্রিয়াশীল এবং অসহায় ছিল সমস্যাটি অমীমাংসিত রেখে৷</t>
  </si>
  <si>
    <t>কিটটির প্রতিটি প্রোডাক্ট দীর্ঘস্থায়ী ফল দেয়</t>
  </si>
  <si>
    <t>কিছুটা কাজ করে তবে খুব ব্যবহারকারীবান্ধব নয়</t>
  </si>
  <si>
    <t>ডিশওয়াশারের ফাংশনগুলি ব্যবহার করা খুব সহজ</t>
  </si>
  <si>
    <t>ঠিক যা আমাদের প্রয়োজন ছিল</t>
  </si>
  <si>
    <t>সোপটি ত্বককে স্বাস্থ্যকর করে তোলে</t>
  </si>
  <si>
    <t>সীমিত রঙের বিকল্পগুলি রান্নাঘরের সাজসজ্জার সাথে মেলে না</t>
  </si>
  <si>
    <t>খুব বেশি জোরে ঘষা এড়িয়ে চলুন</t>
  </si>
  <si>
    <t>পোশাকের স্থায়িত্ব নেই ন্যূনতম পরিধানের পরে আলাদা হয়ে যায়</t>
  </si>
  <si>
    <t>ছবি প্রতারণামূলক প্রকৃত পোশাক নিম্নমানের</t>
  </si>
  <si>
    <t>সাধারণ মানের কম্ফর্টার কিছু বিশেষ নয়</t>
  </si>
  <si>
    <t>প্রতিদিনের ব্যবহার উপযোগী একটি পণ্য</t>
  </si>
  <si>
    <t>বিউটি সোপটি ত্বকের পিগমেন্টেশন কমায়</t>
  </si>
  <si>
    <t>কিছু পণ্যের বৈশিষ্ট্য অনুপস্থিত</t>
  </si>
  <si>
    <t>বইটির প্রচ্ছদ আকর্ষণীয় তবে গল্পের গতি কিছুটা ধীর</t>
  </si>
  <si>
    <t>বইটি অসাধারণ ছিল</t>
  </si>
  <si>
    <t>ফুলদানির উচ্চমানের কারুকার্য চোখ জুড়িয়ে দেয়</t>
  </si>
  <si>
    <t>কার্যকর এবং শক্তিশালী</t>
  </si>
  <si>
    <t>শালীন শব্দ মানের সাথে আরামদায়ক কিন্তু শব্দ বাতিলের ক্ষেত্রে শক্তিশালী নয়</t>
  </si>
  <si>
    <t>নান্দনিক আবেদন কিছুটা পুনরাবৃত্তি কেনা উত্সাহিত করবে</t>
  </si>
  <si>
    <t xml:space="preserve"> দরজা মসৃণভাবে খোলে না এটি ছাড়ার জন্য একটি শক্তিশালী টান প্রয়োজন</t>
  </si>
  <si>
    <t>পারফরম্যান্সের প্রত্যাশা পূরণ করতে ব্যর্থ সামগ্রিকভাবে হতাশাজনক</t>
  </si>
  <si>
    <t>বয়স নির্বিশেষে ব্যবহারযোগ্য</t>
  </si>
  <si>
    <t>ফিঙ্গারপ্রিন্ট সেন্সর অবিশ্বস্ত প্রায়ই নিবন্ধিত আঙ্গুলের ছাপ চিনতে ব্যর্থ হয়</t>
  </si>
  <si>
    <t>নির্ভরযোগ্যতা গড় মানের</t>
  </si>
  <si>
    <t>পাওয়ার ব্যাঙ্কের কেসিং স্ক্র্যাচপ্রতিরোধী হিসাবে বিজ্ঞাপিত হওয়া সত্ত্বেও সহজেই স্ক্র্যাচ হয়ে যায়</t>
  </si>
  <si>
    <t>ত্রুটিপূর্ণ নকশা পদদলিত বিচ্ছিন্নতা সমস্যা</t>
  </si>
  <si>
    <t>অদ্ভুত শীতল কিন্তু সব ব্যবহারের জন্য ব্যবহারিক নাও হতে পারে</t>
  </si>
  <si>
    <t>পোশাক আরামদায়ক তবে দামটা বেশি</t>
  </si>
  <si>
    <t>প্যাকেজিংয়ে প্রয়োজনীয় তথ্য অন্তর্ভুক্ত করা হয়েছে</t>
  </si>
  <si>
    <t>ফোনের চার্জিং পোর্টটি ঢিলে চার্জ করার জন্য একটি স্থিতিশীল সংযোগ বজায় রাখা কঠিন করে তোলে৷</t>
  </si>
  <si>
    <t>নতুন অতিথির কাছে আলোচনার বিষয় হয়ে ওঠে</t>
  </si>
  <si>
    <t>পাওয়ার ব্যাঙ্কের চার্জিং পোর্টগুলি তাদের আউটপুট অ্যাম্পেরেজ সহ লেবেলযুক্ত</t>
  </si>
  <si>
    <t>অনির্ভরযোগ্য কর্মক্ষমতা বিনিয়োগের মূল্য নয়</t>
  </si>
  <si>
    <t>সুস্বাদু তবে একটু তীব্র</t>
  </si>
  <si>
    <t>প্যাকেজিং আকর্ষণীয় এবং ভ্রমণের জন্য সুবিধাজনক</t>
  </si>
  <si>
    <t xml:space="preserve"> বাহ্যিক আবরণটি ন্যূনতম চাপে ফাটল ধরে যা নিম্নমানের বিল্ড কোয়ালিটি নির্দেশ করে</t>
  </si>
  <si>
    <t>পোর্টেবল ব্লেন্ডার স্মুদি বানায় তবে ব্লেড দুর্বল</t>
  </si>
  <si>
    <t>দেখতে ভালো লাগে তবে আরামদায়ক নয়</t>
  </si>
  <si>
    <t>সুস্বাদু তবে মিষ্টির পরিমাণ একটু কম হওয়া উচিত</t>
  </si>
  <si>
    <t>সেটিং স্প্রে অগ্রভাগ অসমভাবে পণ্য বিতরণ করে কিছু জায়গা ভিজা এবং অন্যগুলি শুকিয়ে যায়</t>
  </si>
  <si>
    <t>স্বয়ংক্রিয় সাবান বিতরণকারীর জলাধারটি ফুটো হয়ে যায় সর্বত্র সাবান ছড়িয়ে পড়ে</t>
  </si>
  <si>
    <t>মাঝারি মানের পণ্য হিসেবে এটি কিছুটা ভালো হতে পারতো</t>
  </si>
  <si>
    <t>ফ্যাব্রিকের রঙ ধোয়ার পরে দ্রুত বিবর্ণ হয় নিম্নমানের রঞ্জক</t>
  </si>
  <si>
    <t>এই ওয়াটার বোতলটি বহন করা সহজ এবং সুবিধাজনক</t>
  </si>
  <si>
    <t>পানি যোগ করা খুবই সহজ</t>
  </si>
  <si>
    <t>শুধু দামের জন্য পণ্য ঠিক থাকে না</t>
  </si>
  <si>
    <t>ক্যামেরার শাটার স্পিড খুবই ভালো</t>
  </si>
  <si>
    <t>সৌরচালিত ফাউন্টেন পাম্পের সাকশন কাপ ভালোভাবে লেগে থাকে না ঘন ঘন পড়ে যায়</t>
  </si>
  <si>
    <t>শব্দ কম হওয়ায় এটি ঘুমের সময় বিরক্ত করে না</t>
  </si>
  <si>
    <t>হাতের ঘড়িটির স্ট্র্যাপ খুবই আরামদায়ক</t>
  </si>
  <si>
    <t>আমি যে   মগটি কিনেছিলাম তাতে একটি দুর্গন্ধ ছিল যা একাধিক ধোয়ার পরেও দূর হবে না</t>
  </si>
  <si>
    <t>কন্টেইনারটি মোটামুটি কাজ করে কিছু বিশেষ নয়</t>
  </si>
  <si>
    <t>সব আইটেম একসঙ্গে কেনা যায় কিন্তু পৃথকভাবে কেনার অপশন নেই</t>
  </si>
  <si>
    <t>অস্বাস্থ্যকর অবস্থা শিশুদের জন্য অনুপযুক্ত</t>
  </si>
  <si>
    <t xml:space="preserve">সঠিক অনেক ভাল </t>
  </si>
  <si>
    <t>আকারের পার্থক্য বিভ্রান্তিকর উপস্থাপনা</t>
  </si>
  <si>
    <t>চুলের স্বাস্থ্য রক্ষায় সহায়ক এই শ্যাম্পু</t>
  </si>
  <si>
    <t>কিছু নতুন ফলন বেড়েছে তবে সারটির প্রভাব ছোট ছিল</t>
  </si>
  <si>
    <t>সামগ্রিকভাবে এটি একটি সাধারণ পানির বোতল যা তার কাজ ঠিকমতো করে খুব অসাধারণ কিছু নয় তবে ব্যবহারযোগ্য</t>
  </si>
  <si>
    <t>এটি ঘরের একটি ফোকাল পয়েন্ট হতে পারে</t>
  </si>
  <si>
    <t>দরকারী তবে বলিষ্ঠ নয়</t>
  </si>
  <si>
    <t>দাঁত ওঠার সময় ব্যবহার করা যায় তবে অন্য বিকল্পও আছে</t>
  </si>
  <si>
    <t>ফ্যাব্রিকের পাতলাতা সম্পর্কে সামান্য উষ্ণতা বা কভারেজ প্রদান করে</t>
  </si>
  <si>
    <t>এই বেডশীটটির ব্যবহার অত্যন্ত সহজ এবং সুবিধাজনক</t>
  </si>
  <si>
    <t>এই বডি ওয়াশ ব্যবহারে আপনার ত্বক হবে মসৃণ ও কোমল</t>
  </si>
  <si>
    <t>ঘড়িটির সঠিক সময় প্রদর্শন</t>
  </si>
  <si>
    <t>মূল্যবোধ ঠিক আছে ব্যতিক্রমী নয়</t>
  </si>
  <si>
    <t>মোবাইলটির স্ক্রিন সাইজ খুবই উপযুক্ত</t>
  </si>
  <si>
    <t>বালিশগুলির আকার এমন যে এগুলি সহজেই স্ট্যান্ডার্ড বালিশের কভারে ফিট হয়</t>
  </si>
  <si>
    <t>মাইক্রোওয়েভ খাদ্য নিরাপত্তার জন্য ব্যবহার করার সময় একটি অদ্ভুত গন্ধ নির্গত করে</t>
  </si>
  <si>
    <t>মধুটি দুধের সাথে মিশিয়ে খাওয়া যায়</t>
  </si>
  <si>
    <t>হতাশাজনক পণ্য এড়িয়ে চলুন</t>
  </si>
  <si>
    <t>কফিতে একটি কঠোর তিক্ততা ছিল যা অন্যান্য স্বাদকে অভিভূত করেছিল</t>
  </si>
  <si>
    <t>তাপমাত্রা ডিসপ্লে আছে</t>
  </si>
  <si>
    <t>অস্থির এবং অতিরিক্ত দাম হতাশ</t>
  </si>
  <si>
    <t>হিমায়িত শাকসবজি ছিল মসৃণ এবং তাজাতার অভাব ছিল একটি মসৃণ স্বাদ এবং অপ্রীতিকর টেক্সচারের সাথে</t>
  </si>
  <si>
    <t>সোলার চার্জার ডিভাইস চার্জ করে না অর্থের অপচয়</t>
  </si>
  <si>
    <t>স্লিপবাডের জন্য বাজারে সেরা কিছু ব্যবহারকারী আরও ভাল বিকল্প খুঁজে পেয়েছেন</t>
  </si>
  <si>
    <t>ক্যামেরার অটোএক্সপোজার সিস্টেম প্রায়শই ছবিগুলিকে অতিরিক্ত এক্সপোজ করে বা কম এক্সপোজ করে</t>
  </si>
  <si>
    <t>প্লাস্টিকের ফুলটি পরিবেশবান্ধব কারণ এটি বারবার ব্যবহার করা যায়</t>
  </si>
  <si>
    <t>ব্যবহারের পর সম্পূর্ণ শুকিয়ে রাখা উচিত</t>
  </si>
  <si>
    <t>দুলগুলো আমার দৈনন্দিন পোশাকের সাথেও মানানসই</t>
  </si>
  <si>
    <t>কিটটির প্রতিটি শেড সুন্দরভাবে মিশে যায়</t>
  </si>
  <si>
    <t>মোবাইলটির প্রিমিয়াম লুক খুবই আকর্ষণীয়</t>
  </si>
  <si>
    <t>প্রদত্ত মানের জন্য আইটেমের দামটি অযৌক্তিকভাবে উচ্চ ছিল</t>
  </si>
  <si>
    <t>সাজানোর জন্য বিভিন্ন কৌশল প্রয়োগ করা যায়</t>
  </si>
  <si>
    <t>টু পিস কিছুটা সাধারণ</t>
  </si>
  <si>
    <t>ক্ষীণ ঢাকনা নিরাপদে সিল করেনি যার ফলে ছিটকে পড়ে</t>
  </si>
  <si>
    <t>বইটি পড়তে ভালো লেগেছে কিন্তু চরিত্রগুলোর গভীরতা কম</t>
  </si>
  <si>
    <t>ভালো পণ্য কিছু ত্রুটি আছে</t>
  </si>
  <si>
    <t>পোর্টেবল প্রজেক্টরের ছবি অস্পষ্ট খারাপ ছবির গুণমান</t>
  </si>
  <si>
    <t>ওভেনের অভ্যন্তরীণ আলো জ্বলছে রান্নার অগ্রগতি নিরীক্ষণ করা কঠিন করে তোলে</t>
  </si>
  <si>
    <t>ত্বকের ক্ষতি মেরামত করে এই বডি ওয়াশ</t>
  </si>
  <si>
    <t>হোটেলের ঘরগুলো খুবই পরিষ্কার এবং আরামদায়ক</t>
  </si>
  <si>
    <t>স্কুলের মাঠে সবসময় আনন্দময় খেলা হয়</t>
  </si>
  <si>
    <t>দামের তুলনায় গুণগত মান খুব ভালো</t>
  </si>
  <si>
    <t>ফ্লেম রেটার্ডেন্ট প্লাস্টিক ব্যবহৃত হয়েছে</t>
  </si>
  <si>
    <t>টিমের সদস্যরা সবসময় একে অপরকে সাহায্য করে</t>
  </si>
  <si>
    <t>এই ডিনার সেটের প্রতিটি পাত্রের ওজন সুষমভাবে বণ্টিত এটি ব্যবহার করার সময় একটি ভারসাম্যপূর্ণ অনুভূতি দেয়</t>
  </si>
  <si>
    <t>শীতল করার ক্ষমতা খুব ভালো</t>
  </si>
  <si>
    <t xml:space="preserve">মেট্রোরেলে পাইয়া যাবেন বিমানের ফিল </t>
  </si>
  <si>
    <t xml:space="preserve">  বামের একটা অদ্ভুত গন্ধ ছিল যে আমি সহ্য করতে পারছিলাম না</t>
  </si>
  <si>
    <t>ধোয়া সহজ কিন্তু আকার বজায় রাখা কঠিন</t>
  </si>
  <si>
    <t>ফোনের নেভিগেশন অঙ্গভঙ্গিগুলি অসামঞ্জস্যপূর্ণ কখনও কখনও সোয়াইপ বা ট্যাপ নিবন্ধন করতে ব্যর্থ হয়৷</t>
  </si>
  <si>
    <t>খাওয়ার জন্য প্রস্তুত খাবারগুলি প্রিজারভেটিভ দিয়ে ভরা ছিল এবং প্রচুর প্রক্রিয়াজাতকৃত স্বাদ নেওয়া হয়েছিল</t>
  </si>
  <si>
    <t>টোস্টারের গরম করার উপাদানগুলি অসম রুটির একপাশে পুড়ে যায়</t>
  </si>
  <si>
    <t>ফ্যাব্রিকটি ত্বকের বিরুদ্ধে স্যান্ডপেপারের মতো অনুভব করে অত্যন্ত অস্বস্তিকর</t>
  </si>
  <si>
    <t>আমাদের বাগানে পাখিরা সবসময় গান গায়</t>
  </si>
  <si>
    <t>শ্যাম্পুর ব্যবহারে চুল অনেক সিল্কি হয়ে গেছে</t>
  </si>
  <si>
    <t xml:space="preserve"> বাইরের পকেটগুলি আইটেমগুলিকে নিরাপদে রাখার জন্য যথেষ্ট গভীর নয়</t>
  </si>
  <si>
    <t>গাঢ় পুঁতিতে কিছু জ্বলজ্বল করে আবার কিছু পুঁতি জ্বলজ্বল নাও করতে পারে</t>
  </si>
  <si>
    <t>ব্রাশগুলি ক্যানভাসে রেখা ও চিহ্ন রেখে গেছে</t>
  </si>
  <si>
    <t>অবশেষে আমার গাড়ির জন্য নিখুঁত চার্জার</t>
  </si>
  <si>
    <t>দামের জন্য অসামান্য তবে কিছু ক্ষেত্রে উন্নতির সুযোগ রয়েছে</t>
  </si>
  <si>
    <t>ডিজিটাল লাগেজ স্কেল কাজ করে তবে ব্যাটারি দ্রুত শেষ হয়</t>
  </si>
  <si>
    <t xml:space="preserve"> চার্জিং কেবলটি খুব ছোট ব্যবহারকারীদের রিচার্জ করার সময় পাওয়ার উত্সের কাছাকাছি থাকতে হয় নমনীয়তা সীমিত করে</t>
  </si>
  <si>
    <t>চিত্রগুলি হতাশাজনক অপ্রতুল এবং অপার্থিব</t>
  </si>
  <si>
    <t>টেক্সচারাইজিং স্প্রে আমার চুলকে আঠালো এবং শক্ত বোধ করেছে</t>
  </si>
  <si>
    <t>হেয়ার ড্রায়ারের বায়ুপ্রবাহ দুর্বল চুল শুকাতে বেশি সময় লাগে</t>
  </si>
  <si>
    <t>মাত্র কয়েকটি ব্যবহারের পর দীর্ঘায়ু নিয়ে অনিশ্চয়তা দেখা দিতে পারে</t>
  </si>
  <si>
    <t>বালিশগুলির উপরের অংশ এতটাই মসৃণ যে আমি প্রায়ই বালিশের কভার ছাড়াই শুতে পারি</t>
  </si>
  <si>
    <t>হাতে ধরা সহজ হবে আশা করি</t>
  </si>
  <si>
    <t>ব্যাগে সহজে নেওয়া যায়</t>
  </si>
  <si>
    <t>ওয়্যারলেস চার্জারটি দ্রুত এবং নির্ভরযোগ্যভাবে কাজ করে</t>
  </si>
  <si>
    <t>পানি ভর্তি করার সময় সাবধান থাকতে হয়</t>
  </si>
  <si>
    <t>আমার ফোন খুব দ্রুত চার্জ হয়ে যায় যা আমার সময় বাঁচায়</t>
  </si>
  <si>
    <t>খাবারের স্বাদ বজায় রাখে তবে দীর্ঘ সময় ধরে নয়</t>
  </si>
  <si>
    <t>দুখজনক ক্রয় অস্থির এবং ক্ষীণ</t>
  </si>
  <si>
    <t>আধুনিক ও ক্লাসিক ডিজাইনের মিশ্রণ</t>
  </si>
  <si>
    <t>বাতাসে উল্টে যাওয়ার ভয় নেই এর শক্ত কাঠামো যেকোনো আবহাওয়া মোকাবেলা করে</t>
  </si>
  <si>
    <t>বাতাসের তীব্রতা সহজেই নিয়ন্ত্রণ করা যায়</t>
  </si>
  <si>
    <t>সস্তা উপকরণ এটি ক্ষীণ এবং নিষ্পত্তিযোগ্য মনে করে তোলে</t>
  </si>
  <si>
    <t>কাপগুলি খুব বড় ছিল তাদের ধরে রাখা কঠিন করে তোলে</t>
  </si>
  <si>
    <t>এটির রেটিংস দিতে গেলে আমি  দিবো আপনারা নিসন্দেহে নিতে পারেন</t>
  </si>
  <si>
    <t>পাওয়ার ব্যাঙ্কের ক্ষমতা সময়ের সাথে সাথে দ্রুত হ্রাস পায় সম্পূর্ণ চার্জ ধরে রাখার ক্ষমতা হারিয়ে ফেলে</t>
  </si>
  <si>
    <t>মোবাইল ফোনটি খুবই দ্রুত চার্জ হয়</t>
  </si>
  <si>
    <t>প্লেডো অর্ধেক শুকিয়ে এসেছে</t>
  </si>
  <si>
    <t>অপ্রতুল কুশনিং হতাশাজনক পারফরম্যান্স</t>
  </si>
  <si>
    <t>আলমারির ভিতরের তাকগুলো সহজেই সরানো যায় যা বিভিন্ন সাইজের বই রাখতে সুবিধাজনক</t>
  </si>
  <si>
    <t xml:space="preserve">ড্রায়ারটি দ্রুত কাজ করে কিন্তু কিছু সময় বেশি গরম হয়ে যেতে পারে </t>
  </si>
  <si>
    <t>প্রত্যেকবার নতুন কিছু আবিষ্কার করি</t>
  </si>
  <si>
    <t>একটি নোংরা পুতুলের সাথে একটি পোশাক পেয়েছি সম্পূর্ণ অস্বাস্থ্যকর</t>
  </si>
  <si>
    <t>প্রত্যাশা বেশি ছিল না এবং এটি সেই প্রত্যাশা ছাড়িয়ে যায়নি</t>
  </si>
  <si>
    <t>আমি সম্প্রতি এই ল্যাপটপ চার্জারটি কিনেছি ব্যবহারের পর আমার অভিজ্ঞতা মোটামুটি</t>
  </si>
  <si>
    <t>মেকআপ ব্রাশ হাতে আরামদায়ক</t>
  </si>
  <si>
    <t>দামি হেডফোন ব্যবহার করার চেয়েও এই স্পিকারে গান শুনতে বেশি ভালো লাগে</t>
  </si>
  <si>
    <t>মুখে দেওয়ার সাথে সাথে বেশ সতেজ অনুভব করি তবে কিছুক্ষণ পর স্বাদটা একটু বেশি তীব্র মনে হয়</t>
  </si>
  <si>
    <t>মোজা কিছুটা পাতলা দিকে ঘন হতে পারে</t>
  </si>
  <si>
    <t>বইটি পড়ে অনেক আনন্দ পেয়েছি</t>
  </si>
  <si>
    <t>লেখার ধরণ অনেক প্রাঞ্জল</t>
  </si>
  <si>
    <t>সোপটি ত্বকের পিএইচ লেভেল ঠিক রাখে</t>
  </si>
  <si>
    <t>বিভিন্ন আকারে উপলব্ধ তবে নকশায় বিশেষ আকর্ষণ নেই</t>
  </si>
  <si>
    <t>মান নিয়ন্ত্রণের অভাবে মান হ্রাস পেয়েছে</t>
  </si>
  <si>
    <t>সুস্বাদু তবে স্বাদ একটু বেশি গা dark ়</t>
  </si>
  <si>
    <t>সেরা  গেমিং কর্মক্ষমতা এবং মান</t>
  </si>
  <si>
    <t>ত্বকের রেডনেস কমায় এই বডি ওয়াশ</t>
  </si>
  <si>
    <t xml:space="preserve"> বাহকের বাকলগুলি শক্ত এটি নিরাপদে বেঁধে রাখা কঠিন করে তোলে</t>
  </si>
  <si>
    <t>সুগন্ধটি কৃত্রিম ছিল বিজ্ঞাপিত গন্ধের সাথে কোন মিল ছিল না</t>
  </si>
  <si>
    <t>মেয়েটি প্রতিদিন বিকেলে বাগানে সময় কাটায়</t>
  </si>
  <si>
    <t>লিক প্রুফ নয় তরল পদার্থ রাখার জন্য পুরোপুরি নিরাপদ নয়</t>
  </si>
  <si>
    <t>ফুলদানির ডিজাইন কৃত্রিম ফুলের সাথে সুন্দরভাবে মানানসই</t>
  </si>
  <si>
    <t xml:space="preserve"> স্পিকারগুলি উচ্চপিচের চিৎকার নির্গত করে বিশেষত শান্ত দৃশ্যের সময়</t>
  </si>
  <si>
    <t>বারবার গুণমানের সমস্যাগুলির দ্বারা হতাশ</t>
  </si>
  <si>
    <t>নোংরা সারপ্রাইজ নষ্ট করেছে বিব্রতকর উপহার</t>
  </si>
  <si>
    <t>খেতে খুবই ভালো লাগে</t>
  </si>
  <si>
    <t xml:space="preserve"> দরজা নিরাপদে বন্ধ হয় না রান্নার সময় তাপ পালাতে দেয়</t>
  </si>
  <si>
    <t>ব্রাশগুলির দৈর্ঘ্য অসমান ছিল যা পেইন্টিংয়ের সঠিকতাকে প্রভাবিত করে</t>
  </si>
  <si>
    <t>ফোনটি প্রথম থেকেই ভাল ছিল</t>
  </si>
  <si>
    <t>মাস্কারার কাঠিটি খুব বড় এটি ভিতরের দোররা পর্যন্ত পৌঁছানো কঠিন করে তোলে</t>
  </si>
  <si>
    <t>যে কোনো ধরনের মিউজিক বাজালেও সাউন্ড কোয়ালিটি একই রকম অসাধারণ থাকে</t>
  </si>
  <si>
    <t>কিছু ক্ষেত্রে ভালো তবে আরও উন্নতির সুযোগ আছে</t>
  </si>
  <si>
    <t>সুপার দুর্দান্ত কিন্তু কিছু টুকরা দরকারী নয়</t>
  </si>
  <si>
    <t>প্রতিদিনের নাস্তা বা স্ন্যাকস হিসেবে খুবই উপযোগী</t>
  </si>
  <si>
    <t>অতিরিক্ত চাপের সাথে স্ক্রীনের ক্ষতির ঝুঁকি রয়েছে</t>
  </si>
  <si>
    <t>শেলফটির প্রতিটি স্তর সরানো এবং পুনস্থাপন করা সহজ</t>
  </si>
  <si>
    <t>এটি অনলাইনে কেনা যায়</t>
  </si>
  <si>
    <t>কাপড়ের মান গ্রহণযোগ্য কিন্তু উন্নতি করার সুযোগ আছে</t>
  </si>
  <si>
    <t xml:space="preserve"> যদিও বেশ কিছুক্ষণ ধরে ব্যবহার করা যায় কিন্তু যদি দ্রুত চার্জ দরকার হয় </t>
  </si>
  <si>
    <t>এটি মেকআপ রুটিনকে পেশাদার করে তোলে</t>
  </si>
  <si>
    <t>ভালো ক্যামেরাএটির রেস্পন্স ও অনেক ভালো পেয়েছি এটির রেটিংস দিতে গেলে আমি  দিবো আপনারা নিসন্দেহে নিতে পারেন</t>
  </si>
  <si>
    <t>ব্যবহার করতে অস্বস্তিকর এবং সঠিকভাবে মাপসই করা হয়নি</t>
  </si>
  <si>
    <t>সাইড টেবিলগুলোর উচ্চতা সোফার সাথে পারফেক্টভাবে মানানসই</t>
  </si>
  <si>
    <t>ত্বকের টেক্সচার উন্নত করে এই বডি ওয়াশ</t>
  </si>
  <si>
    <t>আপনারা চাইলে নিতে পারেন অরজিনাল দুবাইক কপি</t>
  </si>
  <si>
    <t>ফাউন্ডেশনের শেড খুব কমলা এটি ত্বকে অপ্রাকৃতিক দেখায়</t>
  </si>
  <si>
    <t>খুবই শক্তিশালী এবং টেকসই</t>
  </si>
  <si>
    <t>লেখকের কল্পনাশক্তি অত্যন্ত মুগ্ধকর</t>
  </si>
  <si>
    <t>কিছু সীমাবদ্ধতা সহ কুইল্টগুলিতে ব্যবহারের জন্য কার্যকর</t>
  </si>
  <si>
    <t>মাইক্রোওয়েভ কাজ করার সময় একটি উচ্চস্বরে গুঞ্জন শব্দ নির্গত করে এটি ব্যবহারে অপ্রীতিকর করে তোলে</t>
  </si>
  <si>
    <t>ফ্যাব্রিক পাতলা এবং ক্ষীণ মনে হয় স্থায়িত্বের অভাব হয়</t>
  </si>
  <si>
    <t>হেয়ার সিরাম আমার চুলকে চর্বিযুক্ত এবং অপরিষ্কার বোধ করে</t>
  </si>
  <si>
    <t>পুতুলটি সহজেই পরিষ্কার করা যায় যা আমার মতো ব্যস্ত মায়ের জন্য একটি বড় প্লাস পয়েন্ট</t>
  </si>
  <si>
    <t>ভিডিও স্থিতিশীলতা অপর্যাপ্ত যার ফলে ন্যূনতম নড়াচড়ার সাথেও নড়বড়ে ফুটেজ</t>
  </si>
  <si>
    <t>কিছু ফলন বৃদ্ধি পেলেও সারটির কার্যকারিতা পুরোপুরি প্রমাণিত হয়নি</t>
  </si>
  <si>
    <t>দীর্ঘক্ষণ ব্যবহারের সময় ফোনটি অতিরিক্ত গরম হয়ে যায় যার ফলে অস্বস্তি হয় এবং ডিভাইসটির সম্ভাব্য ক্ষতি হয়</t>
  </si>
  <si>
    <t>বইয়ের আলমারিটির নীচের অংশে রাখা শক্ত পায়াগুলো এটিকে স্থিরতা দিয়েছে</t>
  </si>
  <si>
    <t>কিছু আইটেম ক্ষতিগ্রস্ত হতে পারে তবে সবসময় নয়</t>
  </si>
  <si>
    <t>শীতকালে হাত গরম রাখতে ব্যবহার করা যায়</t>
  </si>
  <si>
    <t>প্রতিটি ঘরের জন্য একটি আদর্শ অলংকরণ</t>
  </si>
  <si>
    <t>মেয়েটি তার প্রজেক্টে পুরস্কার পেয়েছে</t>
  </si>
  <si>
    <t>পণ্যটি ব্যবহার করে ঘরের পরিচ্ছন্নতা বজায় রাখা সহজ</t>
  </si>
  <si>
    <t>ব্যবহার করা সহজ এবং মান আছে মটামোটি</t>
  </si>
  <si>
    <t>কফি গ্রাইন্ডারের মোটর অতিরিক্ত গরম হয়ে যায় এবং ব্যবহারের সময় বন্ধ হয়ে যায় নাকাল বন্ধ করে দেয়</t>
  </si>
  <si>
    <t>ডিজাইন সাধারণ কোনো বিশেষ আকর্ষণ নেই</t>
  </si>
  <si>
    <t>বোতল ব্রাশের ব্রিস্টলগুলি সহজেই পড়ে যায় বোতলের অবশিষ্টাংশ রেখে যায়</t>
  </si>
  <si>
    <t>লিকেজ প্রতিরোধ ক্ষমতা যথেষ্ট ভালো</t>
  </si>
  <si>
    <t xml:space="preserve"> মরিচা পড়ার প্রবণতা বিশেষ করে আর্দ্র পরিবেশে এর স্থায়িত্ব এবং স্থায়িত্বের সাথে আপস করে</t>
  </si>
  <si>
    <t>বড় পরিমাণ ব্যবহার করা সত্ত্বেও বুদ্বুদ স্নান অনেক বুদবুদ তৈরি করেনি</t>
  </si>
  <si>
    <t>ইউভি স্টেরিলাইজার বক্সটি জীবাণু মারে তবে জায়গা সীমিত</t>
  </si>
  <si>
    <t>প্রয়োজনে ঠান্ডা পানিও ব্যবহার করা যায়</t>
  </si>
  <si>
    <t>সবচেয়ে সুরক্ষিত ফোন হোল্ডার</t>
  </si>
  <si>
    <t>রঙটি ঠিক যা আশা করেছিলাম তা নয় কিন্তু মেনে নেওয়া যায়</t>
  </si>
  <si>
    <t>সোপটি ত্বকের মসৃণতা ফিরিয়ে আনে</t>
  </si>
  <si>
    <t>শিশুটি তার বন্ধুদের সাথে সবসময় খেলে</t>
  </si>
  <si>
    <t>কিছু ক্ষেত্রে ব্যবহারিক কিছু ক্ষেত্রে অপ্রয়োজনীয় মনে হয়েছে</t>
  </si>
  <si>
    <t>ইনস্টলেশন প্রক্রিয়া ছিল খুবই সহজ টেকনিশিয়ানরা পেশাদার ও দক্ষ ছিলেন</t>
  </si>
  <si>
    <t>চমৎকার কানের কুঁড়ি বিশেষ করে দামের জন্য</t>
  </si>
  <si>
    <t>চলমান ময়লা সমস্যা প্রচেষ্টা সত্ত্বেও অমীমাংসিত</t>
  </si>
  <si>
    <t>ঢাকনা মসৃণভাবে ফিট হয় না বাতাস এবং আর্দ্রতা প্রবেশ করতে দেয়</t>
  </si>
  <si>
    <t>ব্রণ চিকিত্সা জেলে বেনজয়াইল পারক্সাইড থাকে যা যোগাযোগের সময় কাপড় এবং তোয়ালে ব্লিচ করে</t>
  </si>
  <si>
    <t>চা পাতাগুলি অক্সিডাইজড এবং বাদামী ছিল তাজা পাতার প্রাণবন্ত সবুজ রঙের অভাব ছিল</t>
  </si>
  <si>
    <t>দুই কোটে ঘি ভালো কভারেজ দেয়</t>
  </si>
  <si>
    <t>হ্যান্ডেলটি সহজে স্থানান্তর করা যাবে মনে হয়</t>
  </si>
  <si>
    <t>ময়শ্চারাইজারটি পাতলা অনুভূত হয় এবং ত্বককে ভালোভাবে ময়শ্চারাইজ করে না</t>
  </si>
  <si>
    <t>ফ্যানটির ডিজাইন এবং কাঠামো অত্যন্ত সুন্দর এবং ফিউচারসমৃদ্ধ</t>
  </si>
  <si>
    <t>অনিয়মিত কার্সার আন্দোলন ব্যবহারের সময় হতাশা সৃষ্টি করে</t>
  </si>
  <si>
    <t>পেনসিলটির ডিজাইন খুবই আরামদায়ক হাতে ধরে লিখতে খুব সহজ</t>
  </si>
  <si>
    <t>এটি কাজ করতে একটু কঠিন হতে পারে তবে চেষ্টা করলে সম্ভব</t>
  </si>
  <si>
    <t>নেইল ড্রায়ারটি নেইল পলিশ শুকায় তবে সময় বেশি লাগে</t>
  </si>
  <si>
    <t>ব্যবহারের সময় গন্ধের কোনো উপস্থিতি নেই</t>
  </si>
  <si>
    <t>ব্যক্তিগতভাবে পোশাকের রঙ অনলাইনে দেখানো রঙের সাথে মেলেনি যা হতাশার দিকে পরিচালিত করে</t>
  </si>
  <si>
    <t>প্যাকেজিংটি বিভ্রান্তিকর ছিল কফির গুণমানকে অতিরঞ্জিত করে</t>
  </si>
  <si>
    <t xml:space="preserve">খুব সুরক্ষিত </t>
  </si>
  <si>
    <t xml:space="preserve">আলহামদুলিল্লাহ দাম হিসেবে গেঞ্জি অনেক সুন্দর হয়েছে কিন্তু আমার একটু বড় হইছে সবাই কিনতে পারেন গেঞ্জির মান অনেক ভালো </t>
  </si>
  <si>
    <t>স্মার্ট লক ঘন ঘন জ্যাম করে আমাকে আমার বাড়ি থেকে তালা দেয়</t>
  </si>
  <si>
    <t>পোর্টেবল এয়ার কন্ডিশনার উচ্চ শব্দ নির্গত করে ঘুমের ব্যাঘাত ঘটায়</t>
  </si>
  <si>
    <t>মেকআপ কিটটি বহন করা খুবই সহজ</t>
  </si>
  <si>
    <t>অফিস এবং পার্টির জন্য উপযোগী</t>
  </si>
  <si>
    <t>চার্জিং টাইম খুব কম দ্রুত চার্জ হয় মাত্র এক ঘন্টার মধ্যে সম্পূর্ণ চার্জ হয়ে যায়</t>
  </si>
  <si>
    <t>শিশু লন্ড্রি ডিটারজেন্টের ঘ্রাণ খুব শক্তিশালী শিশুর ত্বকে জ্বালা সৃষ্টি করে</t>
  </si>
  <si>
    <t>বেশ ভাল কিছু টুকরো ত্রুটিযুক্ত লেগেছে</t>
  </si>
  <si>
    <t>আকারআকৃতি সাধারণ বিশেষ কোনো ডিজাইন নেই</t>
  </si>
  <si>
    <t>ক্রিকেট পিচের পিচ রোলার মসৃণ তবে তেল ব্যবহার বেশি হয়</t>
  </si>
  <si>
    <t>সাহস থাকলে পুঁতির মালা ছিটিয়ে দাও</t>
  </si>
  <si>
    <t>খুব ভালো বলা যায় না</t>
  </si>
  <si>
    <t>হাইপোঅলার্জেনিক হিসাবে বর্ণনা করা সত্ত্বেও গয়নাটি অল্প সময়ের জন্য পরার পরে আমার ত্বকে জ্বালা এবং লালভাব সৃষ্টি করে</t>
  </si>
  <si>
    <t>ধোয়া যায় তবে রঙ একটু ফিকে হয়ে যায়</t>
  </si>
  <si>
    <t>ছবির গুণমান দানাদার এবং পিক্সেলেটেড ছিল এমনকি হাইডেফিনিশন চ্যানেলেও</t>
  </si>
  <si>
    <t>ভাল মানের কিছু সীমাবদ্ধতা সহ</t>
  </si>
  <si>
    <t>আইটেমের বোতাম বা কন্ট্রোল খারাপভাবে অবস্থান করছে</t>
  </si>
  <si>
    <t>একটি ঠিক আছে স্পোর্টি পোলো যা অপ্রতিরোধ্য না হয়ে কিছুটা উল্লেখযোগ্য</t>
  </si>
  <si>
    <t>পণ্যটি মেঝে পরিষ্কার রাখতে সাহায্য করার জন্য ডিজাইন করা হয়েছে</t>
  </si>
  <si>
    <t>প্যাকেজিংয়ে কফির উৎপত্তি এবং রোস্ট সম্পর্কে তথ্যের অভাব ছিল</t>
  </si>
  <si>
    <t>এত বাজে বালিস তুলো সব খুলে যাচ্ছে একদম এ ভালো না</t>
  </si>
  <si>
    <t xml:space="preserve">  জেলের একটি পাতলা টেক্সচার ছিল যা আমি পছন্দ করি না</t>
  </si>
  <si>
    <t>রানিং ট্র্যাকস্যুট হালকা কিন্তু দীর্ঘ সময় পরে ছেঁড়ে যায়</t>
  </si>
  <si>
    <t>বাড়ির মূল্য বৃদ্ধি করবে কিনা অনিশ্চিত</t>
  </si>
  <si>
    <t>ডিজাইন আকর্ষণীয় তবে সেলাই টেকসই নয়</t>
  </si>
  <si>
    <t>আমাদের বাগানে সবসময় ফুল ফোটে</t>
  </si>
  <si>
    <t>বিশেষ কোনো প্রযুক্তি ব্যবহার করা হয়নি</t>
  </si>
  <si>
    <t>উষ্ণতা ধরে রাখে তবে দীর্ঘক্ষণ নয়</t>
  </si>
  <si>
    <t>কফির মানে বোঝা যায় এর পিছনে রয়েছে অভিজ্ঞ কারিগর</t>
  </si>
  <si>
    <t>দাম কিছুটা বেশি</t>
  </si>
  <si>
    <t xml:space="preserve">     কব্জাগুলি ক্ষীণ এবং ভাঙ্গার প্রবণ যার ফলে দরজাগুলি ঝুলে যায় এবং সঠিকভাবে বন্ধ হয় না</t>
  </si>
  <si>
    <t>ডিজিটাল অ্যাংগল ফাইন্ডারটি কোণ মাপে কিন্তু ক্যালিব্রেশন কঠিন</t>
  </si>
  <si>
    <t>রঙটা বোতলের মতোই দেখায়</t>
  </si>
  <si>
    <t>কিটটির প্রতিটি প্রোডাক্ট সহজে মুছে ফেলা যায়</t>
  </si>
  <si>
    <t>পোশাকে সঠিক আস্তরণের অভাব রয়েছে যার ফলে এটি   সাথে অস্বস্তিকরভাবে আঁকড়ে থাকে এবং হাঁটা বা বসার সময় উপরে উঠে যায়</t>
  </si>
  <si>
    <t>কাঁধের স্ট্র্যাপগুলো প্যাড করা নয় যা দীর্ঘ সময় পরলে অস্বস্তি সৃষ্টি করে</t>
  </si>
  <si>
    <t>দুর্দান্ত পণ্য এবং দ্রুত পৌঁছেছে</t>
  </si>
  <si>
    <t>ক্ষতিগ্রস্ত হেমলাইন এবং ছেঁড়া পাতা সহ একটি   পেয়েছি নিম্নমানের নিয়ন্ত্রণ</t>
  </si>
  <si>
    <t>চাটির স্বাদ টক ছিল যা কম গাঁজন বা নিম্নমানের পাতা নির্দেশ করে</t>
  </si>
  <si>
    <t>টুথপেস্টের ফর্মুলা খুবই কার্যকর এবং দাঁতের জন্য উপকারী</t>
  </si>
  <si>
    <t>শ্যাম্পুর সামঞ্জস্য খুব ঘন ছিল এটি ধুয়ে ফেলা চ্যালেঞ্জিং করে তোলে</t>
  </si>
  <si>
    <t>পণ্যটি ব্যবহারের পর দাঁত পরিষ্কার ও মসৃণ লাগে</t>
  </si>
  <si>
    <t>ভালো কার্য করে</t>
  </si>
  <si>
    <t>প্রতিদিন আনন্দ দেয় কখনও নিরাশ করে না</t>
  </si>
  <si>
    <t>নখের বৃদ্ধিতে সাহায্য করতেে পারে</t>
  </si>
  <si>
    <t>খুব মুগ্ধদারুণ কাজ করে</t>
  </si>
  <si>
    <t>প্রতিবার এই কফি পান করে আমি অনুভব করি একটি আনন্দময় মুহূর্ত</t>
  </si>
  <si>
    <t>মেকআপ ব্রাশ বিভিন্ন ইফেক্ট তৈরি করতে পারে</t>
  </si>
  <si>
    <t>ব্যাগের সেলাই বা সীমগুলো আলগা হয়ে এসে সম্পূর্ণ ছিঁড়ে গেছে</t>
  </si>
  <si>
    <t>সারটি মাঝে মাঝে কার্যকরী হলেও সামগ্রিকভাবে খুব বেশি ফলন বৃদ্ধি পায়নি</t>
  </si>
  <si>
    <t>হেভিওয়েট নির্মাণ এটি পরিচালনা করা কঠিন করে তোলে</t>
  </si>
  <si>
    <t>মিশ্রণ প্রক্রিয়া সহজবোধ্য</t>
  </si>
  <si>
    <t>লেখকের কল্পনাশক্তি খুবই প্রশংসনীয়</t>
  </si>
  <si>
    <t>কোয়ালিটি মোটামুটি ভালো তবে বিশেষ কিছু নয়</t>
  </si>
  <si>
    <t>ট্র্যাকপ্যাড মাঝে মাঝে প্রতিক্রিয়াশীল নয় একটি ক্লিক নিবন্ধন করতে একাধিক ট্যাপের প্রয়োজন হয়</t>
  </si>
  <si>
    <t>আপনার অর্থের জন্য নিখুঁত মান কিছু টুকরো তেমন সুন্দর নয়</t>
  </si>
  <si>
    <t>মনোবল বাড়াতে সাহায্য করতে পারে</t>
  </si>
  <si>
    <t>এই শার্টটি নিয়ে কিছুটা সন্তুষ্ট তবে এটি নিখুঁত নয়</t>
  </si>
  <si>
    <t>আধুনিক ঘরের জন্য উপযোগী</t>
  </si>
  <si>
    <t>ভুলফিটিং ঢাকনা ব্যবহারের সময় ধ্রুবক ছড়িয়ে পড়ে</t>
  </si>
  <si>
    <t xml:space="preserve"> রিভিউ নির্দেশিকা ম্যানুয়াল পড়ে কিনেছি অনেক ভাল কাজ করছে</t>
  </si>
  <si>
    <t>ব্যাগের জিপারগুলি মসৃণভাবে কাজ করে এবং টেকসই</t>
  </si>
  <si>
    <t>আমার রিংগুলি স্লাইড করা থেকে আটকায় তবে কারও কাছে অস্বস্তিকর হতে পারে</t>
  </si>
  <si>
    <t>স্মার্ট ওয়াটার বোতলের ঢাকনা মেকানিজম সহজেই ভেঙে যায় বোতলটি ব্যবহারের অযোগ্য হয়ে যায়</t>
  </si>
  <si>
    <t>এই প্লাস্টিকের ফুলসহ ফুলদানিটি আমার ঘরের সৌন্দর্য বাড়িয়েছে</t>
  </si>
  <si>
    <t>অসন্তোষজনক স্থায়িত্ব পুনরাবৃত্তি সমস্যা</t>
  </si>
  <si>
    <t>অনুশীলনকে এত মজাদার করে তোলে কিন্তু মজবুত না</t>
  </si>
  <si>
    <t>ফিল্টার কার্যকর এবং পরিষ্কার করা সহজ</t>
  </si>
  <si>
    <t>হিমায়িত মুরগির নাগেটগুলি ছিল রাবারি এবং কার্ডবোর্ডের মতো স্বাদযুক্ত কোনও আসল মুরগির স্বাদ ছিল না</t>
  </si>
  <si>
    <t>শ্যাম্পুর ব্যবহার চুলকে মসৃণ ও উজ্জ্বল করে তোলে</t>
  </si>
  <si>
    <t>চায়ের ঢাকনাটি নিরাপদে ফিট হয়নি তোলার সময় ঝাঁকুনি দেয়</t>
  </si>
  <si>
    <t>প্রিপ্যাকেজ করা স্যান্ডউইচটিতে ভিজে যাওয়া রুটি ছিল এবং এর স্বাদ ছিল যেন এটি অনেকক্ষণ ধরে বসে ছিল</t>
  </si>
  <si>
    <t>এই টিভি মাউন্টটি সেটআপ করা সহজ এবং দৃঢ়</t>
  </si>
  <si>
    <t>পেনসিলটি অসাধারণ মানের এর লেখা অত্যন্ত স্পষ্ট এবং সুন্দর হয়</t>
  </si>
  <si>
    <t>দ্রুত কুলিং এবং হিটিং মোড পরিবর্তন করা যায় মৌসুম পরিবর্তনের সময় এটি খুব উপকারী</t>
  </si>
  <si>
    <t>পণ্যের সীমগুলি খারাপভাবে আঠালো ছিল সহজেই আলাদা হয়ে যায়</t>
  </si>
  <si>
    <t>মেকআপ সেটিং পাউডারে ফ্ল্যাশব্যাকপ্ররোচিত উপাদান রয়েছে যা ফটোতে একটি ভুতুড়ে চেহারা সৃষ্টি করে</t>
  </si>
  <si>
    <t xml:space="preserve"> টি খারাপভাবে প্যাকেজ করা ছিল এবং কুঁচকানো এবং ছিদ্রযুক্ত ব্যাপক স্টিমিং প্রয়োজন</t>
  </si>
  <si>
    <t>গ্রেট ভ্যালু</t>
  </si>
  <si>
    <t>আইটেমটি ভাঙা এবং অব্যবহারযোগ্য এসেছে</t>
  </si>
  <si>
    <t>বইয়ের আলমারিটির উচ্চতা পারফেক্ট সহজেই সব বই নাগালের মধ্যে পাওয়া যায়</t>
  </si>
  <si>
    <t>ক্যাম প্লাস  ওয়াইজ সিকিউরিটি প্ল্যান  ক্যামেরা ইভেন্ট ভিডিও ক্লাউড স্টোরেজ স্মার্ট সনাক্তকরণ পি</t>
  </si>
  <si>
    <t>সীমিত ওয়ারেন্টি কভারেজ আমাকে নিরাপত্তাহীন বোধ করেছে</t>
  </si>
  <si>
    <t>সেরা চুক্তি নয় তেমন</t>
  </si>
  <si>
    <t>এর ফ্লেভার খুবই ভালো</t>
  </si>
  <si>
    <t>ভাল মান তবে কিছু টুকরোর অভাব রয়েছে</t>
  </si>
  <si>
    <t>ওয়ার্ডরোবের ভিতরে বিল্টইন লাইট আছে</t>
  </si>
  <si>
    <t>মধুটি চায়ে বা কফিতে মিষ্টি হিসেবে ব্যবহার করা যায়</t>
  </si>
  <si>
    <t>বাচ্চাদের জন্য এই বইটি শিক্ষামূলক এবং মজাদার</t>
  </si>
  <si>
    <t>প্রথম ব্যবহারে অস্বস্তি অনুভূত হয়েছিল তবে পরে তা অভ্যাসে পরিণত হয়েছে</t>
  </si>
  <si>
    <t>সতর্কতা নীচের ট্রেড বিচ্ছিন্নতা সমস্যা</t>
  </si>
  <si>
    <t>চার্জারের ইউএসবি পোর্টগুলি একসাথে খুব কাছাকাছি এটি একসাথে একাধিক ডিভাইস প্লাগ ইন করা কঠিন করে তোলে</t>
  </si>
  <si>
    <t>শার্পনারটি মাউন্ট করার উপায়টি উল্লেখ করা হয়নি</t>
  </si>
  <si>
    <t>দুলগুলোর আকার আমার মুখের গঠনের সাথে পারফেক্টভাবে মানানসই</t>
  </si>
  <si>
    <t>পণ্য গ্রহণযোগ্য মানে ভাল আছে</t>
  </si>
  <si>
    <t>মেকআপ স্পঞ্জ অত্যধিক পণ্য শোষণ করে ব্যয়বহুল ফাউন্ডেশন এবং কনসিলার নষ্ট করে</t>
  </si>
  <si>
    <t>আশ্চর্যজনক পণ্য</t>
  </si>
  <si>
    <t>পোশাকটি বিভিন্ন আকারে পাওয়া যায়</t>
  </si>
  <si>
    <t>ফ্রিজের দরজার সীলটি ঢিলেঢালা ঠান্ডা বাতাসকে পালাতে এবং উষ্ণ বাতাসকে অনুপ্রবেশ করতে দেয়</t>
  </si>
  <si>
    <t>এই বইটি পড়ার জন্য খুবই আকর্ষণীয়</t>
  </si>
  <si>
    <t>আলমারির দরজার কাঁচগুলো খুব পরিষ্কার ও স্বচ্ছ</t>
  </si>
  <si>
    <t>ব্লুটুথ ট্র্যাকারটি জিনিস খুঁজে পেতে সাহায্য করে তবে ব্যাটারি দ্রুত শেষ হয়</t>
  </si>
  <si>
    <t>দাঁত পরিষ্কার করার জন্য এটি সেরা</t>
  </si>
  <si>
    <t>কিটটির প্রতিটি প্রোডাক্ট ত্বকের টোনের সাথে মানানসই</t>
  </si>
  <si>
    <t>চা খুব ভালো তবে শখের জিনিস না হওয়া সত্ত্বেও দামটা একটু বেশি</t>
  </si>
  <si>
    <t>ডিভাইসটির ক্যামেরার পারফরম্যান্স অসাধারণ</t>
  </si>
  <si>
    <t>অস্বাস্থ্যকর পুতুল মার্স বকের আবেদন</t>
  </si>
  <si>
    <t>টুথপেস্টের টিউবে ব্র্যান্ড লোগো আছে</t>
  </si>
  <si>
    <t>ফ্যাব্রিক পাতলা এবং অপ্রতুল মনে হয় পদার্থের অভাব হয়</t>
  </si>
  <si>
    <t>ঘন ঘন সংযোগ সমস্যা হতাশাজনক</t>
  </si>
  <si>
    <t>প্যাডটি সত্যিই অসাধারণ এর আরামদায়কতা আমাকে মুগ্ধ করেছে প্রথমবার ব্যবহার করার পর থেকেই এটি আমার প্রিয় হয়ে উঠেছে</t>
  </si>
  <si>
    <t>স্মার্ট ডোর লকের ফিঙ্গারপ্রিন্ট সেন্সর কাজ করে না দরজা আনলক করতে পারে না</t>
  </si>
  <si>
    <t>ব্যবহারের সময় হালকা হাতে ঘষা উচিত</t>
  </si>
  <si>
    <t>ত্বকের প্রাকৃতিক চমক বাড়ায় এই বডি ওয়াশ</t>
  </si>
  <si>
    <t>হ্যান্ডেলটি প্লাস্টিকের হাতে ধরা আরামদায়ক হতে পারে</t>
  </si>
  <si>
    <t>ঘরের আলোকসজ্জার জন্য ল্যাম্পটি সঠিক</t>
  </si>
  <si>
    <t>টুথপেস্টে ক্যাভিটি প্রতিরোধের ফর্মুলা অন্তর্ভুক্ত রয়েছে</t>
  </si>
  <si>
    <t>পেইন্টের রঙগুলি খুব স্বচ্ছ ছিল একাধিক স্তর প্রয়োজন</t>
  </si>
  <si>
    <t>অসন্তোষজনক অভিজ্ঞতা ক্রয় এড়িয়ে চলুন</t>
  </si>
  <si>
    <t>এই হেয়ার ব্রাশের হ্যান্ডেল খুব আরামদায়ক হাতে ভালোভাবে ধরা যায়</t>
  </si>
  <si>
    <t>আমাদের বাসার পরিবেশ সবসময় শান্ত থাকে</t>
  </si>
  <si>
    <t>ব্যাটারি ব্যাকআপ দুর্দান্ত দীর্ঘ সময় ধরে ব্যবহার করতে পারি একটানা  ঘণ্টা ব্যাটারি লাইফ পাওয়া যাচ্ছে যা সত্যিই প্রশংসনীয়</t>
  </si>
  <si>
    <t>পাত্রগুলির প্রান্তের অংশ এমনভাবে তৈরি করা হয়েছে যে সেগুলি একে অপরের উপর নিখুঁতভাবে স্তূপাকার করা যায় যা সংরক্ষণ সহজ করে</t>
  </si>
  <si>
    <t xml:space="preserve">ভালো চার্জার </t>
  </si>
  <si>
    <t>সুগন্ধ দুর্বল এবং নিষ্প্রভ ছিল মানসম্পন্ন চায়ের জটিলতার অভাব ছিল</t>
  </si>
  <si>
    <t>শুধু একটি সাধারণ ক্রয় তেমন অসাধারণ নয়</t>
  </si>
  <si>
    <t>প্রোডাক্টের গুণমান ভালো অ্যাপটি ঠিক আছে কিন্তু সাউন্ড নিখুঁত নয়</t>
  </si>
  <si>
    <t>পণ্যটির কার্যকারিতা ছিল সীমিত এবং অনিয়ন্ত্রিত</t>
  </si>
  <si>
    <t>পিচ্ছিল পৃষ্ঠ এটিকে নিরাপদে উপলব্ধি করা কঠিন করে তুলেছে</t>
  </si>
  <si>
    <t>অস্থির ত্রুটি হতাশাজনক নির্ভরযোগ্যতা</t>
  </si>
  <si>
    <t>এটি আমার পরিবারের প্রিয় বিস্কুট</t>
  </si>
  <si>
    <t>চেইন প্যাডেলের গিয়ার ভালো কিন্তু রং ফিকে হয়ে যায়</t>
  </si>
  <si>
    <t xml:space="preserve"> ক্যামেরার  জলজলপ্রতিরোধী কার্যকারিতা সীমিত হতে পারে</t>
  </si>
  <si>
    <t>ল্যাপটপের ফ্যান অত্যধিক জোরে ঘুরে শান্ত কাজের পরিবেশ  ব্যাহত করে</t>
  </si>
  <si>
    <t>প্রতিটি রঙ একে অপরের সাথে এত সুন্দরভাবে মিশে গেছে</t>
  </si>
  <si>
    <t xml:space="preserve">  আকার বিজ্ঞাপনের চেয়ে অনেক ছোট ছিল প্রয়োজনীয় জিনিসগুলি ফিট করতে অক্ষম</t>
  </si>
  <si>
    <t>বুকশেলফটি অনেক হালকা তাই সহজে স্থানান্তর করা যায়</t>
  </si>
  <si>
    <t>ফ্রিজের বাহ্যিক অংশ সহজে ক্ষত হয়ে যায় তার চেহারার সাথে আপস করে</t>
  </si>
  <si>
    <t>আমাদের বাগানের গাছগুলো অনেক লম্বা হয়েছে</t>
  </si>
  <si>
    <t>ডিশওয়াশারের দরজার ল্যাচ ভেঙে গেছে ঠিকভাবে বন্ধ হচ্ছে না</t>
  </si>
  <si>
    <t>বোতল ভালোভাবে বন্ধ হয়</t>
  </si>
  <si>
    <t>প্রতিটি পৃষ্ঠা পড়ে আনন্দ পেয়েছি</t>
  </si>
  <si>
    <t>এর কাঠের গুণমান খুবই চমৎকার এটি সহজে ভেঙে যায় না</t>
  </si>
  <si>
    <t xml:space="preserve"> টি সিম থেকে ঝুলন্ত আলগা থ্রেড ছিল যা পরার আগে ছাঁটাই করতে হয়েছিল</t>
  </si>
  <si>
    <t>সাউন্ড স্টেজিং এত ভালো যে চোখ বন্ধ করলে মনে হয় লাইভ পারফরম্যান্স শুনছি</t>
  </si>
  <si>
    <t>মপের কাপড়টি ধুলা কিছুটা ধরে রাখে</t>
  </si>
  <si>
    <t>শুকনো শ্যাম্পু আমার চুল আগের চেয়ে নোংরা অনুভব করে অদ্ভুত গন্ধে</t>
  </si>
  <si>
    <t>কলমটির গ্রিপ ধরে রাখা খুব সহজ এবং মসৃণভাবে লেখে</t>
  </si>
  <si>
    <t>ফ্যাব্রিক গড়পড়তা</t>
  </si>
  <si>
    <t>বৈদ্যুতিক স্কুটারের ব্যাটারির আয়ু বিজ্ঞাপনের চেয়ে অনেক কম পরিসীমা সীমিত</t>
  </si>
  <si>
    <t>ভাল না</t>
  </si>
  <si>
    <t>অ্যাবজরবেন্সি ক্ষমতা মোটামুটি ভালো</t>
  </si>
  <si>
    <t>মেকআপ কিটটি পেশাদার মানের ফলাফল দেয়</t>
  </si>
  <si>
    <t>প্রতিদিন পরিধানের জন্য ডিজাইনের ব্যবহারিকতার অভাব হতাশাজনক কার্যকারিতা</t>
  </si>
  <si>
    <t>মেয়েটি তার পরীক্ষায় অসাধারণ ফলাফল করেছে</t>
  </si>
  <si>
    <t>জুতার নকশা এবং আরাম একদম পারফেক্ট</t>
  </si>
  <si>
    <t>ক্যামেরার মান ভালো তবে পর্যালোচনা এবং প্রশ্ন বিভাগে কিছু ভুল তথ্য থাকতে পারে</t>
  </si>
  <si>
    <t>প্যাকেজ করা রমেন নুডলস অত্যধিক নোনতা ছিল এবং একটি অদ্ভুত কৃত্রিম গন্ধ ছিল</t>
  </si>
  <si>
    <t>ত্বকের নমনীয়তা বাড়ায় এই বডি ওয়াশ</t>
  </si>
  <si>
    <t>ক্যামেরার ব্যাটারি লাইফ হতাশাজনকভাবে ছোট ঘন ঘন রিচার্জের প্রয়োজন</t>
  </si>
  <si>
    <t>সৌরচালিত বাগানের আলো ম্লান আলোকসজ্জা</t>
  </si>
  <si>
    <t>ডেস্কের উপরের অংশ প্রশস্ত একসাথে অনেক কাজ করার জন্য পর্যাপ্ত</t>
  </si>
  <si>
    <t>বিউটি সোপটি প্রতিদিন ব্যবহারের জন্য উপযুক্ত</t>
  </si>
  <si>
    <t>বইয়ের আলমারিটির ভিতরে লাগানো এলইডি আলো পড়ার সময় চমৎকার পরিবেশ তৈরি করে</t>
  </si>
  <si>
    <t>সিলিকন বেকিং ম্যাটটি কাজ করে তবে পরিষ্কার করা কঠিন</t>
  </si>
  <si>
    <t>স্মার্টওয়াচের টাচস্ক্রিন প্রতিক্রিয়াহীন হয়ে পড়েছে যা নেভিগেশনকে বাধাগ্রস্ত করছে</t>
  </si>
  <si>
    <t>শিশুটি তার নতুন সাইকেল নিয়ে খুব খুশি</t>
  </si>
  <si>
    <t>প্যাকেটে টি ব্যাগ আছে</t>
  </si>
  <si>
    <t>আগমনের পরে ধারক খোলা অসন্তোষজনক অভিজ্ঞতা</t>
  </si>
  <si>
    <t>যা চেয়েছিলাম কিছুটা সন্তোষজনক</t>
  </si>
  <si>
    <t>বৈদ্যুতিক কম্বলের গরম করার উপাদানের ত্রুটি অসম গরম</t>
  </si>
  <si>
    <t>অস্থির এবং হতাশাজনক সুপারিশ করবেন না</t>
  </si>
  <si>
    <t>ওয়ালেটটি খুব মজবুত এবং দারুণভাবে ডিজাইন করা</t>
  </si>
  <si>
    <t>প্রসেসর এত দ্রুত কাজ করে কোনো ল্যাগ নেই</t>
  </si>
  <si>
    <t xml:space="preserve"> গোপ্রো  একেবারে আশ্চর্যজনক</t>
  </si>
  <si>
    <t>কাপড়ের মান গ্রহণযোগ্য</t>
  </si>
  <si>
    <t>ব্যবহারের আগে লিক পরীক্ষা করা উচিত</t>
  </si>
  <si>
    <t>এটা চমৎকার কাজ করে এবং আমি এটা পছন্দ করি</t>
  </si>
  <si>
    <t>ঘড়িটি বিভিন্ন আকারে পাওয়া যায়</t>
  </si>
  <si>
    <t>অ্যান্টিস্পাই ডিটেক্টর বৈশিষ্ট্যের কার্যকারিতা কিছুটা সীমিত থাকতে পারে</t>
  </si>
  <si>
    <t>গন্ধটি খুব শক্তিশালী এবং অপ্রতিরোধ্য ছিল যে কোনও সূক্ষ্মতাকে মুখোশ দিয়েছিল</t>
  </si>
  <si>
    <t>প্যাকেজিংটি বিভ্রান্তিকর ছিল চায়ের গুণমান এবং স্বাদকে অতিরঞ্জিত করে</t>
  </si>
  <si>
    <t xml:space="preserve"> স্থায়িত্বের অভাব রয়েছে মাত্র কয়েকটি পরিধানের পর পরা এবং ছিঁড়ে যাওয়ার লক্ষণ দেখায় যেমন পিলিং এবং বিবর্ণ</t>
  </si>
  <si>
    <t>অস্থির এবং হতাশাজনক  সুপারিশ করবেন না</t>
  </si>
  <si>
    <t xml:space="preserve">  উপাদান ক্ষীণ এবং হালকা এটি দীর্ঘমেয়াদী ব্যবহারের জন্য সস্তা এবং অবিশ্বস্ত বোধ করে</t>
  </si>
  <si>
    <t>মধুটি ওজন কমাতে সহায়ক</t>
  </si>
  <si>
    <t>আগমনের সময় ত্রুটিপূর্ণ পোশাক মান পরিদর্শনের অভাব নির্দেশ করে</t>
  </si>
  <si>
    <t>নতুন এবং স্টাইলিশ লুক দেয়</t>
  </si>
  <si>
    <t>ভারী কাজের জন্য হালকা মনে হতে পারে</t>
  </si>
  <si>
    <t>প্যাকেজ করা কুকিজ অত্যধিক মিষ্টি ছিল এবং একটি কৃত্রিম আফটারটেস্ট ছিল</t>
  </si>
  <si>
    <t>বৈদ্যুতিক টুথব্রাশের চার্জিং বেস টুথব্রাশকে ধারাবাহিকভাবে চার্জ করতে ব্যর্থ হয়েছে</t>
  </si>
  <si>
    <t>ধোয়ার পরেও অপ্রীতিকর রাসায়নিক গন্ধ দীর্ঘস্থায়ী হয় যা সামগ্রিক অভিজ্ঞতাকে প্রভাবিত করে</t>
  </si>
  <si>
    <t>অপর্যাপ্ত নিরাপত্তা বৈশিষ্ট্য পোড়া বা স্কাল্ডস একটি ঝুঁকি তৈরি</t>
  </si>
  <si>
    <t>ফ্যাব্রিকটি প্রত্যাশিত নয়</t>
  </si>
  <si>
    <t>ইউভি স্যানিটাইজার কার্যকরভাবে জীবাণু মারতে পারে না মিথ্যা বিজ্ঞাপন</t>
  </si>
  <si>
    <t>শক্তিশালী ছোট মেশিন</t>
  </si>
  <si>
    <t>কাপগুলি খুব সূক্ষ্ম ছিল ন্যূনতম চাপে সহজেই ভেঙে যায়</t>
  </si>
  <si>
    <t>ফোনের অ্যাপ স্টোরে জনপ্রিয় অ্যাপের বিস্তৃত নির্বাচন নেই কার্যকারিতা এবং ব্যবহারযোগ্যতা সীমিত</t>
  </si>
  <si>
    <t>দোলনার কারণে ফিরে এসেছি খুব হতাশ</t>
  </si>
  <si>
    <t>এটি অত্যন্ত সূক্ষ্ম কাজ তবে এর মূল্য নেই</t>
  </si>
  <si>
    <t>এই বিস্কুটটি সত্যিই দারুণ</t>
  </si>
  <si>
    <t xml:space="preserve"> পাওয়ার কর্ডটি খুব ছোট ছিল প্লেসমেন্টের বিকল্পগুলি সীমিত করে</t>
  </si>
  <si>
    <t>বিছানার ফ্রেমের স্ল্যাটগুলি খুব পাতলা এবং দুর্বল যার ফলে তারা ওজনে সহজেই ভেঙে যায়</t>
  </si>
  <si>
    <t>ঘড়িটি খুবই হালকা ওজনের</t>
  </si>
  <si>
    <t>মাইক্রোওয়েভ সেফ কিন্তু গরম হয়ে যায়</t>
  </si>
  <si>
    <t>শুকনো শ্যাম্পুটি আমার চুলে একটি সাদা কাস্ট রেখে গেছে যা ব্রাশ করা কঠিন ছিল</t>
  </si>
  <si>
    <t>মান দেখে আমি মুগ্ধ এগুলো সত্যিই দীর্ঘস্থায়ী</t>
  </si>
  <si>
    <t xml:space="preserve">  কুয়াশা পরে একটি অদ্ভুত গন্ধ ছিল যা অপ্রীতিকর ছিল</t>
  </si>
  <si>
    <t>ক্রয়ের পরেই   সীমগুলি ঝাঁকুনিতে শুরু করে যা দুর্বল নির্মাণের ইঙ্গিত দেয়</t>
  </si>
  <si>
    <t>কিছুটা ঘন মনে হয়েছে</t>
  </si>
  <si>
    <t>ইকো মোড থাকার কথা</t>
  </si>
  <si>
    <t xml:space="preserve">গবেষণায় প্রমাণিত কার্যকারিতা </t>
  </si>
  <si>
    <t>দীর্ঘ সময় ব্যবহারের পরেও এটি কার্যকর থাকে</t>
  </si>
  <si>
    <t>হেমিং নোটিশযোগ্য অনিয়মিততা দেখায় এবং নির্দিষ্টতা অভাবে অভিযোজিত</t>
  </si>
  <si>
    <t>ঝুলিয়ে রাখা যায় তবে দড়ি দুর্বল</t>
  </si>
  <si>
    <t>মাইক্রোওয়েভযোগ্য বুরিটোর একটি স্যাজি টেক্সচার ছিল এবং এটিকে অনেকবার গরম করা হয়েছে বলে স্বাদ পাওয়া যায়</t>
  </si>
  <si>
    <t>মার্জিত এবং চমৎকার লুক</t>
  </si>
  <si>
    <t>ভুল আকার তবে ভালো রঙ</t>
  </si>
  <si>
    <t>শরীরের স্ক্রাবের টেক্সচারটি খুব রুক্ষ ছিল যার ফলে জ্বালা ছিল</t>
  </si>
  <si>
    <t>প্রিজমা পেন্সিলের জন্য চমৎকার নয় এটার কাজ অনেক সুন্দর</t>
  </si>
  <si>
    <t>অস্থির সংযোগ সমস্যা হতাশাজনক</t>
  </si>
  <si>
    <t>ক্যামেরার ইলেকট্রনিক ভিউফাইন্ডার ভুতুড়ে এবং মোশন ব্লারে ভুগছে যা রচনার নির্ভুলতাকে প্রভাবিত করে</t>
  </si>
  <si>
    <t xml:space="preserve"> সিরাম খুব পুরু ছিল এবং মোটেও শোষণ করেনি</t>
  </si>
  <si>
    <t>ডিজাইনটি সহজ হতে পারে</t>
  </si>
  <si>
    <t>অস্থির পরিচ্ছন্নতার সমস্যা হতাশাজনক</t>
  </si>
  <si>
    <t>এটি অতিরিক্ত ভারী নয়</t>
  </si>
  <si>
    <t>চা ঠিক আছে তবে দাম একটু বেশি</t>
  </si>
  <si>
    <t>ওয়াইন ওপেনার কাজ করে তবে এটি ব্যবহার করা কিছুটা কষ্টকর</t>
  </si>
  <si>
    <t>মেয়েটি তার বন্ধুকে সারাদিন সাহায্য করেছে</t>
  </si>
  <si>
    <t>পণ্যটির রঙটি অসঙ্গতিপূর্ণ এবং স্ট্রীকি ছিল</t>
  </si>
  <si>
    <t>এটি ইলেকট্রনিক ডিসপ্লে রয়েছে</t>
  </si>
  <si>
    <t>দরজাগুলি ভুলভাবে সারিবদ্ধ ফাঁক তৈরি করে এবং মসৃণভাবে খোলা এবং বন্ধ করা কঠিন করে তোলে</t>
  </si>
  <si>
    <t>স্মার্ট গ্যাস সেন্সরটি গ্যাস লিক ধরে তবে সেনসিটিভিটি কম</t>
  </si>
  <si>
    <t>গরম রাখে তবে অন্যান্য কম্ফর্টারের তুলনায় বিশেষ কিছু নয়</t>
  </si>
  <si>
    <t>এর পাতার গুণমান একদম সঠিক সুন্দর রং আর সুবাস</t>
  </si>
  <si>
    <t>সাইজ ঠিক আছে বিশেষ কিছু নয়</t>
  </si>
  <si>
    <t xml:space="preserve">আমি কিছুদিন ইউজ করার পর রিভিউ দিচ্ছি আলহামদুলিল্লাহ প্রাইস অনুযায়ী ঠিক আছে </t>
  </si>
  <si>
    <t>আপডেট সমস্যা সমাধান মহান পণ্য এবং কাস্টম পরিষেবা কিন্তু প্রাথমিক সমস্যা ছাড়া নয়</t>
  </si>
  <si>
    <t>কফির গাঢ়তা ঠিক যেমনটা আমি পছন্দ করি</t>
  </si>
  <si>
    <t>দুখজনক ক্রয় স্থায়িত্বের অভাব</t>
  </si>
  <si>
    <t>বাবল স্নানের বুদবুদ জল সমতল রেখে দ্রুত অদৃশ্য হয়ে গেল</t>
  </si>
  <si>
    <t xml:space="preserve"> প্রতি মিনিটে  করে চার্জ হয় </t>
  </si>
  <si>
    <t xml:space="preserve">এয়ারট্যাগ ধরে রাখার জন্য দুর্দান্ত </t>
  </si>
  <si>
    <t>আপনার গ্যারেজ আধুনিকীকরণ এবং মনে করিয়ে দেওয়ার জন্য দুর্দান্ত বিকল্প</t>
  </si>
  <si>
    <t>মেশিনে ধোয়ার যোগ্য বলে বিজ্ঞাপিত হওয়া সত্ত্বেও প্রথম ধোয়ার পর কাপড় সঙ্কুচিত হয়ে যায় এবং কাপড়ের আকৃতি ও মানানসই পরিবর্তন করে</t>
  </si>
  <si>
    <t>রংটি নিউট্রাল কিন্তু বিশেষ কোনো আকর্ষণ নেই</t>
  </si>
  <si>
    <t>ছাঁচের বৃদ্ধি হার্ড টু নাগালের ফাটলে বিকশিত হয়</t>
  </si>
  <si>
    <t>স্টিম আয়রনটি কাপড় ইস্ত্রি করে তবে পানি ফেলে</t>
  </si>
  <si>
    <t>বুকশেলফের সাথে বুক এন্ড দেওয়া আছে</t>
  </si>
  <si>
    <t>ওয়ারেন্টি এক বছর স্থায়ী</t>
  </si>
  <si>
    <t>প্যাকেজিংটি আলো এবং আর্দ্রতা থেকে পর্যাপ্ত সুরক্ষা প্রদান করেনি যার ফলে নষ্ট হয়ে যায়</t>
  </si>
  <si>
    <t>সেটের সাথে আসা নির্দেশনা পুস্তিকায় বালিশগুলির সর্বোত্তম ব্যবহারের জন্য দারুণ টিপস রয়েছে</t>
  </si>
  <si>
    <t>ওয়ার্ডরোবের দরজাগুলি ভারী এবং চালনা করা কঠিন বিশেষ করে শিশু এবং বয়স্কদের জন্য</t>
  </si>
  <si>
    <t>স্কুলের লাইব্রেরিতে অনেক নতুন বই এসেছে</t>
  </si>
  <si>
    <t>এটি একটি বিশেষ উপহার হিসেবে অত্যন্ত উপযুক্ত</t>
  </si>
  <si>
    <t>পোশাকটি আরামদায়ক তবে ডিজাইনটা তেমন আকর্ষণীয় নয়</t>
  </si>
  <si>
    <t>ভাল পণ্য কিছু সীমাবদ্ধতা সঙ্গে</t>
  </si>
  <si>
    <t>রিমোট কন্ট্রোলটি প্রতিক্রিয়াশীল ছিল না চ্যানেল পরিবর্তন করতে একাধিক বোতাম টিপতে হবে</t>
  </si>
  <si>
    <t>স্টাইলিং জেলটি আমার চুল শুকিয়ে গেছে এবং এটি ভঙ্গুর বোধ করেছে</t>
  </si>
  <si>
    <t>ডিহিউমিডিফায়ারটি আর্দ্রতা কমায় তবে এটি কিছুটা শব্দ সৃষ্টি করে</t>
  </si>
  <si>
    <t>শাওয়ার ক্যাপটি সহজেই ছিঁড়ে যায় সীমগুলিতে ছিঁড়ে যায়</t>
  </si>
  <si>
    <t xml:space="preserve">  মাখন চর্বিযুক্ত অনুভূত এবং ভাল শোষণ না</t>
  </si>
  <si>
    <t>ব্যবহারযোগ্য তবে সন্তোষজনক নয়</t>
  </si>
  <si>
    <t>ভ্রমণের জন্য আদর্শ</t>
  </si>
  <si>
    <t>মিষ্টি ছিল ঠিক তবে পরিমাণ কম হওয়ায় খারাপ মনে হয়েছে</t>
  </si>
  <si>
    <t>এটি ব্যবহার করতে সুবিধাজনক তবে সন্তুষ্টির মাত্রা মাঝারি</t>
  </si>
  <si>
    <t>দীর্ঘ সময় ধরে একই জায়গায় ব্যবহার করা উচিত নয়</t>
  </si>
  <si>
    <t>চায়ের পাত্রের হাতলটি খুব ছোট ছিল এটি ধরা কঠিন করে তোলে</t>
  </si>
  <si>
    <t xml:space="preserve"> বেজেলগুলি আঙ্গুলের ছাপ এবং ধোঁয়ার প্রবণ ছিল যা নিয়মিত পরিষ্কার করা প্রয়োজন৷</t>
  </si>
  <si>
    <t>আলমারির নীচের অংশে থাকা অতিরিক্ত ড্রয়ারগুলো খুবই উপযোগী</t>
  </si>
  <si>
    <t>বিউটি সোপটির ফেনা খুবই মসৃণ</t>
  </si>
  <si>
    <t>জুতার ফিনিশিং অনেক সুন্দর এবং টেকসই</t>
  </si>
  <si>
    <t>তাদের নির্দিষ্ট ব্যবহার রয়েছে এবং অত্যন্ত অভিযোজনযোগ্য নয়</t>
  </si>
  <si>
    <t>টুথপেস্টের ফ্লেভার আমার খুবই পছন্দ</t>
  </si>
  <si>
    <t>এটি বিজ্ঞাপন অনুযায়ী শক্তিশালী ও প্রসারিত হতে পারে তবে সব পরিস্থিতিতে নয়</t>
  </si>
  <si>
    <t>আমার জিনিসটা পছন্দ কিন্তু এটা অনেক দামি</t>
  </si>
  <si>
    <t>অগ্রহণযোগ্য শর্ত পুঙ্খানুপুঙ্খ পরিদর্শন প্রয়োজন</t>
  </si>
  <si>
    <t>মেকআপ কিটটি প্রতিদিনের ব্যবহারের জন্য উপযোগী</t>
  </si>
  <si>
    <t>ভ্যাকুয়াম সিলারের সিলিং স্ট্রিপটি ছিঁড়ে যায় বায়ুরোধী সীলের সাথে আপস করে</t>
  </si>
  <si>
    <t>এটি নির্দিষ্ট সীমাবদ্ধতার মধ্যে কাজ করে</t>
  </si>
  <si>
    <t>এর স্বাদ আমাকে ইংল্যান্ডের চায়ের সময়ের কথা মনে করিয়ে দেয়</t>
  </si>
  <si>
    <t>ডিভাইসটির কনেক্টিভিটি অপশন খুবই আধুনিক</t>
  </si>
  <si>
    <t>ডিজিটাল ফিশ ফিডারটি মাছ খাওয়ায় কিন্তু খাবার আটকে যেতে পারে</t>
  </si>
  <si>
    <t>অলইনওয়ান সমাধানটি একটি সুবিধাজনক বিকল্প হিসেবে মনে হয়েছিল</t>
  </si>
  <si>
    <t>মোবাইলটির বিল্ড কোয়ালিটি খুবই উন্নত</t>
  </si>
  <si>
    <t xml:space="preserve">  স্ক্রাবের অদ্ভুত গন্ধ ছিল এবং সঠিকভাবে এক্সফোলিয়েট হয়নি</t>
  </si>
  <si>
    <t>আমি লক্ষ্য করেছি যে এই বালিশগুলি তাপ সঞ্চয় করে না গরম রাতেও আমার মাথা ঠাণ্ডা থাকে</t>
  </si>
  <si>
    <t xml:space="preserve"> চার্জ দেওয়ার জন্য ভাল</t>
  </si>
  <si>
    <t>ইন্টারফেসটি জটিল এবং সিস্টেমের স্থিতিশীলতা প্রশ্নবিদ্ধ</t>
  </si>
  <si>
    <t>মেরামত করা হয়েছে এবং আগের চেয়ে ভালো চলছে মাঝে মাঝে ত্রুটি হতে পারে</t>
  </si>
  <si>
    <t>খুবই সন্তোষজনক পারফরম্যান্স</t>
  </si>
  <si>
    <t>ডিভাইসটির ভিডিও রেকর্ডিং কোয়ালিটি অসাধারণ</t>
  </si>
  <si>
    <t>নতুন টিভির স্ক্রিনে ছবি খুব স্পষ্ট এবং উজ্জ্বল</t>
  </si>
  <si>
    <t>দুসেট কেনার জন্য আফসোস</t>
  </si>
  <si>
    <t>প্লেটগুলোর আকার মাঝারি বড় পরিমাণ খাবারের জন্য উপযুক্ত নয়</t>
  </si>
  <si>
    <t>একাধিক পরিষ্কারের পরেও অসহনীয় প্লাস্টিকের গন্ধ জলকে দূষিত করে</t>
  </si>
  <si>
    <t>হ্যান্ডেলের উপরের অংশটি হাতে ধরা আরামদায়ক</t>
  </si>
  <si>
    <t>এই ফোনের ক্যামেরা ছবি তোলার জন্য একদম সেরা</t>
  </si>
  <si>
    <t>এটি ব্যবহারে অত্যন্ত সহজ এবং সুবিধাজনক</t>
  </si>
  <si>
    <t>ঘড়িটির টিকটিক শব্দ খুবই কম</t>
  </si>
  <si>
    <t>খেলনার উপাদানটি খুব কঠোর ছিল নমনীয়তার অভাব ছিল</t>
  </si>
  <si>
    <t>অকেজো গ্যাজেট</t>
  </si>
  <si>
    <t>স্বয়ংক্রিয় জল সরবরাহকারীর জলাধারটি খুব ছোট ঘন ঘন রিফিল</t>
  </si>
  <si>
    <t>অপ্রস্তুত উপস্থাপনা দ্বারা অভিভূত</t>
  </si>
  <si>
    <t>রঙগুলি সহজে মেশানো যায় নতুন শেড তৈরি করা খুব মজার</t>
  </si>
  <si>
    <t>প্যান্টটির ফিটিং একদম নিখুঁত</t>
  </si>
  <si>
    <t>কাঠ শালীন এবং বিন্যাস ব্রেসলেট তৈরির জন্য উপযুক্ত</t>
  </si>
  <si>
    <t>এটির ফলন নিয়ে কিছুটা হতাশ ছিলাম তবে মাটির জন্য ভাল ছিল</t>
  </si>
  <si>
    <t>মটরশুটিগুলি অসমভাবে ভাজা হয়েছিল যার ফলে একটি অসামঞ্জস্যপূর্ণ চোলাই হয়েছিল</t>
  </si>
  <si>
    <t>স্মার্ট ডোরবেলটি ভিজিটর দেখায় তবে ওয়াইফাই সংযোগ অস্থির</t>
  </si>
  <si>
    <t>হ্যাঁ এটি মূল্যবান সবার জন্য নয়</t>
  </si>
  <si>
    <t>বোতলটি ছোট এবং সংক্ষিপ্ত আকারের</t>
  </si>
  <si>
    <t>এটি প্রচারমূলক দাবি অনুযায়ী তবে এর স্বাতন্ত্র্য নেই</t>
  </si>
  <si>
    <t>ঘরের জন্য এই কার্পেটটি পারফেক্ট মানানসই</t>
  </si>
  <si>
    <t>মপটি এমনভাবে ডিজাইন করা হয়েছে যাতে কাজ করার সময় শারীরিক চাপ কম লাগে</t>
  </si>
  <si>
    <t>রঙটি আধুনিক হতে পারে</t>
  </si>
  <si>
    <t>সারটি কিছুটা কার্যকরী হলেও পরিমাণে ফলন আশানুরূপ ছিল না</t>
  </si>
  <si>
    <t xml:space="preserve">   গঠনের অভাব এবং আকারহীন দেখায়</t>
  </si>
  <si>
    <t>এর স্বাদ এবং গুণগত মান অন্যসব বিস্কুট থেকে আলাদা</t>
  </si>
  <si>
    <t>মাস্কারা চোখের নিচে দাগ পড়ে কালো বৃত্তের চেহারা দেয়</t>
  </si>
  <si>
    <t>কাপড়ের মান মোটামুটি তবে সহজেই ছিঁড়ে যেতে পারে</t>
  </si>
  <si>
    <t>বুকশেলফটি দীর্ঘস্থায়ী এবং রক্ষণাবেক্ষণে সহজ</t>
  </si>
  <si>
    <t>আমি ইতিবাচক পর্যালোচনার উপর ভিত্তি করে অ্যাঙ্কার ইউএসবিসি চার্জার কেবলটি কিনেছি</t>
  </si>
  <si>
    <t>চার্জিং ক্যাপাসিটি খুব ভালো চার্জের সময় অনেক টাইম লাগে না সুবিধাজনক এবং দামও ঠিক মতো</t>
  </si>
  <si>
    <t>এই কফি আমার কাছে হয়ে উঠেছে দৈনন্দিন জীবনের অংশ</t>
  </si>
  <si>
    <t>আমাজন কেনাকাটায় অনিয়মের সন্দেহ</t>
  </si>
  <si>
    <t>এক্সফোলিয়েন্ট আমার সংবেদনশীল ত্বক বিরক্ত</t>
  </si>
  <si>
    <t>এটি ভলিউম এবং লেংথ উভয়ই দেয় দুটি আলাদা প্রোডাক্ট কেনার প্রয়োজন নেই</t>
  </si>
  <si>
    <t>অসন্তোষজনক নির্ভরযোগ্যতা ত্রুটির প্রবণতা</t>
  </si>
  <si>
    <t>প্রতিটি চরিত্রের ব্যাকগ্রাউন্ড খুব ভালোভাবে বর্ণনা করা হয়েছে</t>
  </si>
  <si>
    <t xml:space="preserve"> দরজার গ্লাসটি অপ্রত্যাশিতভাবে ভেঙে গেছে ধারালো প্রান্ত থেকে নিরাপত্তা ঝুঁকি তৈরি করেছে</t>
  </si>
  <si>
    <t>পুরো সেটটির মধ্যে একটি সামঞ্জস্যপূর্ণ থিম বজায় রাখা হয়েছে</t>
  </si>
  <si>
    <t>লিপস্টিকের রঙ দ্রুত বিবর্ণ হয়ে যায় ঘন ঘন পুনরায় প্রয়োগের প্রয়োজন হয়</t>
  </si>
  <si>
    <t>আইটেম এর কার্যকারিতা অসঙ্গত এবং অপ্রত্যাশিত ছিল</t>
  </si>
  <si>
    <t>ফ্যাব্রিকের স্থিতিস্থাপকতার অভাব পোশাকটিকে পরা এবং খুলে ফেলা কঠিন করে তোলে বিশেষ করে মাথা এবং কাঁধের উপরে</t>
  </si>
  <si>
    <t>ফ্রিজটি সঠিকভাবে ঠান্ডা রাখে কিন্তু শব্দ একটু বেশি</t>
  </si>
  <si>
    <t xml:space="preserve"> কন্ট্রোল প্যানেলের বোতামগুলি পরিষ্কারভাবে লেবেলযুক্ত নয় যা অপারেশনের সময় বিভ্রান্তির সৃষ্টি করে</t>
  </si>
  <si>
    <t>গড়ের নীচে রিং অ্যাডজাস্টার</t>
  </si>
  <si>
    <t>গুণমানের জন্য চায়ের দাম বেশি ছিল বিনিয়োগের মূল্য ছিল না</t>
  </si>
  <si>
    <t>নকশাটি পুরানো কিছু নতুনত্ব নেই</t>
  </si>
  <si>
    <t>গুণমান এবং মান মোটামুটি ঠিক আছে</t>
  </si>
  <si>
    <t>সময়ের সাথে সাথে লিপস্টিকের টেক্সচারটি তীব্র হয়ে ওঠে যা প্রয়োগকে প্রভাবিত করে</t>
  </si>
  <si>
    <t>ধোয়ার সময় রং রক্তপাত হয়</t>
  </si>
  <si>
    <t>এটা দীর্ঘ সময় ব্যবহার করার জন্য আরামদায়ক নয়</t>
  </si>
  <si>
    <t>ফুলটি আমার ঘরের বায়ু বিশুদ্ধ রাখতে সাহায্য করে</t>
  </si>
  <si>
    <t>ওজন ঠিক আছে তবে আরেকটু ভারী হলে ভালো হতো</t>
  </si>
  <si>
    <t>ওয়াটারপ্রুফ কিন্তু অতিরিক্ত কঠিন নয়  সহজেই অপসারণ করা যায়</t>
  </si>
  <si>
    <t>বাড়িকে আকর্ষণীয় করে তবে চোখ ধাঁধানো নয়</t>
  </si>
  <si>
    <t>পেন্সিলটি সহজে ভেঙে যায় না এবং দীর্ঘস্থায়ী</t>
  </si>
  <si>
    <t>ওয়াল ক্লকের ডিজাইন খুবই আধুনিক এবং আকর্ষণীয়</t>
  </si>
  <si>
    <t>আইটেমটির নকশা শিশুদের আঙ্গুলের জন্য ফাঁদে ফেলার ঝুঁকি তৈরি করেছে</t>
  </si>
  <si>
    <t>এটি মেকআপের সূক্ষ্মতা বাড়ায়</t>
  </si>
  <si>
    <t>কিছুটা ক্ষতিকর রাসায়নিক আছে</t>
  </si>
  <si>
    <t>আরামদায়ক ব্যবহারের জন্য   উচ্চতা খুব কম যার ফলে বসার সময় পিছনে এবং কাঁধে চাপ পড়ে</t>
  </si>
  <si>
    <t>ফ্যাব্রিকের পাতলাতা বিনয় এবং কভারেজের সাথে আপস করে</t>
  </si>
  <si>
    <t>বিভিন্ন রঙের দেওয়ালের সাথে মানানসই</t>
  </si>
  <si>
    <t>ধোয়া সহজ কিন্তু শুকাতে অনেক সময় লাগে</t>
  </si>
  <si>
    <t>কিছু গাছ ভালো হয়েছে তবে সারটির সঙ্গে অন্যান্য উপকরণ কম ছিল</t>
  </si>
  <si>
    <t>হাতে ধরা সহজ তবে পিছলে যায়</t>
  </si>
  <si>
    <t>ড্রেসিং টেবিলটির আয়না অত্যন্ত পরিষ্কার ও উচ্চমানের</t>
  </si>
  <si>
    <t>এই শ্যাম্পুর ব্যবহারে চুলের শুষ্কতা দূর হয়</t>
  </si>
  <si>
    <t>স্মার্টফোন কেসটি সঠিকভাবে ফিট করে যদিও এটি খুব আকর্ষণীয় নাও হতে পারে</t>
  </si>
  <si>
    <t>স্মার্ট ডোর লকের অ্যাপ ফোনের ব্যাটারি দ্রুত নিষ্কাশন করে পাওয়ার ড্রেন করে</t>
  </si>
  <si>
    <t>ভাঁজ করা বাইকটি ক্ষতিগ্রস্থ হয়েছে চালাতে অক্ষম</t>
  </si>
  <si>
    <t>দূর থেকে নিয়ন্ত্রণের ফিচার দারুণ অফিস থেকেই আমি বাড়ি ফেরার আগে ঘর ঠান্ডা করে রাখতে পারি</t>
  </si>
  <si>
    <t>ঘরের অন্যান্য ডেকোরেশনের সাথে চমৎকার মানানসই</t>
  </si>
  <si>
    <t>এটি মেকআপের সমতা বজায় রাখে</t>
  </si>
  <si>
    <t>রঙটা সব ঋতুতে মানানোর মত</t>
  </si>
  <si>
    <t>ফোন ট্যাবলেট এবং অন্যান্য ডিভাইস চার্জ করতে পারি</t>
  </si>
  <si>
    <t>এই কফি পান করে আমার মন প্রশান্তিতে ভরে ওঠে</t>
  </si>
  <si>
    <t>অল্প দামে এত ভালো পণ্য পাওয়া অনেক ভাগ্যের ব্যাপার দাম হিসেবে পণ্যটি একদম Perfect</t>
  </si>
  <si>
    <t>হ্যান্ড স্যানিটাইজারে একটি শক্তিশালী অ্যালকোহলের গন্ধ রয়েছে যা প্রয়োগের পরেও দীর্ঘস্থায়ী হয় এটি ব্যবহার করা অপ্রীতিকর করে তোলে</t>
  </si>
  <si>
    <t>ফ্যাব্রিকের নির্মলতা অপ্রত্যাশিত এবং অনুপযুক্ত</t>
  </si>
  <si>
    <t>কমফোর্টারটি খুবই আরামদায়ক এবং কোমল</t>
  </si>
  <si>
    <t xml:space="preserve">ভ্যালু প্যাকচমৎকার </t>
  </si>
  <si>
    <t>গন্ধটি খুব কষাকষি ছিল মুখের মধ্যে একটি শুষ্ক সংবেদন রেখেছিল</t>
  </si>
  <si>
    <t>ভাল কাজ করেরাইডারকে অবশ্যই ধন্যবাদ জানাতে চাই তার ব্যবহার ভালো ছিল</t>
  </si>
  <si>
    <t>বিউটি সোপটি ত্বকের রুক্ষতা কমায়</t>
  </si>
  <si>
    <t xml:space="preserve"> পাখা উচ্চস্বরে এবং বিঘ্নিত হয় বিশেষ করে যখন বর্ধিত সময়ের জন্য চালানো হয়</t>
  </si>
  <si>
    <t>প্রোডাক্টটি খুবই সুন্দর এবং ভালো এটা আমি মনে করি যে প্রোডাক্টটি অনুমান হারানো ও প্রায় খারাপ না পুরোপুরি ভালো</t>
  </si>
  <si>
    <t>ক্রয় নিয়ে অসন্তুষ্ট অভিভূত</t>
  </si>
  <si>
    <t>টয়লেট ব্রাশটি ভালো তবে কিছু সময় ব্যবহারের পর আঠালো হতে পারে</t>
  </si>
  <si>
    <t xml:space="preserve">  একটি স্ক্র্যাচি আস্তরণ ছিল যা ত্বকের বিরুদ্ধে জ্বালা এবং অস্বস্তি সৃষ্টি করেছিল</t>
  </si>
  <si>
    <t>পণ্যটি খুব ভালো কাজ করে না মাঝারি মানের</t>
  </si>
  <si>
    <t>গল্পের মোড়গুলো ছিল অত্যন্ত আকর্ষণীয়</t>
  </si>
  <si>
    <t>ঠোঁটের গ্লসের একটি আঠালো টেক্সচার রয়েছে যা বাতাসের দিনে চুল ঠোঁটে লেগে থাকে</t>
  </si>
  <si>
    <t>রাতের বেলায় ব্যবহার করার জন্য উপযুক্ত লেগেছে</t>
  </si>
  <si>
    <t>বেবি ওয়াইপসের প্যাকেজিং সঠিকভাবে সিল করে না যার ফলে শুকিয়ে যাওয়া মুছা হয়ে যায়</t>
  </si>
  <si>
    <t>উপর টিপিং প্রবণ একটি পোড়া ঝুঁকি জাহির</t>
  </si>
  <si>
    <t>বিউটি সোপটির দাম খুবই সাশ্রয়ী</t>
  </si>
  <si>
    <t>প্রতারণামূলক প্যাকেজিংয়ের কারণে শ্যাম্পু এবং কন্ডিশনার সেট কেনার সময় বিভ্রান্তি সৃষ্টি হয়েছে</t>
  </si>
  <si>
    <t>স্নানের স্পঞ্জ ব্যাকটেরিয়াকে আশ্রয় করে এবং একটি মৃদু গন্ধ তৈরি করে</t>
  </si>
  <si>
    <t>আমি মনে করি তারা যথেষ্ট শক্তিশালী তবে ভারী ব্যবহার ধরে রাখতে পারে না</t>
  </si>
  <si>
    <t>ফ্যাশনের জন্য ভালো তবে ফিনিশিং উন্নতি দরকার</t>
  </si>
  <si>
    <t>পোশাকটির কাপড় খুবই টেকসই</t>
  </si>
  <si>
    <t>সামগ্রিকভাবে এটি একটি মোটামুটি ভালো ল্যাপটপ চার্জার খুব উচ্চমানের না হলেও এর দাম অনুযায়ী পারফরম্যান্স সন্তোষজনক</t>
  </si>
  <si>
    <t>কিছু ফলন বৃদ্ধি পেলেও সারটির প্রভাব সেভাবে স্থায়ী ছিল না</t>
  </si>
  <si>
    <t>মাল্টিরুম কন্ট্রোলের কোনো অপশন নেই</t>
  </si>
  <si>
    <t>আমি এই কলম কেনার জন্য দুখিত তাদের একটি অদ্ভুত রাসায়নিক গন্ধ আছে যা আমার মাথা ব্যাথা করে</t>
  </si>
  <si>
    <t>অনির্ভরযোগ্য চার্জিং হতাশাজনক অভিজ্ঞতা</t>
  </si>
  <si>
    <t>প্যাকেট সহজেই খোলা যায়</t>
  </si>
  <si>
    <t>কোল্ড ব্রু তৈরিতে মোটামুটি ভালো কাজ করে</t>
  </si>
  <si>
    <t>চার্জারের প্লাগটি আউটলেটে নড়বড়ে হয়ে যায় যা নিম্নমানের উত্পাদন গুণমান নির্দেশ করে</t>
  </si>
  <si>
    <t>কিছু টুকরো অনুপস্থিত থাকলেও ভালো</t>
  </si>
  <si>
    <t>শিশুর সমস্যা সমাধানের দক্ষতা বাড়ায় তবে সমস্যাগুলো খুব সহজ</t>
  </si>
  <si>
    <t>বরফ প্রস্তুতকারক ঘন ঘন জমে যায় কার্যকারিতা পুনরুদ্ধারের জন্য ম্যানুয়াল ডিফ্রস্টিং প্রয়োজন</t>
  </si>
  <si>
    <t>এটি কিছুটা দেরিতে পৌঁছেছে</t>
  </si>
  <si>
    <t>মপের কাপড় সহজে ছিঁড়ে না তবে ময়লা হয়</t>
  </si>
  <si>
    <t>ফ্যাব্রিক সস্তা এবং চটকদার মনে হয়</t>
  </si>
  <si>
    <t>চার্ম মহান বৈচিত্র্য কিন্তু কিছু ক্ষতিগ্রস্থ হয়</t>
  </si>
  <si>
    <t>তুলনামূলক ভালো হতে পারে</t>
  </si>
  <si>
    <t xml:space="preserve">  ফ্যাব্রিক সহজেই কুঁচকে যায় এবং আয়রন করা কঠিন ছিল ঘন ঘন রক্ষণাবেক্ষণের প্রয়োজন</t>
  </si>
  <si>
    <t xml:space="preserve"> ব্লুটুথ কোডেক সাপোর্ট সীমিত ফলে অডিওর গুণমান কম বা নির্দিষ্ট ডিভাইসের সাথে সামঞ্জস্যপূর্ণ সমস্যা দেখা দেয়</t>
  </si>
  <si>
    <t>আসল ফুলের ঝামেলা ছাড়াই রঙের ছোঁয়া যোগ করেছে</t>
  </si>
  <si>
    <t>কাপগুলোর হ্যান্ডেল ছোট লেগেছে</t>
  </si>
  <si>
    <t>ক্যামেরার অটোফোকাস সিস্টেম কম আলোর পরিস্থিতিতে লড়াই করে ফলে ফোকাস মিস এবং ঝাপসা ছবি হয়</t>
  </si>
  <si>
    <t>অসাধারণ নয় সাধারনই</t>
  </si>
  <si>
    <t>সুন্দর ডিজাইন তবে স্থায়িত্ব নিয়ে কিছু প্রশ্ন থাকতে পারে</t>
  </si>
  <si>
    <t>গাছের স্বাস্থ্য বৃদ্ধি পেয়েছে তবে সারটির জন্য ফলন তেমন ছিল না</t>
  </si>
  <si>
    <t xml:space="preserve"> ব্যাটারি সূচকটি ভুল ভুল ব্যাটারির মাত্রা দেখায় এবং ব্যবহারের সময় অপ্রত্যাশিত বন্ধ হয়ে যায়</t>
  </si>
  <si>
    <t>সুন্দর এবং মানের সাথে পূর্ণ মিলে গেল এই দামে অসাধারণ একটি কভার এবং অত্যন্ত আনন্দের অভিজ্ঞতা ধন্যবাদ দারাজ</t>
  </si>
  <si>
    <t>প্যাডটি খুবই হালকা ওজনের তাই পরিধান করার সময় কোনো অস্বস্তি হয় না</t>
  </si>
  <si>
    <t>প্যাডের রঙ নিরপেক্ষ</t>
  </si>
  <si>
    <t>দীর্ঘদিন ব্যবহারের পরও একই রকম সুন্দর থাকে</t>
  </si>
  <si>
    <t>ডিজিটাল অ্যালার্ম ঘড়ি এলোমেলোভাবে রিসেট হয় অবিশ্বাস্য জেগে ওঠে</t>
  </si>
  <si>
    <t>শ্যাম্পুর ব্যবহার চুলকে ঝলমলে ও মসৃণ করে তোলে</t>
  </si>
  <si>
    <t>সুন্দর আকার কিন্তু পারফেক্ট নয়</t>
  </si>
  <si>
    <t>প্রতিস্থাপন যন্ত্রাংশের সীমিত প্রাপ্যতা মেরামতকে কঠিন করে তুলেছে</t>
  </si>
  <si>
    <t>কিটটির প্রতিটি প্রোডাক্ট পরিবেশ বান্ধব উপকরণ দিয়ে তৈরি</t>
  </si>
  <si>
    <t>প্রতিবেশীরা বিশেষভাবে প্রতিক্রিয়া জানায়নি</t>
  </si>
  <si>
    <t>শিশুর বাথটাবের ড্রেন প্লাগ ফুটো হয়ে যায় যার ফলে মেঝেতে পানি পড়ে</t>
  </si>
  <si>
    <t>রিমোটের ব্যাটারি লাইফ দীর্ঘ প্রায় এক বছর হয়ে গেল এখনো ব্যাটারি পাল্টাতে হয়নি</t>
  </si>
  <si>
    <t xml:space="preserve"> প্রাচীরমাউন্টিং বন্ধনীগুলি ক্ষীণ এবং সেটের ওজনের নীচে বাঁকানো ছিল</t>
  </si>
  <si>
    <t>সেটিং স্প্রেটির একটি শক্তিশালী ঘ্রাণ রয়েছে যা ত্বকে দীর্ঘস্থায়ী হয় অস্বস্তি সৃষ্টি করে</t>
  </si>
  <si>
    <t>রঙগুলো এত জীবন্ত এবং মিশ্রিত যে দেখলেই মন ভালো হয়ে যায়</t>
  </si>
  <si>
    <t>অবিশ্বস্ত কর্মক্ষমতা ঘন ঘন গ্লিচেস সঙ্গে</t>
  </si>
  <si>
    <t>বিছানার কাঠের স্ল্যাটগুলি অসমভাবে ব্যবধানযুক্ত যা একটি অস্থির ঘুমের পৃষ্ঠ এবং সম্ভাব্য অস্বস্তির দিকে পরিচালিত করে</t>
  </si>
  <si>
    <t>বুকশেলফটি সহজে স্থানান্তরযোগ্য এবং বহনযোগ্য</t>
  </si>
  <si>
    <t>আমি এই বালিশ সেটের পরিবেশ বান্ধব উপাদান পছন্দ করি এটি ব্যবহার করে আমি নিজেকে দায়িত্বশীল বোধ করি</t>
  </si>
  <si>
    <t>চা সেটের চকচকে ছিল অমসৃণ এবং স্ট্রীকার দেখতে অপেশাদার</t>
  </si>
  <si>
    <t>ফ্যাব্রিক ত্বকের বিরুদ্ধে ঘামাচি অনুভব করে সারা দিন জ্বালা এবং অস্বস্তি সৃষ্টি করে</t>
  </si>
  <si>
    <t>গেমিং এর জন্য সেরা বায়োস ইনস্টল এবং কনফিগার করা খুব সহজপুরোপুরি কাজ করে</t>
  </si>
  <si>
    <t>কিছু ফিচার যথাযথ কিছু ফিচার উন্নত করা উচিত</t>
  </si>
  <si>
    <t>ভাল দাম</t>
  </si>
  <si>
    <t>এটি একটি অত্যন্ত দীর্ঘদিন সেবার প্রদানকারী ফ্যান</t>
  </si>
  <si>
    <t>প্রতিদিন দেখলেও বিরক্তি আসে না সবসময় আনন্দ দেয়</t>
  </si>
  <si>
    <t>যা আদেশ করেছি ঠিক তা নয় অস্বস্তিকর এবং বেশিরভাগ কানের দুলের চেয়ে কম মানের</t>
  </si>
  <si>
    <t>দুলগুলো আমার জন্মদিনের উপহার ছিল এবং এটি আমার প্রিয় গহনা হয়ে উঠেছে</t>
  </si>
  <si>
    <t>এখানে কোনো রাসায়নিক গন্ধ নেই</t>
  </si>
  <si>
    <t>প্লাগটি স্ট্যান্ডার্ড সহজে আউটলেটে ফিট হতে পারে</t>
  </si>
  <si>
    <t>গ্রেট মনিটর দুর্দান্ত দামখুব সুন্দর</t>
  </si>
  <si>
    <t>প্রতিদিনের ব্যবহারে এটি খুবই কার্যকর</t>
  </si>
  <si>
    <t>কিভাবে প্রকাশ করবো ভেবে পাচ্ছি না এককথায় অসাধারণ একটি প্রোডাক্ট</t>
  </si>
  <si>
    <t>এই টুথপেস্ট এবং ব্রাশটি ব্যবহার করে আমার কিছু মিশ্র অনুভূতি হয়েছে</t>
  </si>
  <si>
    <t>মাস্কারা সহজে গুঁড়ো হয়ে যায় দোররা একটি মাকড়সা এবং অপ্রাকৃত চেহারা দেয়</t>
  </si>
  <si>
    <t>টর্চ লাইটের সুইচ কিছুটা শক্ত</t>
  </si>
  <si>
    <t>ভালোবাসি এগুলো  ভালো লেগেছে কিন্তু সবার ভালো লাগেনি</t>
  </si>
  <si>
    <t>অপর্যাপ্ত নিরোধক সময়ের সাথে সাথে তাপের ক্ষতির দিকে পরিচালিত করে</t>
  </si>
  <si>
    <t xml:space="preserve">  একটি অদ্ভুত ফিট ছিল হাতা খুব টাইট এবং ধড় খুব আলগা সঙ্গে</t>
  </si>
  <si>
    <t>পুরো সেটটির ডিজাইন সমসাময়িক ও চিরন্তন স্টাইলের সুন্দর মিশ্রণ</t>
  </si>
  <si>
    <t>মোটামুটি ঠিক</t>
  </si>
  <si>
    <t>মোবাইলটির ডিসপ্লে রেজল্যুশন অনেক উচ্চ</t>
  </si>
  <si>
    <t>স্মার্ট ফিচারগুলো খুবই উপকারী আমি এখন আমার ফোন থেকে এসি নিয়ন্ত্রণ করতে পারি এমনকি বাড়িতে না থাকলেও</t>
  </si>
  <si>
    <t>সেটের সাথে আসা জিপার ব্যবস্থা খুবই মজবুত আমি নিশ্চিত যে এটি দীর্ঘদিন টিকবে</t>
  </si>
  <si>
    <t>নতুন ব্যাগটি খুবই হালকা এবং মজবুত</t>
  </si>
  <si>
    <t>প্রতিফলনের গুণমান গ্রহণযোগ্য</t>
  </si>
  <si>
    <t>ফ্যাব্রিকের টেক্সচার ত্বকের বিরুদ্ধে অপ্রীতিকর জ্বালা সৃষ্টি করে</t>
  </si>
  <si>
    <t>নেইল আর্টের জন্য এটি উপযুক্ত</t>
  </si>
  <si>
    <t>বাচ্চাদের জন্য বিরক্তিকর</t>
  </si>
  <si>
    <t>সহজেই অন্য ঘরে স্থানান্তর করা যায়</t>
  </si>
  <si>
    <t>এই বাচ্চাদের খেলনাটি যথেষ্ট বিশেষ কিছু নয়</t>
  </si>
  <si>
    <t>পাম্প ভালো কাজ করে কিন্তু সংযোগ অংশটি দুর্বল</t>
  </si>
  <si>
    <t>এই ডিনার সেটের প্রতিটি পাত্রের প্রান্তের অংশ এতটাই সুন্দরভাবে তৈরি করা হয়েছে যে আমি কখনও আমার আঙ্গুল কাটার ভয় পাই না</t>
  </si>
  <si>
    <t>কিছু গাছের বৃদ্ধি ভাল হলেও সারটির জন্য অতিরিক্ত ফলন আশা করা যায়নি</t>
  </si>
  <si>
    <t>ব্রাশটি দীর্ঘস্থায়ী মনে হচ্ছে</t>
  </si>
  <si>
    <t>এর রোস্টের মাত্রা একদম সঠিক না বেশি কড়া না বেশি হালকা</t>
  </si>
  <si>
    <t>সব উপর আলগা থ্রেড সঙ্গে আগত</t>
  </si>
  <si>
    <t>হাইলাইটার একটি সূক্ষ্ম আভা প্রদানের পরিবর্তে টেক্সচার এবং ছিদ্রের উপর জোর দেয়</t>
  </si>
  <si>
    <t>শব্দ একটু বেশি হয়</t>
  </si>
  <si>
    <t>ফ্যাব্রিকের দৃঢ়তা আন্দোলনকে সীমাবদ্ধ করে এটি পরতে অস্বস্তিকর করে তোলে</t>
  </si>
  <si>
    <t>লেখার সময় এই পেনসিলটি হাত থেকে পিছলে যায় না গ্রিপ খুবই ভালো</t>
  </si>
  <si>
    <t>সোপটি ব্যবহারে ত্বকে কোনো রুক্ষতা থাকে না</t>
  </si>
  <si>
    <t>এই বালিশের সাপোর্টে ঘুমানো অনেক আরামদায়ক</t>
  </si>
  <si>
    <t>স্বাদটা ঠিক আছে কিন্তু পানি বেশি ব্যবহার করা হয়েছে</t>
  </si>
  <si>
    <t>মেকআপ কিটটির রঙগুলি খুবই প্রাণবন্ত</t>
  </si>
  <si>
    <t>স্নানের ট্রের নকশাটি ছিল ক্ষীণ এবং অস্থির আইটেমগুলিকে নিরাপদে ধরে রাখতে অক্ষম</t>
  </si>
  <si>
    <t>চাদরটির মাপ একদম ঠিকঠাক</t>
  </si>
  <si>
    <t>ব্রেসলেট তৈরির জন্য ভালো পুঁতি কিছু তেমন সুন্দর নয়</t>
  </si>
  <si>
    <t>ফ্রেমের মান মাঝারি</t>
  </si>
  <si>
    <t>অতিরিক্ত ব্যবহারে কাপড়ের রং পরিবর্তিত হতে পারে</t>
  </si>
  <si>
    <t>মেকআপ কিটটি খুবই হালকা</t>
  </si>
  <si>
    <t>শাওয়ার ক্যাপটি খুব টাইট ছিল আমার কপালে একটি গভীর দাগ রেখেছিল</t>
  </si>
  <si>
    <t>কিছু সময় পরে ব্রিসলগুলো বাঁকা হতে পারে</t>
  </si>
  <si>
    <t>অপর্যাপ্ত ওয়েদারপ্রুফিং বহিরঙ্গন কর্মক্ষমতা আপস</t>
  </si>
  <si>
    <t>মপগুলোর আকার গ্রহণযোগ্য তবে গভীরতা উল্লেখযোগ্য</t>
  </si>
  <si>
    <t>এটি কোলেস্টেরল কমাতে সাহায্য করে</t>
  </si>
  <si>
    <t>দাগ পড়তে পারে</t>
  </si>
  <si>
    <t>মেকআপ ব্রাশ ব্যবহার করা সহজ</t>
  </si>
  <si>
    <t>ফুলটি আমার ঘরে একটি স্বাগত জানানোর পরিবেশ সৃষ্টি করেছে</t>
  </si>
  <si>
    <t>একবার ট্রাই করলে এর প্রেমে পড়ে যাবেন</t>
  </si>
  <si>
    <t>গুণমানের জন্য মটরশুটি অতিরিক্ত মূল্য ছিল বিনিয়োগের মূল্য ছিল না</t>
  </si>
  <si>
    <t>বাটিগুলো গভীর কিন্তু ধারণক্ষমতা কম</t>
  </si>
  <si>
    <t>বিভিন্ন অংশ জোড়া লাগানো যায় কিন্তু খুলতে কষ্ট হয়</t>
  </si>
  <si>
    <t>পেইন্টের রঙগুলোতে রঙ্গকের ঘনত্ব কম ছিল তাই অনেক স্তর প্রয়োজন হয়</t>
  </si>
  <si>
    <t>প্যাকেজিং ভালো তবে স্বাদ ঠিক তেমন নয়</t>
  </si>
  <si>
    <t>পাওয়ার ব্যাঙ্কের চার্জিং গতি খুব ধীর বিশেষ করে ট্যাবলেটের মতো বড় ডিভাইসগুলির জন্য৷</t>
  </si>
  <si>
    <t>বৈদ্যুতিক লন মাওয়ারের ব্লেডগুলো নিস্তেজ তাই ঘাস সমানভাবে কাটছে না</t>
  </si>
  <si>
    <t>এটি ব্যবহারের পরে নেড়ে দিতে হবে</t>
  </si>
  <si>
    <t>ব্রেসলেটের প্রসারিত স্ট্রিং ঠিক আছে</t>
  </si>
  <si>
    <t>চুলের তেলটি আমার চুলকে চর্বিযুক্ত দেখায় এবং এটি ভারী  করে তুলে</t>
  </si>
  <si>
    <t xml:space="preserve"> স্ট্যান্ডে উচ্চতা সামঞ্জস্যের অভাব ছিল স্থান নির্ধারণের বিকল্পগুলি সীমিত</t>
  </si>
  <si>
    <t>পর্যাপ্ত পরিষ্কার করে তবে চকচকে করে না</t>
  </si>
  <si>
    <t>দৈনন্দিন পরিধানের জন্য উপযুক্ত হিসাবে বিজ্ঞাপন দেওয়া সত্ত্বেও নকশাটি অব্যবহারিক এবং সীমাবদ্ধ চলাচল এবং কার্যকারিতা সীমিত করে</t>
  </si>
  <si>
    <t>এই নতুন হেডফোনের সাউন্ড কোয়ালিটি চমৎকার</t>
  </si>
  <si>
    <t>পোশাকের ফ্যাব্রিক সস্তা এবং সিন্থেটিক মনে হয় প্রিমিয়াম পোশাক থেকে প্রত্যাশিত কোমলতা এবং ড্রেপের অভাব রয়েছে</t>
  </si>
  <si>
    <t>আমি এটি সবাইকে সুপারিশ করছি</t>
  </si>
  <si>
    <t xml:space="preserve"> ভয়েস সহকারী প্রতিক্রিয়াহীন এবং প্রায়শই কমান্ডগুলিকে ভুল বোঝে</t>
  </si>
  <si>
    <t>শিশুটি তার নতুন খেলনা নিয়ে অনেক মজা করে</t>
  </si>
  <si>
    <t>হেয়ার মাস্ক আমার চুলকে প্রতিশ্রুতি অনুযায়ী হাইড্রেট করেনি এবং শুষ্ক বোধ করে রেখেছিল</t>
  </si>
  <si>
    <t>ভয়েসঅ্যাক্টিভেটেড সহকারী আদেশগুলিকে ভুল বোঝে হতাশাজনক</t>
  </si>
  <si>
    <t>দাম কম কিন্তু গুণগত মান প্রত্যাশার চেয়ে কম</t>
  </si>
  <si>
    <t>ইনস্টল করা সহজ এবং মানের দিক থেকে চমৎকার</t>
  </si>
  <si>
    <t>ব্রাশগুলির অসম ব্রিস্টেল বিতরণ ছিল যা পেইন্ট কভারেজকে প্রভাবিত করে</t>
  </si>
  <si>
    <t>এই বডি ওয়াশ ব্যবহারে আপনার ত্বক হবে মখমলের মতো</t>
  </si>
  <si>
    <t>আঁচড় ফেলে না তবে পালিশ করে না</t>
  </si>
  <si>
    <t>শিশুটি প্রতিদিন নিয়মিত বই পড়ে</t>
  </si>
  <si>
    <t>জেপিইজি ফাইলে সীমিত রঙের গভীরতা সরাসরি ক্যামেরার বাইরে ফ্ল্যাট এবং ইনস্পাইরিং ছবি নিয়ে যায়</t>
  </si>
  <si>
    <t>ট্র্যাভেল বিডেট পরিষ্কার করে তবে পানির চাপ কম</t>
  </si>
  <si>
    <t>চার্জ দীর্ঘ চলে জিমে ওয়ার্কআউটের সময় পড়ে না কিন্তু কল করতে কিছু সমস্যা আছে</t>
  </si>
  <si>
    <t>আংটি হারানোর ঝুঁকি থাকতে পারে তবে সাবধানে ব্যবহৃত হলে এড়ানো যায়</t>
  </si>
  <si>
    <t>বাড়ির কাজের জন্য বাজেট উপযোগী তবে চিত্তাকর্ষক নয়</t>
  </si>
  <si>
    <t>নতুন ফোনের ক্যামেরায় ছবি তোলা অনেক মজাদার</t>
  </si>
  <si>
    <t>কষ্টকর ডিজাইন স্ট্যাক করা চ্যালেঞ্জিং করে তোলে</t>
  </si>
  <si>
    <t>মেকআপ ব্রাশ ব্যবহার করা আত্মপ্রকাশের মাধ্যম</t>
  </si>
  <si>
    <t>আপনার স্যুটকেসগুলি ট্র্যাক করার জন্য দুর্দান্ত</t>
  </si>
  <si>
    <t>প্রচুর পুঁতি আছে তবে কিছু টুকরো অনুপস্থিত</t>
  </si>
  <si>
    <t>অটো ডায়াগনস্টিক ফিচার কোনো সমস্যা হলে আগেই সতর্ক করে দেয় এটি দীর্ঘমেয়াদী রক্ষণাবেক্ষণে সাহায্য করে</t>
  </si>
  <si>
    <t xml:space="preserve"> বেজেলগুলি পুরু এবং বিভ্রান্তিকর ছিল যা দেখার অভিজ্ঞতা থেকে বিঘ্নিত হয়েছিল</t>
  </si>
  <si>
    <t>সেলাই অগোছালো এবং অমসৃণ দেখায়</t>
  </si>
  <si>
    <t>টিভি ইউনিটটি আমার বড় স্ক্রিন টিভি ও সাউন্ড সিস্টেমের জন্য পারফেক্ট</t>
  </si>
  <si>
    <t>ব্যবহারের পর শুকিয়ে রাখতে হয়</t>
  </si>
  <si>
    <t>ভোল্টেজ অপশন সীমিত মনে হচ্ছে</t>
  </si>
  <si>
    <t>জল সরবরাহকারী মাঝে মাঝে ফুটো হয় যার ফলে গোড়ায় জল জমা হয়৷</t>
  </si>
  <si>
    <t>প্যাকেজিং ত্রুটি পণ্যের ক্ষতির দিকে পরিচালিত করে</t>
  </si>
  <si>
    <t>বাক্সযুক্ত প্যানকেক মিশ্রণের একটি অদ্ভুত রাসায়নিক স্বাদ ছিল এবং সমানভাবে রান্না করা হয়নি</t>
  </si>
  <si>
    <t>এত তাড়াতাড়ি ধারালো হয় না মাঝে মাঝে মোচড় দেয় বিন ছোট</t>
  </si>
  <si>
    <t>ফিনিসটি অসমান এবং খোসা ছাড়ানোর প্রবণ এর চেহারা থেকে বিঘ্নিত হয়</t>
  </si>
  <si>
    <t>ভালো সংরক্ষণ করে এবং খুব নিরাপদ</t>
  </si>
  <si>
    <t>বিজ্ঞাপনের বর্ণনা বা স্পেসিফিকেশন অনুযায়ী না হওয়ায় এটি হতাশাজনক এবং হতাশার সৃষ্টি করেছে</t>
  </si>
  <si>
    <t>কাপগুলির একটি অদ্ভুত আকৃতি ছিল যা তাদের ধরে রাখতে অস্বস্তিকর করে তোলে</t>
  </si>
  <si>
    <t>বয়স উপযোগী তবে বয়স সীমা কিছুটা কম</t>
  </si>
  <si>
    <t>স্নানের থার্মোমিটারটি ভুল রিডিং দিয়েছে এটিকে অবিশ্বস্ত করে তুলেছে</t>
  </si>
  <si>
    <t>সমস্ত আইটেম একই সেট থেকে কিন্তু কিছু সামান্য ভিন্ন</t>
  </si>
  <si>
    <t>পণ্যের প্যাকেজিং ছিল অত্যধিক এবং অপচয়কারী</t>
  </si>
  <si>
    <t>অ্যাপ আইকনগুলি এলোমেলোভাবে অদৃশ্য হয়ে যায় যার ফলে বিভ্রান্তি এবং হতাশা তৈরি হয়</t>
  </si>
  <si>
    <t>ফ্রুট কাটারটি কাজ করে কিন্তু ধার তাড়াতাড়ি কমে যেতে পারে</t>
  </si>
  <si>
    <t>পণ্যের নকশা পরিবহন বা সঞ্চয় করা কঠিন করে তোলে</t>
  </si>
  <si>
    <t>কুলিং স্পীড অসাধারণ মাত্র  মিনিটেই আমার ঘর আরামদায়ক ঠান্ডা হয়ে যায়</t>
  </si>
  <si>
    <t>গন্ধ ভালো তবে পানীয়টা একটু বেশি কৃত্রিম</t>
  </si>
  <si>
    <t>পেরেকের প্রান্তে প্রয়োগ করা চ্যালেঞ্জিং হতে পারে</t>
  </si>
  <si>
    <t>ডিভাইসটির ব্যাটারি পারফরম্যান্স অসাধারণ</t>
  </si>
  <si>
    <t>ভ্যাকুয়াম ক্লিনারের পাওয়ার কর্ডটি জট পাকিয়ে আছে যা খোলার জন্য হতাশাজনক</t>
  </si>
  <si>
    <t>এটি মস্তিষ্কের কার্যক্ষমতা উন্নত করে</t>
  </si>
  <si>
    <t>আরামদায়ক তবে টেকসই নয়</t>
  </si>
  <si>
    <t>আলহামদুলিল্লাহ অনেক সুন্দর জিনিসটা সেইম টু সেইম প্রডাক্ট হাতে পেয়েছি অনেক সুন্দর ধন্যবাদ সেলারকে</t>
  </si>
  <si>
    <t>এটি মাঝে মাঝে স্বয়ংক্রিয়ভাবে বন্ধ হয়</t>
  </si>
  <si>
    <t>এটি হাড়ের স্বাস্থ্য রক্ষায় সহায়ক</t>
  </si>
  <si>
    <t>পরীক্ষার ফলাফল খুবই ভালো হয়েছে</t>
  </si>
  <si>
    <t>স্বয়ংক্রিয় সাবান বিতরণকারীর সাবান সেন্সর ত্রুটিপূর্ণ এলোমেলোভাবে বিতরণ করে</t>
  </si>
  <si>
    <t>পেইন্টিং সেটে পেইন্ট প্রয়োগের কৌশলগুলিতে যথেষ্ট তথ্য অন্তর্ভুক্ত করা হয়নি</t>
  </si>
  <si>
    <t>বেডসাইড টেবিলগুলোর সাথে টেবিল ক্লথ দেওয়া আছে</t>
  </si>
  <si>
    <t>দরজা সীল ছাঁচনির্মাণ প্রবণ ঘন ঘন পরিষ্কার এবং রক্ষণাবেক্ষণ প্রয়োজন</t>
  </si>
  <si>
    <t>চাদরটি হালকা এবং আরামদায়ক যা গরমের সময়ও আরাম দেয়</t>
  </si>
  <si>
    <t>কিছু আইটেম গড়ের চেয়ে ছোট</t>
  </si>
  <si>
    <t>অন্যান্য ব্র্যান্ডের সাথে তুলনায় মোটামুটি ভালো</t>
  </si>
  <si>
    <t>এটি উন্নতির জন্য সুযোগ রয়েছে</t>
  </si>
  <si>
    <t>আমাদের ক্লাসে সবাই সবসময় সাহায্য করে</t>
  </si>
  <si>
    <t>এই শ্যাম্পুটি চুলের স্বাস্থ্য বজায় রাখতে সহায়ক</t>
  </si>
  <si>
    <t>ফ্ল্যাশলাইটটি আলো দেয় তবে ব্যাটারি খুব তাড়াতাড়ি শেষ হয়</t>
  </si>
  <si>
    <t>দাঁতে দীর্ঘস্থায়ী পরিষ্কার অনুভূতি থাকে</t>
  </si>
  <si>
    <t>ল্যাপটপটির ভেনটিলেশন সিস্টেম চমৎকার দীর্ঘ সময় ধরে ব্যবহার করলেও গরম হয় না</t>
  </si>
  <si>
    <t>প্যাকেজিং খুব বেশী আকর্ষণীয় নয়</t>
  </si>
  <si>
    <t>মহান মানের এবং দাম কিন্তু কিছু টুকরা কম টেকসই</t>
  </si>
  <si>
    <t>আমাদের বাসার জানালা থেকে সুন্দর দৃশ্য দেখা যায়</t>
  </si>
  <si>
    <t xml:space="preserve"> ব্যাটারির আয়ু কম ঘন ঘন রিচার্জ করতে হবে এবং ভ্রমণ বা যাতায়াতের সময় বর্ধিত ব্যবহার সীমিত করতে হবে</t>
  </si>
  <si>
    <t>ব্যবহার করার সময় কোনও বড় অস্বস্তি নেই</t>
  </si>
  <si>
    <t>ব্রাশের গ্রিপও বেশ আরামদায়ক</t>
  </si>
  <si>
    <t>রাতের আলোর বাল্বটি দ্রুত জ্বলে যায় ঘন ঘন প্রতিস্থাপনের প্রয়োজন হয়</t>
  </si>
  <si>
    <t>ফ্রিজারে রাখা যায় কিন্তু অত্যধিক ঠান্ডায় কঠিন হয়ে যায়</t>
  </si>
  <si>
    <t>ল্যাপটপটির গ্রাফিক্স কার্ড দুর্দান্ত গেমিং এবং গ্রাফিক্স ডিজাইনের জন্য উপযুক্ত</t>
  </si>
  <si>
    <t>স্মার্টওয়াচের স্ক্রিন সহজেই ফাটল কোন স্থায়িত্ব নেই</t>
  </si>
  <si>
    <t>দীর্ঘ সময় ধরে গরম থাকে না এমনে পন্যটা সুন্দর</t>
  </si>
  <si>
    <t>শুষ্ক শ্যাম্পু মাথার ত্বকে পাউডারের অবশিষ্টাংশ ছেড়ে দেয় চুলকে নিস্তেজ এবং প্রাণহীন করে তোলে</t>
  </si>
  <si>
    <t>অতিথিদের আপ্যায়নে এটা ব্যবহার করা যেতে পারে</t>
  </si>
  <si>
    <t>পরিচালনা করা সহজ</t>
  </si>
  <si>
    <t>স্মার্টওয়াচের টাচস্ক্রিন প্রতিক্রিয়াহীন হয়ে যায় নেভিগেট করতে পারে না</t>
  </si>
  <si>
    <t>রঙ ফিকে হয় না নিয়মিত ধোয়ার পরও নতুনের মতো থাকে</t>
  </si>
  <si>
    <t>ব্যবহারের পর কোনো অবাঞ্ছিত চিহ্ন থাকবে না</t>
  </si>
  <si>
    <t>পাওয়ার ব্যাঙ্কের চার্জিং তারগুলি সংযোগকারীগুলিতে সহজেই ঝরে যায় যা বৈদ্যুতিক শর্টস হওয়ার ঝুঁকি তৈরি করে৷</t>
  </si>
  <si>
    <t>ঘড়িটির ফিনিশিং অত্যন্ত সুন্দর</t>
  </si>
  <si>
    <t>খুব সুন্দর মাউস</t>
  </si>
  <si>
    <t>প্রাকৃতিক উপাদানে সমৃদ্ধ এই বডি ওয়াশ</t>
  </si>
  <si>
    <t>মোমবাতির সুগন্ধ খুবই আরামদায়ক এবং দীর্ঘস্থায়ী</t>
  </si>
  <si>
    <t>এর সিমস অমসৃণ এবং পাকার্ড এটি একটি ঢালু এবং অসমাপ্ত চেহারা প্রদান</t>
  </si>
  <si>
    <t>দরজার হাতলটি ঢিলেঢালা এবং নড়বড়ে মনে হয় যা নিম্নমানের বিল্ড গুণমান নির্দেশ করে</t>
  </si>
  <si>
    <t>সাবান বারের ঘ্রাণটি খুব শক্তিশালী এবং আমার ত্বকে দীর্ঘায়িত ছিল</t>
  </si>
  <si>
    <t>সস্তা উপকরণ এই পণ্য এড়িয়ে চলুন</t>
  </si>
  <si>
    <t>রঙটি ঠিক যেমন আশা করেছিলাম তেমন নয় কিন্তু চলনসই</t>
  </si>
  <si>
    <t>প্রত্যাশার মতো সুন্দর নয়</t>
  </si>
  <si>
    <t xml:space="preserve"> উপাদান সহজেই ছিঁড়ে যায় যা আমাকে ভ্রমণের সময় আমার ডিভাইসের নিরাপত্তার বিষয়ে উদ্বিগ্ন রেখেছিল</t>
  </si>
  <si>
    <t>ক্রমাগত ত্রুটি অবিশ্বাস্য ইয়ারবাড</t>
  </si>
  <si>
    <t>সার্ভিং বাটির আকার বড় তবে ওজন বেশি</t>
  </si>
  <si>
    <t>আইটেমটির রুক্ষ পৃষ্ঠ ছিল এতে স্ক্র্যাচ এবং কাটার ঝুঁকি ছিল</t>
  </si>
  <si>
    <t>দাম কম তবে দীর্ঘমেয়াদী ব্যবহারের জন্য উপযুক্ত নয়</t>
  </si>
  <si>
    <t xml:space="preserve">টিভির ডিসপ্লে অনেক ভালো রং সুন্দরভাবে প্রদর্শিত হয় </t>
  </si>
  <si>
    <t>এই শ্যাম্পুটি চুলের স্বাস্থ্য বজায় রাখতে সাহায্য করে</t>
  </si>
  <si>
    <t>আমি এর চেয়ে ভাল জানি</t>
  </si>
  <si>
    <t>গরম রাখার ক্ষমতা স্বাভাবিক</t>
  </si>
  <si>
    <t>এটি একটি অত্যন্ত প্রাকৃতিক এবং দ্রুত ফ্যান</t>
  </si>
  <si>
    <t xml:space="preserve"> ক্রিমটি গোড়ালির অস্বস্তি এবং শক্ত হওয়া বাড়ায়</t>
  </si>
  <si>
    <t>সহজে মসৃণ হবে</t>
  </si>
  <si>
    <t>গাড়ির এয়ার কন্ডিশনার খুব দ্রুত ঠাণ্ডা করে</t>
  </si>
  <si>
    <t>ব্রাশের ব্রিসলগুলো নরম এবং জেন্টল</t>
  </si>
  <si>
    <t>মূল্যবোধ ঠিক আছে অসামান্য নয়</t>
  </si>
  <si>
    <t>বুকশেলফটি স্টাইলিশ এবং ফাংশনাল</t>
  </si>
  <si>
    <t>ফিট হিসাবে প্রত্যাশিত মানের জন্য গড়</t>
  </si>
  <si>
    <t>পানীয়টি বেশ সুস্বাদু তবে ঠাণ্ডা হলে গন্ধটা ভালো লাগে না</t>
  </si>
  <si>
    <t>ইলেকট্রিক স্কুটারের টায়ার দ্রুত ডিফ্লেট হয় ঘন ঘন পাম্পিং প্রয়োজন</t>
  </si>
  <si>
    <t>গ্রীষ্মের গরম থেকে মুক্তি পাওয়ার জন্য এটি সেরা</t>
  </si>
  <si>
    <t>ভালো ক্যামেরা আমি সম্প্রতি কেনা স্ট্যামল ক্যামেরার চেয়ে ভাল</t>
  </si>
  <si>
    <t>সময় মতো পৌঁছেছে তবে কিছু অংশ মিসিং ছিল</t>
  </si>
  <si>
    <t>এটি একটি  দ্রুত ফ্যান</t>
  </si>
  <si>
    <t>বিদ্যুৎ খরচ কিছুটা বেশি বলে মনে হয়</t>
  </si>
  <si>
    <t>মাত্র কয়েকদিন ব্যবহারের পর খুশকি এবং মাথার ত্বকের জ্বালা বেড়ে যায় প্রতিটি ধোয়ার সাথে সাথে খারাপ হতে থাকে</t>
  </si>
  <si>
    <t>রেটিংস দিতে গেলে আমি  দিবোঅত্যন্ত মুগ্ধকর আরামদায়কভাবে ফিট করে</t>
  </si>
  <si>
    <t xml:space="preserve"> এটা সম্পূর্ণ ঠিক আছে  আলহামদুলিল্লাহ সেলার এর ব্যাবহার অনেক ভালো</t>
  </si>
  <si>
    <t>চাদরটির সেলাই খুবই মজবুত এবং নিখুঁত কোন আলগা থ্রেড নেই</t>
  </si>
  <si>
    <t>সাধারণ জেলি রোল</t>
  </si>
  <si>
    <t>পুতুলটি হালকা তাই আমার মেয়ে এটি সহজেই বহন করতে পারে</t>
  </si>
  <si>
    <t>নতুন ব্যাগটির ডিজাইন অনেক মজবুত এবং আকর্ষণীয়</t>
  </si>
  <si>
    <t>শিশুটি তার নতুন বই পেয়ে খুব খুশি</t>
  </si>
  <si>
    <t>হ্যান্ডেলটি হালকা বহন করা সহজ হবে আশা করি</t>
  </si>
  <si>
    <t>আমি এটি ব্যবহার করে খুবই খুশি</t>
  </si>
  <si>
    <t>আকারটি প্রত্যাশিত আকারের সাথে পুরোপুরি মেলে না তবে তা গ্রহণযোগ্য</t>
  </si>
  <si>
    <t>প্যাকেজিং কফিকে তাজা রাখে না যার ফলে একটি বাসি চোলাই হয়</t>
  </si>
  <si>
    <t>অবিশ্বাস্য গরম করার উপাদান প্রায়শই ত্রুটিপূর্ণ</t>
  </si>
  <si>
    <t>এই সঙ্গে সম্পূর্ণরূপে খুশি না</t>
  </si>
  <si>
    <t>ওয়ার্ডরোবের সমাবেশ নির্দেশাবলী অস্পষ্ট এবং বিভ্রান্তিকর এটি একসাথে রাখা চ্যালেঞ্জিং করে তোলে</t>
  </si>
  <si>
    <t>হালকা ওজনের কিন্তু এর কারণে দুর্বল মনে হয়</t>
  </si>
  <si>
    <t>দামের জন্য মোটামুটি মানের</t>
  </si>
  <si>
    <t>এসিটির ইকো মোড আমার পরিবেশ সচেতনতার সাথে খাপ খায় আমি এখন কম বিদ্যুৎ খরচ করেও আরাম পাই</t>
  </si>
  <si>
    <t>সংবেদনশীল ত্বকের জন্য উপযুক্ত হিসাবে বাজারজাত করা সত্ত্বেও ফ্যাব্রিক চুলকানি এবং জ্বালা সৃষ্টি করে</t>
  </si>
  <si>
    <t xml:space="preserve"> রিমোট কন্ট্রোলে স্টিকি বোতাম ছিল যা মেনুতে নেভিগেট করা কঠিন করে তোলে</t>
  </si>
  <si>
    <t>প্রতিবার এই চা পান করে আমি নতুন উদ্যমে ভরে উঠি</t>
  </si>
  <si>
    <t>গ্রেট হোল্ডার</t>
  </si>
  <si>
    <t>দুর্দান্ত পণ্য কিছু ত্রুটিও আছে</t>
  </si>
  <si>
    <t xml:space="preserve"> বাহ্যিক অংশটি খুব সহজে ডেন্টেড হয়ে যায় এমনকি ন্যূনতম প্রভাবেও</t>
  </si>
  <si>
    <t>ঘরের এই কুশনগুলি দেখতে সুন্দর এবং আরামদায়ক</t>
  </si>
  <si>
    <t>পেইন্টিং সেটে বিষাক্ত ধোঁয়ার জন্য সঠিক বায়ুচলাচল সতর্কতার অভাব ছিল</t>
  </si>
  <si>
    <t>পরিচ্ছন্নতার অভাব বইয়ের আবেদনকে বাধা দেয়</t>
  </si>
  <si>
    <t>কেনার আগে নির্ভরযোগ্যতা নিশ্চিত হওয়া যায় না</t>
  </si>
  <si>
    <t>কানের দুলগুলো খুব হালকা আমি প্রায় ভুলেই যাই যে আমি এগুলো পরে আছি</t>
  </si>
  <si>
    <t>স্বাদ ভালো তবে একটু বেশি মিষ্টি</t>
  </si>
  <si>
    <t xml:space="preserve">  লোশন আমার ত্বকে একটি অবশিষ্টাংশ রেখেছিল যা অস্বস্তিকর বোধ করেছিল</t>
  </si>
  <si>
    <t>প্যাকেজিং ভালো তবে স্বাদ খানিকটা মিষ্টি</t>
  </si>
  <si>
    <t>শুর্যাকের নীচের অংশে আম্ব্রেলা হোল্ডার আছে</t>
  </si>
  <si>
    <t>এই বডি ওয়াশ ব্যবহারে আপনি অনুভব করবেন পরিচ্ছন্ন</t>
  </si>
  <si>
    <t>আপনারা চোখ বন্ধ করে নিতে পারেন</t>
  </si>
  <si>
    <t>স্কুলের খেলার মাঠটি অনেক বড় এবং সবুজ</t>
  </si>
  <si>
    <t>এটি পরিষ্কার করতে সহজ যদিও রঙ পরিবর্তিত হতে পারে</t>
  </si>
  <si>
    <t xml:space="preserve">এই এয়ার কন্ডিশনারটি কিনে আমি খুবই সন্তুষ্ট গরমের দিনে এটি আমার ঘরকে শীতল স্বর্গে পরিণত করে </t>
  </si>
  <si>
    <t>সামগ্রিকভাবে পোশাকের গুণমান এবং কারুকার্য নিয়ে গভীরভাবে হতাশ এবং অন্যদের কাছে এটি সুপারিশ করবে না</t>
  </si>
  <si>
    <t>ব্যবহারের সময় নড়াচড়া শব্দ সৃষ্টি করে</t>
  </si>
  <si>
    <t>ক্যামেরার বাফারটি বার্স্ট মোডে দ্রুত পূর্ণ হয়ে যায় ক্রমাগত শুটিংয়ের গতি কমিয়ে দেয়</t>
  </si>
  <si>
    <t>আইটেমটি মৌলিক প্রয়োজনীয়তা পূরণ করে</t>
  </si>
  <si>
    <t>সকালের ব্রেকফাস্টের সাথে পান করা যায়</t>
  </si>
  <si>
    <t>ভাল কাজ করে তুলনামূলকভাবে সস্তা বার্ষিক চুক্তি</t>
  </si>
  <si>
    <t>এটি কাজ করে কিন্তু অন্য ব্র্যান্ডের সাথে তুলনা করে দেখছি</t>
  </si>
  <si>
    <t>ব্যাকপ্যাকটি জিনিস ধরে তবে স্ট্র্যাপগুলো আরামদায়ক নয়</t>
  </si>
  <si>
    <t>মেয়েটি প্রতিদিন তার বন্ধুকে সাহায্য করে</t>
  </si>
  <si>
    <t>ভলিবলের গ্রিপ ভালো তবে আকার সামান্য বড়</t>
  </si>
  <si>
    <t xml:space="preserve"> ফ্যাব্রিক পাতলা এবং ক্ষীণ মনে হয়</t>
  </si>
  <si>
    <t>স্ট্রেংথ মিডিয়াম খুব হালকা বা কড়া নয়</t>
  </si>
  <si>
    <t>স্কুলের শিক্ষকরা সবসময় উৎসাহ দিয়ে শেখায়</t>
  </si>
  <si>
    <t>কাজটি ঠিকঠাকভাবে সেরে ফেলে</t>
  </si>
  <si>
    <t>বার্ড ফিডারটি পাখি আকর্ষণ করে তবে পরিষ্কার করা কষ্টকর</t>
  </si>
  <si>
    <t>পণ্যটি গাড়ির ড্যাশবোর্ডে ব্যবহার উপযোগী</t>
  </si>
  <si>
    <t>এটি যথেষ্ট লেগেছে</t>
  </si>
  <si>
    <t>চমৎকার ফটো ফ্রেম</t>
  </si>
  <si>
    <t>এই টিভির চিত্র গুণমান অনেক ভালো এবং স্পষ্ট</t>
  </si>
  <si>
    <t>চার্জিং পোর্ট কভারটি দুর্বল এবং ভেঙে যাওয়ার প্রবণতা রয়েছে যা বন্দরটিকে ধুলো ও ধ্বংসাবশেষের সংস্পর্শে রাখে</t>
  </si>
  <si>
    <t>গলফ বলের গতি ভালো কিন্তু টেকসই নয়</t>
  </si>
  <si>
    <t>এর ডাস্ট ফিল্টার সহজেই পরিষ্কার করা যায় নিয়মিত পরিচর্যা করা খুব সহজ</t>
  </si>
  <si>
    <t>এটি বিজ্ঞাপন হিসেবে ভাল কাজ করে</t>
  </si>
  <si>
    <t>দুর্দান্ত এয়ারট্যাগ হোল্ডার</t>
  </si>
  <si>
    <t>ভেন্টের জন্য দুর্দান্ত ফোন মাউন্ট</t>
  </si>
  <si>
    <t>রঙটা আশানুরূপ হতে পারে</t>
  </si>
  <si>
    <t>কম্পিউটারের মাউসটি দ্রুত প্রতিক্রিয়া দেয়</t>
  </si>
  <si>
    <t>পেনসিলটির শার্পনেস খুবই ভালো দীর্ঘ সময় ধরে লেখা যায়</t>
  </si>
  <si>
    <t>সস্তা তবে এই রকম পানীয়ের স্বাদে অনেক কিছু থাকতে পারে</t>
  </si>
  <si>
    <t>বাসি এবং অক্সিডাইজড ছিল যা চোলাইকে অপ্রীতিকর স্বাদ প্রদান করে</t>
  </si>
  <si>
    <t>আমাদের স্কুলে সবসময় নতুন বিষয় শেখানো হয়</t>
  </si>
  <si>
    <t>বাথরোবের কাপড় ধোয়ার পরে দ্রুত বিবর্ণ হয়ে যায় তার প্রাণবন্ততা হারায়</t>
  </si>
  <si>
    <t>চুলের রঞ্জক রঙের ফলে প্যাঁচানো এবং অসম রঙের বন্টন হয় ঘন ঘন টাচআপের প্রয়োজন হয়</t>
  </si>
  <si>
    <t>এটি হজম শক্তি বাড়াতে সাহায্য করে</t>
  </si>
  <si>
    <t>স্থায়িত্ব নিয়ে উদ্বেগ থাকতে পারে ভালো কাজ করে না তবে চলতে পারে</t>
  </si>
  <si>
    <t>এটি মেকআপের সূক্ষ্মতা নিয়ন্ত্রণ করে</t>
  </si>
  <si>
    <t>দীর্ঘদিন ব্যবহারের পরও এই এসি একই দক্ষতায় কাজ করছে এর স্থায়িত্ব সত্যিই প্রশংসনীয়</t>
  </si>
  <si>
    <t>ব্রাশের প্যাকেজিং সাধারণ</t>
  </si>
  <si>
    <t>পাত্রে ধারালো কোণগুলি আঘাতের ঝুঁকি তৈরি করে</t>
  </si>
  <si>
    <t>চা পানের জন্য এই কাপ একেবারে পারফেক্ট</t>
  </si>
  <si>
    <t>ডুরেবিলিটি মোটামুটি</t>
  </si>
  <si>
    <t>দুলগুলোর রং আমার পছন্দের পোশাকের সাথে পারফেক্টভাবে মিলে যায়</t>
  </si>
  <si>
    <t xml:space="preserve"> অডিও ভারসাম্য অসম যার এক পাশ অন্যটির থেকে বেশি জোরে শোনার অভিজ্ঞতাকে তির্যক করে তোলে</t>
  </si>
  <si>
    <t>কাপড়ের মান মোটামুটি কিন্তু উন্নতি করা যেত</t>
  </si>
  <si>
    <t>শাওয়ার জেলের ফর্মুলাটি খুব পাতলা ছিল আমি এটিকে ফাঁসানোর আগেই আমার ত্বক থেকে বেরিয়ে যাচ্ছিল</t>
  </si>
  <si>
    <t>কোয়ালিটি প্যাসেবল গ্রেট নয়</t>
  </si>
  <si>
    <t>এই বডি ওয়াশ ব্যবহারে আপনার ত্বক হবে প্রাণবন্ত</t>
  </si>
  <si>
    <t>ল্যাপটপ দ্রুত গরম হয়ে যায় বিশেষ করে সম্পদনিবিড় কাজের সময় যা ব্যবহারের সময় অস্বস্তির কারণ হয়</t>
  </si>
  <si>
    <t>এটি আমার কেনা সেরা ক্লাসরুম শার্পনার নয়</t>
  </si>
  <si>
    <t>ব্রাশটি টেকসই মনে হচ্ছে আমি আশা করি এটি দীর্ঘদিন টিকবে</t>
  </si>
  <si>
    <t xml:space="preserve"> রান্নার প্রিসেটগুলি সাধারণ রান্নার সময়ের সাথে সারিবদ্ধ হয় না যার ফলে অসামঞ্জস্যপূর্ণ ফলাফল হয়</t>
  </si>
  <si>
    <t>মাড়ির স্বাস্থ্য ভালো রাখতে সাহায্য করে</t>
  </si>
  <si>
    <t>ডিজাইন ভালো তবে কাপড় পাতলা</t>
  </si>
  <si>
    <t>প্যাডের রঙ নিউট্রাল</t>
  </si>
  <si>
    <t>এই ওয়াচটির ব্যান্ড খুবই আরামদায়ক</t>
  </si>
  <si>
    <t>ব্রাশের হ্যান্ডেলটি গ্রিপ সহ রয়েছে</t>
  </si>
  <si>
    <t>ডিভাইসটির ইউআই খুবই ব্যবহার উপযোগী</t>
  </si>
  <si>
    <t>চুল পড়া কমাতে সহায়ক এই শ্যাম্পু</t>
  </si>
  <si>
    <t xml:space="preserve">দশকের গোড়ার দিকে ফিরিয়ে আনা মিস করবেন না প্রোডাক্টটি </t>
  </si>
  <si>
    <t>এটি লিক প্রুফ নয় এবং তরল পদার্থ রাখার জন্য পুরোপুরি নিরাপদ নয়</t>
  </si>
  <si>
    <t>পোশাকটির প্রিন্ট খুবই টেকসই</t>
  </si>
  <si>
    <t>অফারডিসকাউন্ট পাওয়া যায় কমবেশী</t>
  </si>
  <si>
    <t>পোকামাকড়ের জন্য এটি কার্যকরী ছিল তবে অন্যান্য সমস্যার সমাধান হয়নি</t>
  </si>
  <si>
    <t>হালকা উপভোগ্য</t>
  </si>
  <si>
    <t>কাজ করে কিন্তু ব্যতিক্রমী ভাল নয়</t>
  </si>
  <si>
    <t>টেকসই নয় টলমল নকশা</t>
  </si>
  <si>
    <t>কারুশিল্পের জন্য ভালো তবে আরও উন্নত হতে পারত</t>
  </si>
  <si>
    <t>ধুলো দূর করে কিন্তু পুরোপুরি নয়</t>
  </si>
  <si>
    <t>স্কুলের শিক্ষকেরা সবসময় সহায়ক এবং উদার</t>
  </si>
  <si>
    <t xml:space="preserve">জিনিস্ আসলেই ভাল মানের ধন্যবাদ </t>
  </si>
  <si>
    <t>কর্মক্ষমতা কিছুটা শক্তিশালী</t>
  </si>
  <si>
    <t>ডিভাইসটির ক্যামেরার জুম ফিচার অসাধারণ</t>
  </si>
  <si>
    <t>অসম এবং ঢালু হেমিং সামগ্রিক চেহারা থেকে বিঘ্নিত করে</t>
  </si>
  <si>
    <t>কব্জাগুলি দুর্বল এবং ভাঙ্গার প্রবণ ফলে টেবিলটি অপ্রত্যাশিতভাবে ভেঙে পড়ে</t>
  </si>
  <si>
    <t>ঘড়িটির ব্যাটারি দীর্ঘস্থায়ী</t>
  </si>
  <si>
    <t>ভলিউমাইজিং শ্যাম্পু ভলিউম যোগ করতে ব্যর্থ হয়েছে আমার চুলকে সমতল এবং প্রাণহীন দেখাচ্ছে</t>
  </si>
  <si>
    <t>প্রতিবার দেখলে মনে হয় নতুন করে কিনেছি</t>
  </si>
  <si>
    <t>খেলনার মেকানিজম সহজেই জ্যাম হয়ে যায় এটিকে অকেজো করে দেয়</t>
  </si>
  <si>
    <t xml:space="preserve"> টিকে একটি নির্দিষ্ট রঙ বলে বিজ্ঞাপন দেওয়া হয়েছিল তবে এটি বিবর্ণ এবং ব্যক্তিগতভাবে ধুয়ে ফেলা হয়েছিল</t>
  </si>
  <si>
    <t>বইটি খুবই তথ্যবহুল</t>
  </si>
  <si>
    <t>খুব আরামদায়ক</t>
  </si>
  <si>
    <t>আগের বার কাঁচের বোতল ছিল কিন্তু এবার প্লাস্টিক বোতল</t>
  </si>
  <si>
    <t>প্যাকেজ খোলা পণ্য উন্মুক্ত</t>
  </si>
  <si>
    <t>পুনব্যবহারযোগ্য তবে প্রতিবার ব্যবহারের পর আকার সামান্য বদলে যায়</t>
  </si>
  <si>
    <t>খরচের দিক থেকে খুবই সাশ্রয়ী</t>
  </si>
  <si>
    <t>ভলিউমাইজিং শ্যাম্পু আমার চুলে কোনো ভলিউম যোগ করেনি এবং এটিকে ফ্ল্যাট দেখাচ্ছে</t>
  </si>
  <si>
    <t>ঘরে প্রাকৃতিক সৌন্দর্যের অনুভূতি আনে</t>
  </si>
  <si>
    <t>নুডলস রান্না করতে সহজ কিন্তু স্বাদে নতুন কিছু পেলাম না</t>
  </si>
  <si>
    <t>অতিরিক্ত ব্যবহারে কাপড়ের তন্তু আলগা হতে পারে</t>
  </si>
  <si>
    <t>অন্য সরঞ্জামগুলির জন্য জায়গা তৈরি করার জন্য এটি দূরে রাখা যেতে পারে</t>
  </si>
  <si>
    <t>হিমায়িত শাকসবজি মসৃণ ছিল এবং স্বাদের অভাব ছিল স্বাদের মতো সেগুলি অতিরিক্ত রান্না করা হয়েছে</t>
  </si>
  <si>
    <t>ইনডোর ইভেন্টগুলির জন্য দুর্দান্ত</t>
  </si>
  <si>
    <t>এটি কাজ করে এবং কিছু অংশ দৃশ্যমান নয় যা হারিয়ে যেতে পারে</t>
  </si>
  <si>
    <t>ব্রাশে অস্বস্তিকর গ্রিপ ছিল যার ফলে হাত ক্লান্ত হয়ে পড়ে</t>
  </si>
  <si>
    <t>ছবিগুলো দারুণ ফুটে উঠবে</t>
  </si>
  <si>
    <t>হেয়ার মাস্কটি ধুয়ে ফেলা কঠিন ছিল এবং আমার চুল ভারী এবং প্রলেপ বোধ করে</t>
  </si>
  <si>
    <t>মেকআপ ব্রাশ পোর্টেবল</t>
  </si>
  <si>
    <t>সাইজ অপশন কিছুটা সীমিত</t>
  </si>
  <si>
    <t>পণ্যটি কার্যকরী এবং কার্যকর</t>
  </si>
  <si>
    <t>টোস্টার ওভেনের টাইমার নব শক্ত রান্নার সময় সামঞ্জস্য করা কঠিন</t>
  </si>
  <si>
    <t>গন্ধটি বাসি ছিল যা নিম্নমানের মটরশুটি নির্দেশ করে</t>
  </si>
  <si>
    <t>চায়ের একটি রাসায়নিক স্বাদ ছিল যা দূষণ বা দুর্বল প্রক্রিয়াকরণ নির্দেশ করে</t>
  </si>
  <si>
    <t>এটি খুবই সুবিধাজনক এবং দ্রুত ব্যবহার করা যায়</t>
  </si>
  <si>
    <t>নতুন ব্যাগটির ডিজাইন এবং ফিনিশিং একদম পারফেক্ট</t>
  </si>
  <si>
    <t>বইয়ের আলমারিটি আমার ঘরকে একটি লাইব্রেরির মতো দেখাচ্ছে</t>
  </si>
  <si>
    <t>ল্যাপটপের বডি পরিষ্কার করতে ব্যবহার করা যেতে পারে</t>
  </si>
  <si>
    <t>কয়েকটি ব্যবহারের পরেই চাপাতার হাতলটি ভেঙে যায়</t>
  </si>
  <si>
    <t xml:space="preserve">  জেল ভালোভাবে ফেটেনি এবং আমার ত্বককে অপরিষ্কার বোধ করেছে</t>
  </si>
  <si>
    <t>অর্থের অপচয় নিম্নমানের ক্ষীণ পুতুল</t>
  </si>
  <si>
    <t>রিমোটের সিগন্যাল রেঞ্জ ভালো ঘরের যেকোনো কোণ থেকে আমি এসি নিয়ন্ত্রণ করতে পারি</t>
  </si>
  <si>
    <t>পোশাকের উপকরণগুলি একটি শক্তিশালী রাসায়নিক গন্ধ নির্গত করে যা নিম্নমানের এবং সম্ভাব্য বিপজ্জনক উত্পাদন প্রক্রিয়া নির্দেশ করে</t>
  </si>
  <si>
    <t>ডিজাইন আকর্ষণীয় তবে ফ্যাব্রিক বেশি পাতলা</t>
  </si>
  <si>
    <t>রঙ একঘেয়ে কোনো বৈচিত্র্য নেই</t>
  </si>
  <si>
    <t>ভোগ কমে গেছে ময়লার কারণে</t>
  </si>
  <si>
    <t>দাঁত অনেক পরিষ্কার এবং চকচকে হয়ে যায়</t>
  </si>
  <si>
    <t>সাবপার নির্মাণ ক্ষতির প্রবণ</t>
  </si>
  <si>
    <t>একটি নোংরা এবং ধূলিময় খরগোশের পুতুলের সাথে একটি   পেয়েছি অপরিষ্কার এবং অস্বাস্থ্যকর</t>
  </si>
  <si>
    <t>রিসাইকেল মেটেরিয়াল ব্যবহৃত হয়নি</t>
  </si>
  <si>
    <t>কাপগুলি খারাপভাবে চকচকে ছিল রুক্ষ প্রান্ত দিয়ে যা আমার ঠোঁট কেটেছিল</t>
  </si>
  <si>
    <t xml:space="preserve"> রঙ অসমভাবে বিবর্ণ হয়ে গেছে এটিকে একটি বিচ্ছিন্ন চেহারা দিয়েছে</t>
  </si>
  <si>
    <t>কাগজের আকার A</t>
  </si>
  <si>
    <t>এই রেডিওতে সাউন্ড কোয়ালিটি অনেক ভালো</t>
  </si>
  <si>
    <t>অপ্রস্তুতি মিথ্যা সাইজিং দেখায় যা একটি অসুবিধাজনক পোশাক সৃষ্টি করে</t>
  </si>
  <si>
    <t>অসন্তোষজনক পরিচ্ছন্নতা স্বাস্থ্যবিধি উদ্বেগ</t>
  </si>
  <si>
    <t>শিশুটি তার নতুন বই নিয়ে খুব আনন্দিত</t>
  </si>
  <si>
    <t>ভ্রমণের জন্য এই ব্যাগটি খুব উপযুক্ত</t>
  </si>
  <si>
    <t>কাপগুলোর ধারণক্ষমতা ভালো তবে হাতল ছোট</t>
  </si>
  <si>
    <t>ছেলেটি তার পরীক্ষায় দারুণ ফল করেছে</t>
  </si>
  <si>
    <t>বেডসাইড টেবিলগুলোতে লুকানো ড্রয়ার আছে অতিরিক্ত স্টোরেজের জন্য</t>
  </si>
  <si>
    <t>শীতের রাতে কাজে আসে</t>
  </si>
  <si>
    <t>এর জলপ্রতিরোধী দাবি সত্ত্বেও ল্যাপটপ ব্যাগটি বৃষ্টির আবহাওয়ায় সহজেই ভিজে যায় যা আমার ডিভাইসটিকে স্যাঁতসেঁতে এবং অরক্ষিত রাখে</t>
  </si>
  <si>
    <t>বোস হেডফোনগুলির সাউন্ড ভালো তবে নিখুঁত নয়</t>
  </si>
  <si>
    <t>ফ্যাশনের জন্য ভালো তবে মান উন্নতি করা দরকার</t>
  </si>
  <si>
    <t>নোংরা পুতুল বইয়ের আকর্ষণ থেকে বিরত থাকে</t>
  </si>
  <si>
    <t>ফ্যাব্রিকের শ্বাসপ্রশ্বাসের অভাব ঘাম এবং অস্বস্তি সৃষ্টি করে বিশেষ করে উষ্ণ আবহাওয়ায়</t>
  </si>
  <si>
    <t>একটি নোংরা এবং বিকৃত পুতুলের সাথে একটি পোশাক পেয়েছি অগ্রহণযোগ্য শর্ত</t>
  </si>
  <si>
    <t>বৈদ্যুতিক কেটলির ঢাকনা মসৃণভাবে খোলা হয় না এটি একটি নিরাপত্তা ঝুঁকি তৈরি করে</t>
  </si>
  <si>
    <t>এটি ঠান্ডা এবং কাশির জন্য উপকারী</t>
  </si>
  <si>
    <t>এতে এসপিএফ আছে যা সূর্যের ক্ষতিকর রশ্মি থেকে সুরক্ষা দেয়</t>
  </si>
  <si>
    <t>অবশ্যই  মূল্যে এটি একটি ভালো কেনাকাটা</t>
  </si>
  <si>
    <t>সৌরচালিত ফোয়ারা পাম্প ছায়ায় কাজ করে না সীমিত বসানো</t>
  </si>
  <si>
    <t>সেলাইয়ের জন্য আদর্শ হতে পারে</t>
  </si>
  <si>
    <t>আমি বিশেষভাবে সেটের সাথে আসা সুপের বাটিগুলি পছন্দ করি এগুলি গভীর এবং বড় যা আমার পছন্দের গরম সুপ খাওয়ার জন্য নিখুঁত</t>
  </si>
  <si>
    <t>খেলনার সাউন্ড এফেক্ট ছিল জোরে এবং বিরক্তিকর</t>
  </si>
  <si>
    <t>ভাল সংযোগ ভাল শব্দ</t>
  </si>
  <si>
    <t xml:space="preserve"> পাঁঠার গদি খুব পাতলা শিশুর জন্য অস্বস্তি সৃষ্টি করে</t>
  </si>
  <si>
    <t>শুকাতে বেশি সময় লাগে না</t>
  </si>
  <si>
    <t>এই কফি পান করে আমার মন প্রফুল্ল হয়ে ওঠে</t>
  </si>
  <si>
    <t>এই চার্জারটি আমার জন্য খুবই উপযোগী</t>
  </si>
  <si>
    <t>তাপ রক্ষাকারী স্প্রে আমার চুলকে আঠালো বোধ করে এবং এটিকে ওজন করে ফেলে</t>
  </si>
  <si>
    <t>রোগীর জীবনমান উন্নত করে</t>
  </si>
  <si>
    <t>আইটেম এর উপাদানগুলি ক্ষীণ এবং ভাঙ্গা প্রবণ ছিল</t>
  </si>
  <si>
    <t>বহুমুখী হিসাবে বিপণন করা সত্ত্বেও পোশাকের নকশা অব্যবহারিক এবং সীমিত নৈমিত্তিক বা আনুষ্ঠানিক অনুষ্ঠানের জন্য উপযুক্ত নয়</t>
  </si>
  <si>
    <t>সহজে ভাঙ্গে না কিন্তু আঁচড় পড়ে সহজেই</t>
  </si>
  <si>
    <t>শ্যাম্পুর সুগন্ধি চুলে দীর্ঘক্ষণ থাকে</t>
  </si>
  <si>
    <t>গুণমান ভালো মানএত ভাল কাজ করেছি যে আমি দ্বিতীয়টি কিনেছিঅসাধারণ একটি প্রোডাক্ট আমি খুবই আনন্দিত</t>
  </si>
  <si>
    <t>আমার প্রয়োজনের জন্য পারফেক্ট</t>
  </si>
  <si>
    <t>খুব দরকারী যদিও কিছু টুকরা কম ব্যবহারিক</t>
  </si>
  <si>
    <t>সেটের সাথে আসা নির্দেশিকা খুবই সহায়ক এতে বালিশগুলির যত্ন নেওয়ার সব তথ্য রয়েছে</t>
  </si>
  <si>
    <t>কাপড়ের মান উন্নত তবে রঙ পছন্দ হয়নি</t>
  </si>
  <si>
    <t>গ্লোবাল সাপোর্ট সব জায়গায় উপলব্ধ নয় কিন্তু কিছু জায়গাতে রয়েছে</t>
  </si>
  <si>
    <t>কফি টেবিলের নীচের শেলফটি অতিরিক্ত স্টোরেজ স্পেস প্রদান করে</t>
  </si>
  <si>
    <t>অনেক ক্ষেত্রে সন্তুষ্ট কিছু ক্ষেত্রে অসন্তুষ্ট</t>
  </si>
  <si>
    <t>পণ্যটি প্রয়োজনীয় উপাদানের সাথে আসেনি</t>
  </si>
  <si>
    <t>ফ্যানটি খুব স্থায়ী এবং দ্রুত প্রদর্শন করে</t>
  </si>
  <si>
    <t>সাইকেলের ব্রেক সিস্টেম খুবই নির্ভরযোগ্য</t>
  </si>
  <si>
    <t>রিপ্লেসমেন্ট পার্টস সহজলভ্য লেগেছে</t>
  </si>
  <si>
    <t>চালানো খুব সহজ এবং বোধগম্য</t>
  </si>
  <si>
    <t>হেমিং খুব খারাপভাবে করা হয় একটি একক পরিধানের পরে থ্রেডগুলি আলগা হয় এবং উন্মোচিত হয়</t>
  </si>
  <si>
    <t>জমির পটাশিয়াম সারটি মোটামুটি  কাজ করল</t>
  </si>
  <si>
    <t>চুলের নরম ভাব বাড়াতে এই শ্যাম্পুটি অসাধারণ</t>
  </si>
  <si>
    <t>অস্বাভাবিক চেহারা রান্নাঘরের নান্দনিকতা থেকে বিঘ্নিত করে</t>
  </si>
  <si>
    <t>এটি দেখতে সুন্দর তবে টেকসই নয়</t>
  </si>
  <si>
    <t>ডিভাইসটির হ্যাপটিক ফিডব্যাক অত্যন্ত উন্নত</t>
  </si>
  <si>
    <t>এই বিস্কুটটি খেয়ে আমি সত্যিই মুগ্ধ</t>
  </si>
  <si>
    <t>প্রতি চুমুকে আমি অনুভব করি এর পিছনের প্রকৃতির দান</t>
  </si>
  <si>
    <t>এই চিত্রকর্মটি দেখে আমি সত্যিই মুগ্ধ</t>
  </si>
  <si>
    <t>রেফ্রিজারেটরের দরজার সিলটি আলগা খাবার দ্রুত নষ্ট হয়ে যায়</t>
  </si>
  <si>
    <t>কাপগুলি খুব অগভীর ছিল কাত হয়ে গেলে চা ছড়িয়ে পড়ে</t>
  </si>
  <si>
    <t>দাম কম তবে মান তেমন ভালো নয়</t>
  </si>
  <si>
    <t>টিনজাত মরিচের একটি অদ্ভুত ধাতব স্বাদ ছিল এবং মশলার অভাব ছিল</t>
  </si>
  <si>
    <t>গরম রাখে মাঝে মাঝে অস্বস্তিকর</t>
  </si>
  <si>
    <t>উচ্চ মানের এবং সুন্দর তবে কিছু ত্রুটি রয়েছে</t>
  </si>
  <si>
    <t>রঙ সাদা কিছুটা মসৃণ টেক্সচার</t>
  </si>
  <si>
    <t>এটি খুব সহজ নয় কিছুটা উজ্জ্বল নয় এবং মাঝে মাঝে কাজ করে</t>
  </si>
  <si>
    <t>ক্যামেরা অ্যাপটি ঘন ঘন ক্র্যাশ হয় যার ফলে গুরুত্বপূর্ণ মুহূর্তগুলি ক্যাপচার করা অসম্ভব হয়ে পড়ে</t>
  </si>
  <si>
    <t>দাম অনুযায়ী ভালো তবে অনেক তীব্র স্বাদ</t>
  </si>
  <si>
    <t>ওয়াল হ্যাঙ্গারের হুকগুলি মজবুত এবং সহজে ঝুলানো যায়</t>
  </si>
  <si>
    <t>মেকআপ ব্রাশ ব্যবহার করা মনোযোগ দাবি করে</t>
  </si>
  <si>
    <t xml:space="preserve"> ভলিউম কন্ট্রোল বোতামটি প্রতিক্রিয়াশীল এবং অসঙ্গত এটি শব্দের মাত্রা সামঞ্জস্য করা চ্যালেঞ্জিং করে তোলে</t>
  </si>
  <si>
    <t>খেলনার একটি শক্তিশালী রাসায়নিক গন্ধ ছিল যা শিশুদের স্বাস্থ্যের জন্য</t>
  </si>
  <si>
    <t>ওয়্যারলেস মিনি প্রোজেক্টরটি ছবি দেখায় তবে স্পিকার দুর্বল</t>
  </si>
  <si>
    <t>খুব সাধারণ স্বাদ তবে তাজা</t>
  </si>
  <si>
    <t>সব প্রত্যাশা ছাড়িয়ে গেছে</t>
  </si>
  <si>
    <t>লোহার তাপমাত্রা নিয়ন্ত্রণ নব আটকে গেছে ফলে তাপ সেটিংস সামঞ্জস্য করা যাচ্ছে না</t>
  </si>
  <si>
    <t>ভিজে গেলে এটা পিচ্ছিল হয়ে যায় ধরে রাখা কঠিন হয়</t>
  </si>
  <si>
    <t>এর প্রদর্শন অত্যন্ত ভাল এবং পারফর্মেন্স দিয়েছে</t>
  </si>
  <si>
    <t>শিশুটি তার খেলনা নিয়ে সারাদিন খেলছে</t>
  </si>
  <si>
    <t>চা বেশ ভালো তবে অতিরিক্ত মিষ্টি হতে পারে</t>
  </si>
  <si>
    <t>ট্র্যাভেল অ্যাডাপ্টারটি কাজ করে কিন্তু আকার বড়</t>
  </si>
  <si>
    <t>কাস্টমার সার্ভিস ছিল স্বাভাবিক</t>
  </si>
  <si>
    <t>বিভিন্ন ধরনের ইন্টেরিয়র ডিজাইনের সাথে মানানসই</t>
  </si>
  <si>
    <t>পণ্যের নির্ভরযোগ্যতা স্বাভাবিক অবস্থায় সন্দেহজনক ছিল</t>
  </si>
  <si>
    <t>সংকীর্ণ খোলার পুঙ্খানুপুঙ্খ পরিচ্ছন্নতার বাধা</t>
  </si>
  <si>
    <t>স্মার্ট ব্লাইন্ড ওপেনারটি পর্দা খুলে কিন্তু মোটর ধীর</t>
  </si>
  <si>
    <t>এটি স্ন্যাক হিসেবে পারফেক্ট কিন্তু ডেজার্ট হিসেবেও ভালো</t>
  </si>
  <si>
    <t>দাম একটু বেশি হলেও গুণগত মান বিবেচনায় এটি একটি ভালো বিনিয়োগ বলে মনে করি</t>
  </si>
  <si>
    <t>জেবিএল টিউন বিটি একটি স্টাইলিশ প্যাকেজে অতুলনীয় ওয়্যারলেস সাউন্ড কিছু ব্যবহারকারী অন্যান্য বিকল্পগুলি পছন্দ করেছেন</t>
  </si>
  <si>
    <t>ব্যবহার সীমিত</t>
  </si>
  <si>
    <t>অস্থির ভিত্তি হতাশাজনক গুণমান</t>
  </si>
  <si>
    <t>সময়মতো পৌঁছেছে যদিও মান ভালো নয়</t>
  </si>
  <si>
    <t>এই বডি ওয়াশ ব্যবহারে আপনি অনুভব করবেন আত্মবিশ্বাসী</t>
  </si>
  <si>
    <t>আইটেমটির আকার বা মাত্রা ভুলভাবে উপস্থাপন করা হয়েছে</t>
  </si>
  <si>
    <t>চিপসের প্যাকেটের আকার ঠিক আছে স্বাদ তেমন ভালো নয়</t>
  </si>
  <si>
    <t>এটি সময়মতো পৌঁছেছে কিন্তু গুণমান কম</t>
  </si>
  <si>
    <t>রঙগুলি খুব দ্রুত শুকিয়ে যায় মিশ্রন কঠিন করে তোলে</t>
  </si>
  <si>
    <t>পোশাক আরামদায়ক তবে ওয়াশের পর মান নষ্ট</t>
  </si>
  <si>
    <t>মাটির গুণগত মান কিছুটা ভাল হয়েছে কিন্তু পুরোপুরি উন্নতি দেখা যায়নি</t>
  </si>
  <si>
    <t>বৈদ্যুতিক কম্বল অতিরিক্ত গরম নীচে ঘুমাতে অস্বস্তিকর</t>
  </si>
  <si>
    <t>বুকশেলফটি অত্যন্ত সাশ্রয়ী</t>
  </si>
  <si>
    <t>হিমায়িত পিজ্জার একটি রাবারি টেক্সচার ছিল এবং এটি কার্ডবোর্ডের মতো স্বাদযুক্ত বাস্তব পিজ্জার সাথে সাদৃশ্যপূর্ণ নয়</t>
  </si>
  <si>
    <t>স্বাস্থ্যের জন্যও কোনো ক্ষতিকর উপাদান নেই</t>
  </si>
  <si>
    <t>এটি বিভিন্ন আকারে পাওয়া যায়</t>
  </si>
  <si>
    <t>একেবারে নির্ভরযোগ্য একটি পণ্য</t>
  </si>
  <si>
    <t>গয়নাটির আলিঙ্গন বেঁধে রাখা কঠিন ছিল প্রতিবার যখন আমি এটি পরতে চাই তখন সহায়তার প্রয়োজন যা অসুবিধাজনক ছিল</t>
  </si>
  <si>
    <t>ভলিউম কন্ট্রোল খুব সেন্সিটিভ ঠিক যেমনটা চাই তেমন আওয়াজ পাই</t>
  </si>
  <si>
    <t>সস্তা এবং সুস্বাদু তবে চিনি একটু বেশি</t>
  </si>
  <si>
    <t>প্লাস্টিকের ফুলটি সহজেই অন্য জায়গায় স্থানান্তর করা যায়</t>
  </si>
  <si>
    <t xml:space="preserve">  একটি চুলকানি ট্যাগ ছিল যা ত্বকে জ্বালা করে এবং অপসারণ করতে হয়েছিল</t>
  </si>
  <si>
    <t>অংশগুলি সঠিকভাবে একসাথে ফিট হয়নি হতাশার কারণ</t>
  </si>
  <si>
    <t>গুণমানের কার্যকারিতা সীমিত হতে পারে</t>
  </si>
  <si>
    <t>গন্ধটি খুব তিক্ত ছিল যে কোনও সূক্ষ্মতাকে ছাড়িয়ে গিয়েছিল৷</t>
  </si>
  <si>
    <t>প্রতিদিন নতুন করে আবিষ্কার করার মজা দেয়</t>
  </si>
  <si>
    <t xml:space="preserve">  আকার বিজ্ঞাপনের চেয়ে ছোট ডাইনিং বা কাজ করার জন্য অপর্যাপ্ত স্থান প্রদান করে</t>
  </si>
  <si>
    <t>ঘড়িটির ডিজাইন খুবই স্টাইলিশ এবং আধুনিক</t>
  </si>
  <si>
    <t>বালিশগুলির কভার অত্যন্ত নরম এবং মসৃণ যা আমার ত্বকের জন্য খুবই আরামদায়ক</t>
  </si>
  <si>
    <t>রেফ্রিজারেটরের কম্প্রেসার শোরগোল গৃহস্থের শান্তি বিঘ্নিত করে</t>
  </si>
  <si>
    <t>বাইকের লকের চাবি তালায় আটকে যায় যার ফলে তালা খুলতে অসুবিধা হয়</t>
  </si>
  <si>
    <t>শ্যাম্পুর ব্যবহারে চুলের শুষ্কতা কমে যায়</t>
  </si>
  <si>
    <t>দরিদ্র ল্যাদারিং সস্তা শ্যাম্পু অনুরূপ</t>
  </si>
  <si>
    <t>ওয়্যারলেস ইয়ারবডস কাজ করে তবে তেমন অসাধারণ নয়</t>
  </si>
  <si>
    <t>বাঁকা সিম এবং অসম সেলাইসহ একটি পেয়েছি</t>
  </si>
  <si>
    <t>পরিষ্কার করা যায় তবে দাগ সম্পূর্ণ যায় না</t>
  </si>
  <si>
    <t>ডিজিটাল মিট থার্মোমিটারটি তাপমাত্রা সঠিকভাবে মাপে যদিও প্রোবটি আরও দীর্ঘ হতে পারে</t>
  </si>
  <si>
    <t>পণ্যটির নির্মাণ দুর্বল ছিল ভেঙে পড়ার প্রবণতা ছিল</t>
  </si>
  <si>
    <t>মাইক্রোওয়েভ খাবার রান্না করার পরে একটি অসামঞ্জস্য এবং অরুচিকর চেহারা ছিল</t>
  </si>
  <si>
    <t>পেইন্টব্রাশের ব্রিস্টলগুলি ভগ্ন এবং অমসৃণ ছিল</t>
  </si>
  <si>
    <t>দামের অনেক কম মানসম্মত হেডফোন</t>
  </si>
  <si>
    <t>মিষ্টি এবং তাজা তবে স্বাদে কিছুটা অস্বাভাবিক</t>
  </si>
  <si>
    <t>মেকআপ কিটটির আইশ্যাডো প্যালেট খুবই রঙিন</t>
  </si>
  <si>
    <t>পরিষ্কার করা সহজ তবে বিশেষ কিছু নয়</t>
  </si>
  <si>
    <t>ধীর পঠনলেখার গতি হতাশাজনকভাবে অলস</t>
  </si>
  <si>
    <t>খাবারটি সময়ের সাথে সাথে ঠান্ডা হয়ে যায় কারণ উপাদানটি খুব বেশি তাপ ধরে রাখে না</t>
  </si>
  <si>
    <t>সোপটি সহজে ধুয়ে ফেলা যায়</t>
  </si>
  <si>
    <t>বোতলের মুখটা প্রশস্ত</t>
  </si>
  <si>
    <t>ব্যবহারের পর আমার হাত ঘণ্টার পর ঘণ্টা আর্দ্র থাকে</t>
  </si>
  <si>
    <t>সাবান বারটি আমার ত্বকে একটি অবশিষ্টাংশ রেখেছিল এটিকে পিচ্ছিল বোধ করে</t>
  </si>
  <si>
    <t>ভিজ্যুয়াল একঘেয়েমি আগ্রহ সৃষ্টি করতে ব্যর্থ হয়</t>
  </si>
  <si>
    <t>মান ঠিক আছে আরও উন্নত হতে পারত</t>
  </si>
  <si>
    <t>এই রিংটির ডিজাইন অত্যন্ত সুন্দর এবং সমৃদ্ধ</t>
  </si>
  <si>
    <t xml:space="preserve">হ্যান্ডেলটি বাঁকানো যায় </t>
  </si>
  <si>
    <t>এতে সম্ভাবনা রয়েছে তবে এটি ব্যবহারযোগ্য</t>
  </si>
  <si>
    <t>এটি আশানুরূপভাবে কাজ করে না এবং বিজ্ঞাপনের মতো কার্যকর নয়</t>
  </si>
  <si>
    <t>বিবর্ণতা এটিকে একটি অপ্রিয় ছায়ায় পরিণত করেছে</t>
  </si>
  <si>
    <t>ইউভি স্টেরিলাইজারের টাইমার কাজ করে না একটানা চলে</t>
  </si>
  <si>
    <t xml:space="preserve">গাড়ির জন্য অন্তর্নির্মিত জিপিএস ট্র্যাকারের জন্য ব্রিকহাউস সুরক্ষা ওয়েদারপ্রুফ চৌম্বকীয় কেস অনেক ভাল লেগেছে </t>
  </si>
  <si>
    <t>প্যাকেজিংটি ভালো তবে স্বাদে একটু পরিবর্তন দরকার</t>
  </si>
  <si>
    <t>সেটআপ করা খুবই সহজ ছিল প্লাগ করার সাথে সাথেই ব্যবহার করা শুরু করলাম</t>
  </si>
  <si>
    <t>কারুশিল্পের জন্য কিছুটা ভালো মোটামুটি ঠিক</t>
  </si>
  <si>
    <t>পোর্টেবল ব্লেন্ডারের ঢাকনা শক্তভাবে সিল করে না মিশ্রিত করার সময় ফুটো হয়ে যায়</t>
  </si>
  <si>
    <t>অ্যাঙ্কার সাউন্ডকোর লাইফ কিউ শালীন তবে দামের জন্য ব্যতিক্রমী হেডফোন নয়</t>
  </si>
  <si>
    <t>নতুন কার্পেটটি ঘরের সঙ্গে খুব মানানসই</t>
  </si>
  <si>
    <t>ফ্যানটির কাঠামো অত্যন্ত দ্রুত ও সহজে বিশ্বস্ত</t>
  </si>
  <si>
    <t>কথা বলার অপশন মোটামুটি</t>
  </si>
  <si>
    <t>বোতলের মুখ একটু চওড়া</t>
  </si>
  <si>
    <t>এটি একটি মাঝারি পণ্য বলা যায়</t>
  </si>
  <si>
    <t>আইটেম এর মূল্য তার মানের জন্য অসামঞ্জস্যপূর্ণ উচ্চ ছিল</t>
  </si>
  <si>
    <t>পণ্যের নির্দেশাবলী অস্পষ্ট বা খারাপভাবে অনুবাদ করা হয়েছে</t>
  </si>
  <si>
    <t>সেটের সাথে আসা গ্রেভি বোটটি খুবই কার্যকরী এটি ঝরনামুক্ত এবং পরিবেশনের সময় নিখুঁতভাবে কাজ করে</t>
  </si>
  <si>
    <t>আমার প্রত্যাশা পূরণ করেছে</t>
  </si>
  <si>
    <t>স্বপরিষ্কারকারী লিটার বাক্সের বর্জ্য ড্রয়ার আটকে যায় খালি করা কঠিন</t>
  </si>
  <si>
    <t>ব্যাটারি ব্যাকআপ অনেক ভালো</t>
  </si>
  <si>
    <t>ডিজাইন সাধারণ ছিল</t>
  </si>
  <si>
    <t>আইটেমটির আকার খুব ছোট ছিল সহজেই হারিয়ে যায় বা গিলে ফেলা হয়</t>
  </si>
  <si>
    <t>অন্যান্য ডিভাইসের সাথে পণ্যটির সামঞ্জস্য সীমিত ছিল</t>
  </si>
  <si>
    <t>রাইস কুকারের স্টিম ভেন্ট আটকে থাকে যার ফলে চাল মসলাযুক্ত হয়ে যায়</t>
  </si>
  <si>
    <t>নিরাপত্তা ক্যামেরা সিস্টেমের সাথে সংযোগের সমস্যা হতে পারে</t>
  </si>
  <si>
    <t>ফিল্টারটি খুব কার্যকর</t>
  </si>
  <si>
    <t>রঙটি বেশিদিন টিকে না</t>
  </si>
  <si>
    <t>ল্যাপটপ কুলিং প্যাডটি ল্যাপটপ ঠান্ডা রাখে কিন্তু আওয়াজ করে</t>
  </si>
  <si>
    <t>আইলাইনারটি সারা দিন ধরে সহজেই দাগ পড়ে একটি অগোছালো চেহারা তৈরি করে</t>
  </si>
  <si>
    <t>ফ্যাশনেবল এবং আধুনিক ডিজাইন</t>
  </si>
  <si>
    <t>বাড়িকে আকর্ষণীয় করে তবে অত্যধিক নয়</t>
  </si>
  <si>
    <t>এর কর্মক্ষমতা প্রত্যাশার নিচে</t>
  </si>
  <si>
    <t>অসাধারণ একটি প্রোডাক্ট কভারটি অত্যন্ত সুন্দর এবং মূল্যহীন মানের আমি অত্যন্ত আনন্দিত এবং ধন্যবাদ দারাজ এর জন্য</t>
  </si>
  <si>
    <t xml:space="preserve"> পাওয়ার সেটিংস যথেষ্ট সামঞ্জস্যযোগ্য নয় যার ফলে রান্নার উপর সীমিত নিয়ন্ত্রণ রয়েছে</t>
  </si>
  <si>
    <t>রোমান্টিক পরিবেশ সৃষ্টি করতে সাহায্য করে</t>
  </si>
  <si>
    <t>অফিসে রাখা যায়</t>
  </si>
  <si>
    <t>এটি মেকআপ অ্যাপ্লিকেশন নিখুঁত করে</t>
  </si>
  <si>
    <t>নিয়মিত ধুয়ে ব্যবহার করা উচিত হবে</t>
  </si>
  <si>
    <t>শুকনো শ্যাম্পুটি আমার চুলে একটি সাদা অবশিষ্টাংশ রেখেছিল যা ব্রাশ করা কঠিন ছিল</t>
  </si>
  <si>
    <t>পেইন্টের একটি তীক্ষ্ণ টেক্সচার ছিল যা ফিনিসটিকে প্রভাবিত করে</t>
  </si>
  <si>
    <t>সস্তা উপকরণ হতাশাজনক পণ্য</t>
  </si>
  <si>
    <t>স্মার্ট ডোরবেলের ক্যামেরা লেন্স আর্দ্র আবহাওয়ায় কুয়াশাচ্ছন্ন হয়ে যায় দৃষ্টি অস্পষ্ট করে</t>
  </si>
  <si>
    <t xml:space="preserve"> কিটটি সৃজনশীল মজার ঘন্টার প্রতিশ্রুতি দিয়েছে কিন্তু অস্পষ্ট নির্দেশাবলী এবং অনুপস্থিত উপাদান সহ একটি হতাশাজনক প্রচেষ্টা হয়ে উঠেছে</t>
  </si>
  <si>
    <t>অস্থির ভিত্তি এটি টিপিং প্রবণ করে তোলে</t>
  </si>
  <si>
    <t>সাইজিং চার্টের অসঙ্গতিগুলি একটি অযোগ্য বিপর্যয়ের দিকে পরিচালিত করে</t>
  </si>
  <si>
    <t>এটি একবার খেলে বারবার খেতে ইচ্ছে করে</t>
  </si>
  <si>
    <t>মাঝারি মানের বেশি কিছু আশা করা ঠিক নয়</t>
  </si>
  <si>
    <t>স্পিন তেমন কার্যকর নয</t>
  </si>
  <si>
    <t>শিশুর স্ট্রলারের চাকা জোরে চিৎকার করে শিশুর ঘুমের ব্যাঘাত ঘটায়</t>
  </si>
  <si>
    <t>অনুভূত শান্ত বইয়ের জন্য উপযুক্ত তবে অসাধারণ নয়</t>
  </si>
  <si>
    <t>ডিজাইনের কার্যকারিতার অভাব রয়েছে দৈনন্দিন পরিধানের জন্য একেবারেই অব্যবহারিক</t>
  </si>
  <si>
    <t>ড্রোন ক্যামেরাটি উড়ে তবে নিয়ন্ত্রণ করা কঠিন</t>
  </si>
  <si>
    <t>অ্যালার্ম ঘড়ির বোতামগুলি প্রতিক্রিয়াহীন হয়ে পড়েছে যার ফলে অ্যালার্ম সেট করা অসম্ভব</t>
  </si>
  <si>
    <t>প্রতিবার দেখলে নতুন অনুভূতি জাগায়</t>
  </si>
  <si>
    <t>স্নানের লবণের সুগন্ধ খুব দুর্বল ছিল জলে সবেমাত্র লক্ষণীয়</t>
  </si>
  <si>
    <t>পানির ফিল্টারটি অনেক ভালো কাজ করে</t>
  </si>
  <si>
    <t>পণ্যটি সময়মতো পৌঁছায়নি যার ফলে অসুবিধার সৃষ্টি হয়</t>
  </si>
  <si>
    <t>ব্যবহারের পর দাঁত একদম মসৃণ এবং চকচকে লাগে</t>
  </si>
  <si>
    <t>নতুন টিভির রিমোটটি ব্যবহার করা খুবই সহজ</t>
  </si>
  <si>
    <t>সেটের প্রতিটি বালিশ সমান মানের কোনটিই অন্যটির চেয়ে কম বা বেশি ভরাট নয়</t>
  </si>
  <si>
    <t>আমার সব প্রয়োজনে কাজ করে</t>
  </si>
  <si>
    <t>গ্লাভস আরামদায়ক তবে খুব দ্রুত ছিঁড়ে যায়</t>
  </si>
  <si>
    <t>পোশাক আরামদায়ক তবে রঙ ফিকে</t>
  </si>
  <si>
    <t>স্নো শাভেলটি বরফ সরায় কিন্তু হ্যান্ডেল ছোট</t>
  </si>
  <si>
    <t>এই খেলার মাঠে অনেক আনন্দময় সময় কাটানো যায়</t>
  </si>
  <si>
    <t>নিম্নমানের বিনিয়োগের মূল্য নয়</t>
  </si>
  <si>
    <t>শ্যাম্পুর ব্যবহার চুলে প্রাকৃতিক উজ্জ্বলতা ফিরিয়ে দেয়</t>
  </si>
  <si>
    <t>এর মধ্যে লুকানো রয়েছে হালকা ফলের স্বাদ</t>
  </si>
  <si>
    <t>শেলফটির প্রতিটি স্তর যথেষ্ট প্রশস্ত</t>
  </si>
  <si>
    <t>এটি শিশুর হাতের পেশী শক্তিশালী করতে সাহায্য করে</t>
  </si>
  <si>
    <t>রঙটা চামড়ার সাথে রিয়্যাক্ট করে না</t>
  </si>
  <si>
    <t>কিটটির প্রতিটি প্রোডাক্ট অ্যালার্জি মুক্ত</t>
  </si>
  <si>
    <t>মপটি দিয়ে কাজ করতে বেশি সময় লাগে না</t>
  </si>
  <si>
    <t>আইটেম এর সমাবেশ অত্যধিক জটিল এবং সময় গ্রাসকারী ছিল</t>
  </si>
  <si>
    <t>সস্তা দেখতে ভাল লাগে না</t>
  </si>
  <si>
    <t>বাজেট ইয়ারবাডস ভালো তবে নিখুঁত নয়</t>
  </si>
  <si>
    <t>ডিজাইন আকর্ষণীয় তবে টেকসই নয়</t>
  </si>
  <si>
    <t>চায়ের সাথে এরকম মজাদার বিস্কুট আগে খাইনি</t>
  </si>
  <si>
    <t>এটি পরবর্তী ব্যবহারে অভ্যস্ত হয়ে গেছে</t>
  </si>
  <si>
    <t>দাম মধ্যম পর্যায়ের খুব সস্তা বা দামি নয়</t>
  </si>
  <si>
    <t>সুবিধার জন্য হ্যান্ডেলটি সামঞ্জস্য করা যেতে পারে</t>
  </si>
  <si>
    <t>চুলের জেল আমার স্ট্র্যান্ডগুলিকে খড়ের মতো শক্ত এবং কুঁচকে গেছে</t>
  </si>
  <si>
    <t>ডিজাইনটি ইউনিক তবে সকলের পছন্দ নাও হতে পারে</t>
  </si>
  <si>
    <t>হালকা তবে এর কারণে অস্থির মনে হয়</t>
  </si>
  <si>
    <t xml:space="preserve"> দুর্ভাগ্যবশত পোশাকের মানানসই ফিগারকে চাটুকার না করে বরং সমস্যার ক্ষেত্রগুলোকে আরো বেশি করে তুলেছে</t>
  </si>
  <si>
    <t>আইটেমটি ভাল অবস্থায় রয়েছে কিন্তু কিছু কব্জা ভুলভাবে সারিবদ্ধ হয়েছে</t>
  </si>
  <si>
    <t>অভিজ্ঞতা প্রত্যাশিত প্রত্যাশা পূরণ করেনি</t>
  </si>
  <si>
    <t>ফ্যানটি খুব মজার এবং স্টাইলিশ</t>
  </si>
  <si>
    <t>প্যাকেজিংটিতে চায়ের উৎপত্তি এবং প্রক্রিয়াকরণ সম্পর্কে তথ্যের অভাব ছিল</t>
  </si>
  <si>
    <t>এটির রেটিংস দিতে গেলে আমি দিবো</t>
  </si>
  <si>
    <t>ঘড়িটির কাঠামো অত্যন্ত মজবুত</t>
  </si>
  <si>
    <t>কিছুটা নরম বোধ হয়েছে</t>
  </si>
  <si>
    <t>ডাবল বেস বা অতিরিক্ত ওজনের কারণে কিছু অসুবিধা হয়েছে যা ব্যবহারকারীর সন্তুষ্টির পথে বাধা সৃষ্টি করেছে</t>
  </si>
  <si>
    <t>ব্রাশটা নরম মনে হয়েছে</t>
  </si>
  <si>
    <t xml:space="preserve">বোতলটি পানি ঠান্ডা রাখে না </t>
  </si>
  <si>
    <t>আমার শীতের রাতগুলো এখন অনেক বেশি স্বস্তিদায়ক</t>
  </si>
  <si>
    <t>এটি এমন লোকদের জন্য একটি বিকল্প যারা অনেক ঘুরে বেড়ান এবং চার্জ করার সময় থাকে না</t>
  </si>
  <si>
    <t>রঙ ফ্যাশনেবল লেগেছে</t>
  </si>
  <si>
    <t>প্যাকেজিং ভালো তবে পানীয়ের পরিমাণ একটু কম</t>
  </si>
  <si>
    <t>কাপড়টি স্কিন ফ্রেন্ডলি</t>
  </si>
  <si>
    <t>আমি গত মাসে এই মোবাইল ফোনটি কিনেছি এই মধ্যম বাজেটের ডিভাইসটি মোটামুটি ভালো পারফরম্যান্স দেয়</t>
  </si>
  <si>
    <t>রঙ খুব উজ্জ্বল ছিল সঙ্গে কাজ চমৎকার কিছুটা সন্তোষজনক</t>
  </si>
  <si>
    <t>এই ডায়াপারের শোষণ ক্ষমতা অনেক ভালো</t>
  </si>
  <si>
    <t>ইলেকট্রিক কেটলিটি পানি গরম করে তবে অটো শাটঅফ কাজ করে না</t>
  </si>
  <si>
    <t>পরিক্ষার গড় মান আমার মতে ভাল</t>
  </si>
  <si>
    <t xml:space="preserve"> বহনকারী পাউচটি  সাথে আরামদায়কভাবে ফিট করার জন্য খুব ছোট যার ফলে ইয়ারপিসের উপর চাপ পড়ে এবং সম্ভাব্য ক্ষতি হয়</t>
  </si>
  <si>
    <t>ত্বকের স্বাস্থ্য উন্নত করে এই বডি ওয়াশ</t>
  </si>
  <si>
    <t>ব্যবহারযোগ্য তবে কোনো অতিরিক্ত সুবিধা নেই</t>
  </si>
  <si>
    <t>খুব তাড়াতাড়ি ডেলিভারি দিয়েছে এবং প্রোডাক্টটি পেয়ে আমি অনেক খুশি</t>
  </si>
  <si>
    <t>অতিরিক্ত ব্যবহারে ত্বক কিছুটা লাল হতে পারে</t>
  </si>
  <si>
    <t>মধুটি স্বাস্থ্যকর এবং সুস্বাদু</t>
  </si>
  <si>
    <t>শ্যাম্পুর ব্যবহারে চুলের রুক্ষতা দূর হয়</t>
  </si>
  <si>
    <t>ফেসিয়াল ক্লিনজার ত্বকের প্রাকৃতিক তেল ছিঁড়ে ফেলে এটিকে টানটান এবং শুষ্ক বোধ করে</t>
  </si>
  <si>
    <t>মপ কাপড়ে ভালো পানি শোষণ করতে পারে</t>
  </si>
  <si>
    <t>আইটেমটি শক্ত এবং কিছুটা অস্বস্তিকর হতে পারে</t>
  </si>
  <si>
    <t>অতিরিক্ত গরম করলে প্লাস্টিক নরম হতে পারে</t>
  </si>
  <si>
    <t>আইল্যাশ কার্লার দোররা বের করে দেয় যার ফলে সেগুলি সময়ের সাথে সাথে বিরল হয়ে যায়</t>
  </si>
  <si>
    <t>উচ্চমানের হিসাবে বিজ্ঞাপিত হওয়া সত্ত্বেও ফ্যাব্রিক বড়িগুলি দ্রুত শেষ হয়ে যায় এবং এর চেহারা এবং জীবনকাল হ্রাস করে</t>
  </si>
  <si>
    <t>ঘ্রাণ কর্মক্ষমতা এবং প্যাকেজিং অখণ্ডতা সামগ্রিক হতাশা পণ্য এড়াতে অন্যদের পরামর্শ</t>
  </si>
  <si>
    <t xml:space="preserve">জিনিস টা ভালএটি মেকআপের ওপর অনেক ভাল কাজ করে </t>
  </si>
  <si>
    <t>মেয়েদের এবং মহিলাদের জন্য দুর্দান্ত কার্যকারিতা সীমিত হতে পারে</t>
  </si>
  <si>
    <t xml:space="preserve">  এক্সফোলিয়েন্ট খুব রুক্ষ ছিল এবং আমার চামড়া কাঁচা ছেড়ে</t>
  </si>
  <si>
    <t>চায়ের মান দেখে আমি অবাক দামের তুলনায় অনেক ভালো</t>
  </si>
  <si>
    <t xml:space="preserve"> রান্নার ক্ষমতা সামঞ্জস্যপূর্ণ নয় ফলে খাবারে গরম দাগ এবং ঠান্ডা দাগ দেখা দেয়</t>
  </si>
  <si>
    <t>নতুন ব্যবহারকারী হিসেবে সন্তুষ্ট কিন্তু উন্নতির প্রয়োজন</t>
  </si>
  <si>
    <t>বীনগুলো একটু চকচকে অতিরিক্ত তেলাক্ত নয়</t>
  </si>
  <si>
    <t>ফ্রেম টেকসই তবে বিশেষ কিছু নয়</t>
  </si>
  <si>
    <t>শ্যাম্পুটি চুলের আর্দ্রতা বজায় রাখে</t>
  </si>
  <si>
    <t>ব্রাশ কিনতে অনলাইনে ঢুকলাম</t>
  </si>
  <si>
    <t>কফি টেবিলটির নকশা অত্যন্ত সমসাময়িক ও স্টাইলিশ</t>
  </si>
  <si>
    <t>আমার প্রয়োজনের জন্য তেমন  প্রযোজ্য নয়</t>
  </si>
  <si>
    <t>পোর্টেবল চার্জার ফোনটিকে চার্জ করে তবে এটি গরম হয়ে যায়</t>
  </si>
  <si>
    <t>টিকতে পারেনি ফিরে আসার নির্ভরযোগ্যতা এখনও অনিশ্চিত</t>
  </si>
  <si>
    <t>ট্যাবলেটে ব্যবহার করা যায়</t>
  </si>
  <si>
    <t>ফ্যানের পাখাগুলো এমনভাবে ডিজাইন করা যে বাতাস বেশি দূরত্ব পর্যন্ত পৌঁছায়</t>
  </si>
  <si>
    <t>হালকা তবে কিছু সহজে ক্ষতিগ্রস্থ হয়</t>
  </si>
  <si>
    <t>বইটির মূল্য কিছুটা বেশি মনে হয়েছে তবে বিষয়বস্তু ঠিকঠাক</t>
  </si>
  <si>
    <t>এটি কঠোর পরিশ্রমের পর আমার হাতকে পুনরুজ্জীবিত করে</t>
  </si>
  <si>
    <t>সংকীর্ণ ভিত্তি এটি টিপিং প্রবণ করে তোলে</t>
  </si>
  <si>
    <t>মেকআপ ব্রাশ ব্যবহার করা শিল্পকলা</t>
  </si>
  <si>
    <t>পোশাকটি আলগা থ্রেড এবং অসম সেলাই দিয়ে এসেছে যা দুর্বল কারুকার্য নির্দেশ করে</t>
  </si>
  <si>
    <t>ঢাকনা খোলা কিছুটা কঠিন</t>
  </si>
  <si>
    <t>পেনসিলটি খুব মসৃণ এবং পরিষ্কারভাবে লেখে</t>
  </si>
  <si>
    <t>খারাপভাবে সম্পাদিত নকশা বিশ্রী হ্যান্ডলিং নেতৃত্বে</t>
  </si>
  <si>
    <t>সারা দিন ব্লাশ দ্রুত ম্লান হয়ে যায় ঘন ঘন টাচআপের প্রয়োজন হয়</t>
  </si>
  <si>
    <t>আমাদের নিন্টেন্ডো স্যুইচের জন্য পারফেক্ট</t>
  </si>
  <si>
    <t>রেফ্রিজারেটরের বরফ প্রস্তুতকারক জ্যাম করে সঠিকভাবে বরফ বিতরণ করে না</t>
  </si>
  <si>
    <t>স্ক্রীনের উজ্জ্বলতা অসম ছিল লক্ষণীয় অন্ধকার দাগ এবং ব্যাকলাইট রক্তপাত সহ</t>
  </si>
  <si>
    <t>ফায়ার এক্সটিংগুইশার আগুন নেভায় তবে নির্দেশনা স্পষ্ট নয়</t>
  </si>
  <si>
    <t>ফিট করা বিশ্রী এবং অস্বস্তিকর</t>
  </si>
  <si>
    <t>পোশাকটি নৈমিত্তিক পরিধানের জন্য ঠিক আছে বাহ ফ্যাক্টরের অভাব রয়েছে</t>
  </si>
  <si>
    <t>প্রতিক্রিয়াশীল নিয়ন্ত্রণগুলি এটি ব্যবহার করা হতাশাজনক করে তুলেছে</t>
  </si>
  <si>
    <t>স্নানের বোমার রং টবে দাগ ফেলেছিল যা অপসারণের জন্য স্ক্রাবিং প্রয়োজন</t>
  </si>
  <si>
    <t>এই ঘর সাজানোর লাইটগুলি খুব সুন্দরভাবে আলো ছড়ায়</t>
  </si>
  <si>
    <t>কফির পানীয় তৈরির পর গোল্ডেন ক্রিমা হয়</t>
  </si>
  <si>
    <t>নোংরা পুতুল মঙ্গল বইয়ের আবেদন</t>
  </si>
  <si>
    <t>কোণাকুণি জায়গায় পৌঁছানো কঠিন হতে পারে</t>
  </si>
  <si>
    <t>ফোল্ডেবল কীবোর্ডটি সহজে বহনযোগ্য তবে টাইপিং অস্বস্তিকর</t>
  </si>
  <si>
    <t>সেটের সাথে আসা রঙের বিকল্পগুলি চমৎকার আমি সহজেই আমার পছন্দের রঙ খুঁজে পেয়েছি</t>
  </si>
  <si>
    <t>এই কলম থেকে দূরে থাকুন টিপস ব্যবহারের কয়েক মিনিটের মধ্যেই বিভ্রান্তি ছড়ায়</t>
  </si>
  <si>
    <t>বিভ্রান্তিকর ফটো এবং বিবরণ প্রকৃত পণ্য একটি বিপর্যয়</t>
  </si>
  <si>
    <t>খাবার সংরক্ষণের জন্য ব্যবহার করা যায় তবে দুর্গন্ধ ঢোকে</t>
  </si>
  <si>
    <t>পণ্যটি অনলাইনে চিত্রিত রঙ বা শৈলীর সাথে মেলেনি</t>
  </si>
  <si>
    <t>বক্সড ব্রাউনি মিক্স শুষ্ক এবং টুকরো টুকরো বাদামি তৈরি করে যেগুলিতে যথেষ্ট সমৃদ্ধি ও স্বাদের অভাব ছিল</t>
  </si>
  <si>
    <t>দাম অনুযায়ী মান ঠিকই অনেকটা আছে</t>
  </si>
  <si>
    <t>অনেক ভালো ধন্যবাদ</t>
  </si>
  <si>
    <t>এটি ধুলো অপসারণে কার্যকর</t>
  </si>
  <si>
    <t>সারটি ব্যবহারের পর গাছের রং কিছুটা উন্নতি হয়েছে তবে ফলন তেমন আশানুরূপ ছিল না</t>
  </si>
  <si>
    <t>ফ্রুটি নোট মৃদু খুব প্রকট নয়</t>
  </si>
  <si>
    <t>টি আমার এয়ারপডগুলির তুলনায় কিছু চ্যালেঞ্জের সম্মুখীন হতে পারে</t>
  </si>
  <si>
    <t>স্বাদ পরিচিত কোনো বিশেষ ফ্লেভার নেই</t>
  </si>
  <si>
    <t>রেজরটি বেশ তীক্ষ্ণ তবে কিছু সময় ত্বকে জ্বালা হতে পারে</t>
  </si>
  <si>
    <t>ডিভাইসটির ক্যামেরার কালার রেন্ডারিং অসাধারণ</t>
  </si>
  <si>
    <t>এই বডি ওয়াশ ব্যবহারে আপনি অনুভব করবেন পুনর্জন্ম</t>
  </si>
  <si>
    <t>খরচের দিক থেকে সাশ্রয়ী</t>
  </si>
  <si>
    <t>চুলের মোমটি ধুয়ে ফেলা কঠিন ছিল এবং আমার চুলকে চিকন দেখাচ্ছে</t>
  </si>
  <si>
    <t>টু পিস কিছু ত্রুটি সহ</t>
  </si>
  <si>
    <t>ত্বকের ক্লান্তি দূর করে এই বডি ওয়াশ</t>
  </si>
  <si>
    <t>ওজন হালকা আমি যা আশা করেছিলাম তা নয়</t>
  </si>
  <si>
    <t>স্ট্যাক করা যায় তবে উচ্চতায় বিপজ্জনক হতে পারে</t>
  </si>
  <si>
    <t>বিলাসবহুল আইটেমটি একটি মোটা দামের ট্যাগের সাথে এসেছিল</t>
  </si>
  <si>
    <t>দীর্ঘস্থায়ী পরিধানের দাবি সত্ত্বেও প্রয়োগের এক দিনের মধ্যে নেইলপলিশ চিপ এবং খোসা ছাড়িয়ে যায়</t>
  </si>
  <si>
    <t>সোপটির প্যাকেজিং খুবই আকর্ষণীয়</t>
  </si>
  <si>
    <t>পিৎজা কাটারটি কাজ করে তবে ধার একটু কম</t>
  </si>
  <si>
    <t>প্যাকেজিং ঠিক লেগেছে</t>
  </si>
  <si>
    <t>ল্যাপটপ পরিষ্কার করে তবে অসাধারণ নয়</t>
  </si>
  <si>
    <t>ফিট করে তবে খালি হাতে</t>
  </si>
  <si>
    <t>আমার মালিকানাধীন সেরা হেডফোনগুলি কিছু ব্যবহারকারীর সমস্যা ছিল</t>
  </si>
  <si>
    <t>কাপগুলি খুব অগভীর ছিল ভর্তি হয়ে গেলে চা ছড়িয়ে পড়ে</t>
  </si>
  <si>
    <t>আমি কখনও ব্যবহার করেছি সবচেয়ে খারাপ রঙের কলম সর্বত্র কালি ধোঁয়া ও রক্তপাত</t>
  </si>
  <si>
    <t>চায়ের থলিটি খুব সরু ছিল যার ফলে চা পাশ দিয়ে ছিটকে পড়ছিল</t>
  </si>
  <si>
    <t>শ্যাম্পুর সুগন্ধি সত্যিই ভাল লাগে</t>
  </si>
  <si>
    <t>এই নতুন মোবাইলের ফিচারগুলি খুবই কার্যকর</t>
  </si>
  <si>
    <t>আচারটা ঝাঁঝালো হলেও ছিল চটচটে কৃত্রিম ভিনেগারের স্বাদ ছিল আর ক্রাঞ্চটা ছিল না</t>
  </si>
  <si>
    <t>আধুনিক পুরুষের জন্য উপযুক্ত</t>
  </si>
  <si>
    <t>আজ আমরা আড্ডতে বেশি ধুকে গেছি</t>
  </si>
  <si>
    <t>প্লাস্টিকের গন্ধ সংরক্ষিত খাবারে স্থানান্তরিত হয় যা স্বাদকে প্রভাবিত করে</t>
  </si>
  <si>
    <t>ব্যবহার করা সহজ নয় তবে কাজ করে</t>
  </si>
  <si>
    <t>এটি কয়েকদিন স্থায়ী হয়</t>
  </si>
  <si>
    <t>এটি রোমাঞ্চকর কোনো সময়ে চলবে</t>
  </si>
  <si>
    <t>একটি অসাধারণ মানের পণ্য</t>
  </si>
  <si>
    <t xml:space="preserve"> বাসি এবং অক্সিডাইজড ছিল তাদের সতেজতা এবং গন্ধ হারাচ্ছিল</t>
  </si>
  <si>
    <t>দামের জন্য ভালো তবে আশানুরূপ নয়</t>
  </si>
  <si>
    <t>ব্লেডটি খুব ধারালো তবে হাতে একটু ভারী লাগে</t>
  </si>
  <si>
    <t xml:space="preserve">এত ভাল কাজ করেছি যে আমি দ্বিতীয়টি কিনেছি অসাধারণ একটি প্রোডাক্ট নিখুঁত এবং দ্রুতএবং এটির রেস্পন্স ও অনেক ভালো পেয়েছি এ চমৎকার </t>
  </si>
  <si>
    <t>সোপটি ত্বকের নমনীয়তা বৃদ্ধি করে</t>
  </si>
  <si>
    <t>প্রথমেই বলতে হয় এর রঙের ব্যবহার</t>
  </si>
  <si>
    <t>ছাতার প্রান্তগুলো এমনভাবে তৈরি যে কারও গায়ে লাগলেও আঘাত লাগে না</t>
  </si>
  <si>
    <t>স্মার্ট সুইমিং গগলসটি তথ্য প্রদর্শন করে তবে পানিতে ধোঁয়াশা হয়</t>
  </si>
  <si>
    <t>ব্যবহারের পর ত্বকে কোনো জ্বালাপোড়া হয়নি</t>
  </si>
  <si>
    <t>ক্যাম্পিং স্টোভ জ্বলে না বাইরে রান্না করতে অক্ষম</t>
  </si>
  <si>
    <t>লিপস্টিকের ফর্মুলা শুকিয়ে যাচ্ছে এবং ঠোঁটের রেখাকে জোরদার করে ঠোঁট ফাটা দেখায়</t>
  </si>
  <si>
    <t>প্রতিবার দেখলে মনে হয় সবে কিনেছি</t>
  </si>
  <si>
    <t>প্যাডের আকার সামান্য বড় মনে হয়েছে</t>
  </si>
  <si>
    <t>কিউটিকল তেল অগোছালো এবং সর্বত্র ফুটো হয়ে যায় যার ফলে পৃষ্ঠ এবং কাপড়ে একটি তৈলাক্ত ফিল্ম পড়ে</t>
  </si>
  <si>
    <t>আইটেমটির প্যাকেজিং ছিল অত্যধিক এবং অপচয়কারী</t>
  </si>
  <si>
    <t>ফ্যাব্রিক ঘামাচি এবং অস্বস্তিকর</t>
  </si>
  <si>
    <t>বইটি আমার চিন্তাধারাকে বদলে দিতে পারে</t>
  </si>
  <si>
    <t>এটি প্রাকৃতিকভাবে সংগ্রহ করা হয়</t>
  </si>
  <si>
    <t>পোর্টেবল চার্জারের ইউএসবি পোর্টগুলি আলগা হয়ে গেছে যার ফলে অবিশ্বস্ত সংযোগ রয়েছে</t>
  </si>
  <si>
    <t>সুন্দর তবে দ্রুত নয়</t>
  </si>
  <si>
    <t>ক্যামেরার অন্তর্নির্মিত ফ্ল্যাশটি কম শক্তিযুক্ত যার ফলে কঠোর আলো এবং অস্পষ্ট প্রতিকৃতি দেখা যায়</t>
  </si>
  <si>
    <t>গুণমান দুর্দান্ত তবে কিছু টুকরো প্রত্যাশার মতো টেকসই মনে হয় নি</t>
  </si>
  <si>
    <t>মোবাইলটির কনেক্টিভিটি অপশন খুবই আধুনিক</t>
  </si>
  <si>
    <t>ত্বকের ইনফ্লামেশন কমায় এই বডি ওয়াশ</t>
  </si>
  <si>
    <t>ফ্যানটির শক্তি সহজেই নিয়ন্ত্রণ করা যায়</t>
  </si>
  <si>
    <t>চার্জারের সূচক আলো কাজ করা বন্ধ করে দিয়েছে এটি কখন ব্যবহার করা হচ্ছে তা বলা কঠিন করে তোলে</t>
  </si>
  <si>
    <t>বাচ্চারা এটা দিয়ে খেলতে পারে তবে বেশিক্ষণ মনোযোগ ধরে না</t>
  </si>
  <si>
    <t>চেয়ারটির উচ্চতা সমন্বয় করা খুব সহজ</t>
  </si>
  <si>
    <t>মনের শান্তির জন্য এটি মূল্যবান সীমিত কার্যকারিতা রয়েছে</t>
  </si>
  <si>
    <t>আকার পরিবর্তনশীল নয়</t>
  </si>
  <si>
    <t>বিভিন্ন রঙে পাওয়া যায়</t>
  </si>
  <si>
    <t>কফি টেবিলের সাথে গ্লাস টপ প্রোটেক্টর দেওয়া আছে</t>
  </si>
  <si>
    <t>ত্রুটিযুক্ত   প্রাপ্ত মান নিয়ন্ত্রণের অভাব নির্দেশ করে</t>
  </si>
  <si>
    <t>এটি সহজে পরিষ্কার করা যায় কিন্তু ময়লা জমে যেতে পারে</t>
  </si>
  <si>
    <t>বাক্সযুক্ত সিরিয়ালটি বাসি ছিল এবং পিচবোর্ডের মতো স্বাদযুক্ত খাস্তা এবং তাজা থেকে অনেক দূরে</t>
  </si>
  <si>
    <t>বাইরে ব্যবহারের জন্য কম উপযুক্ত</t>
  </si>
  <si>
    <t>দাম অনুযায়ী গুণমান যথেষ্ট লেগেছে</t>
  </si>
  <si>
    <t>পেন্সিল রঙ মিশ্রিত করার জন্য উপযুক্ত</t>
  </si>
  <si>
    <t>ব্লেন্ডারের জার ঢাকনা ঠিকমতো সিল করে না ব্লেন্ড করার সময় ফুটো হয়ে যায়</t>
  </si>
  <si>
    <t>এর হিটিং মোড শীতকালেও কাজে লাগে এটি সারা বছর ব্যবহার করা যায়</t>
  </si>
  <si>
    <t>এর মধ্যে একধরনের প্রশান্তি এবং সৌন্দর্য লুকিয়ে আছে</t>
  </si>
  <si>
    <t>সামগ্রিক গুণমান নিয়ে হতাশ</t>
  </si>
  <si>
    <t>বালিশগুলি ধোয়ার পরও তাদের আকার ও নরমভাব বজায় রাখে এটি দীর্ঘমেয়াদী ব্যবহারের জন্য নিশ্চয়তা দেয়</t>
  </si>
  <si>
    <t>দাঁত অনেক পরিষ্কার এবং চকচকে হয়ে যায় ব্যবহারের পর দাঁত একদম মসৃণ এবং চকচকে লাগে</t>
  </si>
  <si>
    <t>রঙ এবং ফ্যাব্রিক মান মাঝারি</t>
  </si>
  <si>
    <t>ভাল মানের ছবিতে স্থিতিশীলতা নাও থাকতে পারে</t>
  </si>
  <si>
    <t>প্রতিবেশীরা কিছুটা উদাসীন ছিল</t>
  </si>
  <si>
    <t>বাড়ির চারপাশে কাজের জন্য বাজেট কুঁড়ি কিন্তু চিত্তাকর্ষক নয়</t>
  </si>
  <si>
    <t>ক্যানভাস ফ্যাব্রিক মাঝারি মানের</t>
  </si>
  <si>
    <t>চা পাতাগুলি খুব সূক্ষ্মভাবে মাটিতে পড়েছিল ফলে একটি কাদাযুক্ত চোলাই ছিল</t>
  </si>
  <si>
    <t>এটি সামান্য ঝাঁকুনিতে ভেঙে যেতে পারে</t>
  </si>
  <si>
    <t>প্যাকেটজাত স্ন্যাকস বাসি ছিল এবং ক্রঞ্চের অভাব ছিল যা নিম্নমানের নিয়ন্ত্রণ নির্দেশ করে</t>
  </si>
  <si>
    <t>প্রথমেই বলতে হয় টুথপেস্টের ফ্রেশ এবং মেন্থল গন্ধের কথা</t>
  </si>
  <si>
    <t>এটি সূক্ষ্ম বিবরণে কাজ করতে পারে</t>
  </si>
  <si>
    <t>অসন্তোষজনক অবস্থা অগ্রহণযোগ্য</t>
  </si>
  <si>
    <t>এটি একটি অদ্বিতীয় বেডশীট হিসেবে মনে হয়</t>
  </si>
  <si>
    <t>প্যাকেজিংয়ে অত্যধিক প্লাস্টিক ছিল যা দূষণে অবদান রাখে</t>
  </si>
  <si>
    <t>রঙ মোটামুটি ঠিক থাকে</t>
  </si>
  <si>
    <t>টিনজাত ফলের একটি ধাতব স্বাদ এবং অত্যধিক সিরাপি টেক্সচার ছিল আসল ফলের সতেজতা থেকে অনেক দূরে</t>
  </si>
  <si>
    <t>এর মাধ্যমে ড্রয়িং করাও খুব সহজ লাইনের নিয়ন্ত্রণ খুব ভালো হয়</t>
  </si>
  <si>
    <t>মাইক্রোওয়েভে ব্যবহার করা যায় কিছুটা</t>
  </si>
  <si>
    <t>পাত্রগুলির ওজন ঠিক সঠিক  না খুব ভারী না খুব হালকা এটি ব্যবহার করা এবং পরিবেশন করা সহজ করে তোলে</t>
  </si>
  <si>
    <t>টুথপেস্টের গন্ধ বেশিক্ষণ থাকে না কিন্তু এমনে সাদ ভাল</t>
  </si>
  <si>
    <t>এই সেটের রঙ এতটাই সুন্দর যে আমার অতিথিরা প্রায়ই এর প্রশংসা করে এটি আমাদের ভোজসভাকে আরও বিশেষ করে তোলে</t>
  </si>
  <si>
    <t>ক্যামেরাগুলি জলরোধী হওয়ার জন্য ডিজাইন করা হয়নি</t>
  </si>
  <si>
    <t>ফটোশুটের জন্য একটি আদর্শ প্রপ</t>
  </si>
  <si>
    <t>দাম তুলনামূলকভাবে বেশি তবে মানের সাথে তুলনা করলে উপযুক্ত হতে পারে</t>
  </si>
  <si>
    <t>দুর্দান্ত দাম এবং ভাল মানের তবে কিছু হুক সহজেই বাঁকানো হয়</t>
  </si>
  <si>
    <t>আইটেমের সমাবেশটি জটিল এবং সময়সাপেক্ষ ছিল</t>
  </si>
  <si>
    <t xml:space="preserve">এমএসআই এমএজি বি  টমাহক গেমিং এর জন্ন্যে অনেক ভাল হয়েছে  </t>
  </si>
  <si>
    <t>ইনস্টল করা সহজ কিন্তু সীমিত স্থায়িত্ব থাকতে পারে</t>
  </si>
  <si>
    <t>ঠিকঠাক কাজ দেয় কিন্তু কিছু সমস্যা আছে</t>
  </si>
  <si>
    <t>ধুলো জমার সমস্যা নেই সহজে পরিষ্কার করা যায়</t>
  </si>
  <si>
    <t>নতুন ফোনের স্ক্রিন অনেক বড় এবং স্পষ্ট</t>
  </si>
  <si>
    <t>দামের তুলনায় এর ফিচার এবং পারফরম্যান্স অনেক বেশি মূল্যের সদ্ব্যবহার হয়েছে</t>
  </si>
  <si>
    <t>প্যাকেজড ডিপ একটি অদ্ভুত আফটারটেস্ট ছিল এবং চিপস বা সবজির সাথে ভাল জুড়ি ছিল না</t>
  </si>
  <si>
    <t>ডিজাইন আকর্ষণীয় নয়</t>
  </si>
  <si>
    <t>ভাল দাম নিখুঁত নয়</t>
  </si>
  <si>
    <t>সাজসজ্জার অংশ হিসেবে কাজ করতে পারে</t>
  </si>
  <si>
    <t>অ্যালার্ম ঘড়ির অ্যালার্ম ফাংশন কাজ করা বন্ধ করে দিয়েছে আমাকে কাজের জন্য দেরি করছে</t>
  </si>
  <si>
    <t>পুঁতির গড় মান ঠিকঠাক আছে</t>
  </si>
  <si>
    <t xml:space="preserve">খুবই উপকারী </t>
  </si>
  <si>
    <t>চেয়ারগুলোর পা মজবুত ও স্থিতিশীল</t>
  </si>
  <si>
    <t>ডিভাইসটির ওএস আপডেট নিয়মিত ও নির্ভরযোগ্য</t>
  </si>
  <si>
    <t>এটি আমার পছন্দের তালিকায় শীর্ষে</t>
  </si>
  <si>
    <t>মধুটির স্বাদ অত্যন্ত মিষ্টি এবং মোলায়েম</t>
  </si>
  <si>
    <t>বৈদ্যুতিক ফ্রাইং প্যানের ননস্টিক আবরণ দ্রুত নষ্ট হয়ে যায়</t>
  </si>
  <si>
    <t>ভিডিও ভালো তবে স্থায়িত্ব নিয়ে প্রশ্ন আছে</t>
  </si>
  <si>
    <t>টিভি স্ট্যান্ড ক্ষীণ এবং অস্থির ছিল যা একটি নিরাপত্তা বিপত্তি তৈরি করেছিল</t>
  </si>
  <si>
    <t xml:space="preserve"> শুধুমাত্র নেস্ট ক্যামের জন্য নিয়েছি অনেক ভাল </t>
  </si>
  <si>
    <t>একটি ভালো পণ্য তবে আরও উন্নতি হতে পারে</t>
  </si>
  <si>
    <t>এই শ্যাম্পুটি ব্যবহার করার পর চুল এত মসৃণ হয়ে গেছে</t>
  </si>
  <si>
    <t>স্টাইলিশ ডিজাইন আমার পোশাকের সাথে মানানসই</t>
  </si>
  <si>
    <t>ডাইনিং চেয়ারগুলোর পায়ায় ননস্লিপ প্যাড লাগানো আছে</t>
  </si>
  <si>
    <t>নিয়ন্ত্রণ বোতাম টেকসই</t>
  </si>
  <si>
    <t>চমৎকার সিকিউরিটি ক্যামেরা</t>
  </si>
  <si>
    <t>চুল পড়া কমাতে এই শ্যাম্পুটি খুব কার্যকর</t>
  </si>
  <si>
    <t>একসঙ্গে রাখা সহজ কিন্তু দাম বিশেষ ভালো নয়</t>
  </si>
  <si>
    <t>আমার ফোনটিতে স্মার্ট ফিচারে ভরপুর</t>
  </si>
  <si>
    <t>ডোরম্যাটটি কাদা ধরে রাখে তবে ধোয়া অসুবিধাজনক</t>
  </si>
  <si>
    <t>বোতলটি রাখার জন্য জায়গা লাগে</t>
  </si>
  <si>
    <t>ডিজাইনটিতে নতুনত্বের অভাব রয়েছে তা তারিখযুক্ত এবং অনুপ্রাণিত নয়</t>
  </si>
  <si>
    <t>কিছু ক্ষেত্রে পণ্যের বিবরণ এবং বাস্তবতার মধ্যে বৈষম্য দেখা গিয়েছে</t>
  </si>
  <si>
    <t>ব্লেন্ডারের বেস অত্যধিকভাবে কম্পন করে ব্যবহারের সময় ঘুরে বেড়ায়</t>
  </si>
  <si>
    <t>এই সারটি ব্যবহারে কিছুটা উপকারিত মনে হয়েছে তবে পুরোপুরি সন্তুষ্ট হওয়া যায়নি</t>
  </si>
  <si>
    <t>অস্থির ঢাকনা অপ্রত্যাশিতভাবে বন্ধ হয়ে যায় যার ফলে গন্ডগোল হয়</t>
  </si>
  <si>
    <t>অতিরিক্ত গরম করলে বিপজ্জনক হয়</t>
  </si>
  <si>
    <t>টার্বো হিটিং মোড রয়েছে</t>
  </si>
  <si>
    <t>রঙের ছায়া এবং আলোর ব্যবহার অসাধারণ</t>
  </si>
  <si>
    <t>আইটেমের প্রান্তগুলি খুব তীক্ষ্ণ ছিল কাটা এবং আঘাতের ঝুঁকি ছিল</t>
  </si>
  <si>
    <t>মোবাইলটির থার্মাল ম্যানেজমেন্ট অসাধারণ</t>
  </si>
  <si>
    <t>খুবই মজা পাই প্রতিটি কামড়ে</t>
  </si>
  <si>
    <t xml:space="preserve">আমি সম্প্রতি একটি নতুন রঙের বাক্স কিনেছি এবং এটি ব্যবহার করে আমি অত্যন্ত খুশি </t>
  </si>
  <si>
    <t xml:space="preserve"> বোতাম টিপতে বা আলাদা করা কঠিন ফলে দুর্ঘটনাজনিত চাপ বা প্লেব্যাক নিয়ন্ত্রণে অসুবিধা হয়</t>
  </si>
  <si>
    <t>প্যাকেটে গ্রাম বীন আছে যা মধ্যম আকারের</t>
  </si>
  <si>
    <t>ফ্যাব্রিকের মান এবং দাম উভয়ই গড় পর্যায়ে রয়েছে</t>
  </si>
  <si>
    <t>ভালো পণ্য কিছু সীমাবদ্ধতা রয়েছে</t>
  </si>
  <si>
    <t>বিছানা গরম রাখতে সহায়ক</t>
  </si>
  <si>
    <t>সুইচ মাঝে মাঝে আটকে যায়</t>
  </si>
  <si>
    <t>স্মার্ট থার্মোস্ট্যাটের ওয়াইফাই সিগন্যাল দুর্বল ঘন ঘন সংযোগ হারায়</t>
  </si>
  <si>
    <t>হেয়ার স্প্রেতে একটা তীব্র ঘ্রাণ ছিল যা আমার মাথা ব্যাথা করে</t>
  </si>
  <si>
    <t>প্যাকেজ করা গ্রেভির মিশ্রণে নোনতা স্বাদ এবং চকচকে টেক্সচার ছিল বাড়িতে তৈরি গ্রেভির সমৃদ্ধির অভাব ছিল</t>
  </si>
  <si>
    <t>কিছুটা সুন্দর এত বড় নয়</t>
  </si>
  <si>
    <t>দাঁতের স্বাস্থ্যের জন্য এটি একদম উপযোগী</t>
  </si>
  <si>
    <t>গন্ধটি খুব তিক্ত ছিল চায়ের যেকোনো সূক্ষ্মতাকে ছাড়িয়ে গেছে</t>
  </si>
  <si>
    <t>ডিজাইন সাধারণ বিশেষ কিছু নয়</t>
  </si>
  <si>
    <t>আইশ্যাডো প্যালেটে পুনরাবৃত্তিমূলক শেড রয়েছে যা চোখের চেহারায় সৃজনশীলতা সীমিত করে</t>
  </si>
  <si>
    <t xml:space="preserve"> ডিজাইনটি অব্যবহারিক নষ্ট স্থান এবং অদক্ষ স্টোরেজ বিন্যাস সহ</t>
  </si>
  <si>
    <t>মধুটি খুবই পুষ্টিকর এবং স্বাস্থ্যকর</t>
  </si>
  <si>
    <t>কাজ করে তবে কোনো অতিরিক্ত সুবিধা নেই</t>
  </si>
  <si>
    <t>ভাঁজ করার পর খুব কম জায়গা নেয় ছোট ব্যাগেও রাখা যায়</t>
  </si>
  <si>
    <t>গুণমানের জন্য  অতিরিক্ত মূল্য ছিল বিনিয়োগের মূল্য ছিল না</t>
  </si>
  <si>
    <t>রিমোট কন্ট্রোল বোতামগুলি খারাপভাবে লেবেলযুক্ত ছিল যা নেভিগেশনকে বিভ্রান্তিকর করে তোলে</t>
  </si>
  <si>
    <t>ফর্মুলা প্রাকৃতিক তেলের চুল ছিনিয়ে নেয় যার ফলে শুষ্কতা এবং কুঁচকানো হয়</t>
  </si>
  <si>
    <t>কনসিলার সূক্ষ্ম রেখায় বসতি স্থাপন করে তাদের আড়াল না করে   স্পষ্ট করে</t>
  </si>
  <si>
    <t>আক্ষরিক অর্থে আমার সেরা ক্রয়গুলির মধ্যে একটি সবার জন্য উপযুক্ত নয়</t>
  </si>
  <si>
    <t>দামের তুলনায় পরিমাণ ভালো অনেকদিন চলবে</t>
  </si>
  <si>
    <t>তরল আইলাইনারের সূত্রটি জলযুক্ত যার ফলে ধোঁয়া ও অসম রেখা দেখা দেয়</t>
  </si>
  <si>
    <t>চা বাসি স্বাদ ছিল তাজাতা এবং সুগন্ধের অভাব ছিল</t>
  </si>
  <si>
    <t>ওয়াটার বোতলটি গরম বা ঠাণ্ডা পানীয়কে দীর্ঘ সময় ধরে রাখে</t>
  </si>
  <si>
    <t>রঙটা সিজন অনুযায়ী ঠিকঠাক আছে</t>
  </si>
  <si>
    <t>পোশাকে কাঠামোর অভাবের কারণে আকৃতিহীন সিলুয়েট</t>
  </si>
  <si>
    <t>এই শ্যাম্পুটি ব্যবহারের পর চুল বেশ সুন্দর ও নরম হয়ে যায়</t>
  </si>
  <si>
    <t>শুধু গড় মানের</t>
  </si>
  <si>
    <t>নির্দেশাবলীতে কাজ সম্পন্ন করার জন্য প্রয়োজনীয় ধাপগুলি উল্লেখ করা হয়েছে</t>
  </si>
  <si>
    <t>ওয়ারেন্টি সার্ভিস খুব ভালো কোনো সমস্যা হলে তারা দ্রুত সমাধান করে দেয়</t>
  </si>
  <si>
    <t>ব্যাগের একটি সন্তোষজনক চেহারা রয়েছে তবে এটি অসাধারণ নয়</t>
  </si>
  <si>
    <t>ক্যামেরার নির্ভরযোগ্যতা নিয়ে প্রশ্ন থাকতে পারে</t>
  </si>
  <si>
    <t>আমি লক্ষ্য করেছি যে এই পাত্রগুলি খুব ভালোভাবে তাপ ধরে রাখে আমার খাবার অনেকক্ষণ গরম থাকে যা আমি খুবই পছন্দ করি</t>
  </si>
  <si>
    <t>স্থায়িত্ব সম্পর্কে এখনও নিশ্চিত নই</t>
  </si>
  <si>
    <t>ভিত্তিটি ধাতু সম্ভবত ইস্পাত দিয়ে তৈরি</t>
  </si>
  <si>
    <t>ফোনের বিজ্ঞপ্তি সিস্টেমটি অসামঞ্জস্যপূর্ণ কখনও কখনও ব্যবহারকারীদের ইনকামিং কল বা বার্তাগুলি সম্পর্কে সতর্ক করতে ব্যর্থ হয়৷</t>
  </si>
  <si>
    <t>পেইন্ট ব্রাশগুলি কার্যকর তবে সেগুলি পরিষ্কার করা কঠিন</t>
  </si>
  <si>
    <t xml:space="preserve"> আমি দিণ পরে রিভিউ দিলাম আপনার চাইলে ণিতে পারেন</t>
  </si>
  <si>
    <t xml:space="preserve">হাস্যকর হলেও সত্যিই কাজ করে </t>
  </si>
  <si>
    <t>কাপের আকার ছোট বড় পানীয়ের জন্য উপযুক্ত নাও হতে পারে</t>
  </si>
  <si>
    <t>র্যাকেটের স্ট্রিং মজবুত তবে ওজন ভারী</t>
  </si>
  <si>
    <t>নোংরা খরগোশ বইটি নষ্ট করে অপ্রীতিকর আশ্চর্য</t>
  </si>
  <si>
    <t>বিস্কুটগুলি ভাঙে না যা খাওয়ার সময় সুবিধাজনক</t>
  </si>
  <si>
    <t>এটি আমার ত্বককে যথেষ্ট ময়শ্চারাইজ করেনি</t>
  </si>
  <si>
    <t>দারুণ কাজ করেগুণমান ভালো মান আমি খুবই আনন্দিত</t>
  </si>
  <si>
    <t>ইলেকট্রনিক টয়লেট পেপার ডিস্পেন্সারটি কাগজ দেয় তবে সেন্সর মাঝেমধ্যে ভুল করে</t>
  </si>
  <si>
    <t>মিথ্যা সাইজিং চার্ট একটি ভুল ফিটিং পোশাকের কারণে অবাঞ্ছিত পোশাকের মধ্যে যোগদান করে</t>
  </si>
  <si>
    <t>রান্নার পাত্রের ননস্টিক আবরণ সহজেই আঁচড়ে যায় খাবারকে দূষিত করে</t>
  </si>
  <si>
    <t>খারাপভাবে স্থল ছিল যার ফলে অসম নিষ্কাশন হয়েছিল</t>
  </si>
  <si>
    <t>একটি বিলাসবহুল অনুভূতি দেয়</t>
  </si>
  <si>
    <t xml:space="preserve">আমি ক্যামেরাগুলি এত পছন্দ করেছি যে আমি আরও কিনেছি </t>
  </si>
  <si>
    <t>টুথপেস্টের রঙ সাধারণ সাদা</t>
  </si>
  <si>
    <t>ফ্রিজে রাখা যায় কিন্তু ঠান্ডায় ভঙ্গুর হয়</t>
  </si>
  <si>
    <t>কফির মান দেখে বোঝা যায় এটি সর্বোচ্চ মানের বীজ থেকে তৈরি</t>
  </si>
  <si>
    <t xml:space="preserve">গ্রেট অ্যাম্পএত ভাল কাজ করেছি যে আমি দ্বিতীয়টি কিনেছিঅসাধারণ একটি প্রোডাক্ট </t>
  </si>
  <si>
    <t>বিউটি সোপটি ত্বককে পুনরুজ্জীবিত করে</t>
  </si>
  <si>
    <t xml:space="preserve"> দরজার হাতলটি খারাপভাবে সুরক্ষিত ন্যূনতম শক্তি দিয়ে বন্ধ হয়ে আসছে</t>
  </si>
  <si>
    <t xml:space="preserve">অন্যান্য ব্র্যান্ডের চেয়ে অনেক কম মূল্যে  কিনেছি </t>
  </si>
  <si>
    <t>বোতলের ক্যাপটা খোলা আছে</t>
  </si>
  <si>
    <t xml:space="preserve"> অডিও আউটপুট ভিডিওর সাথে সিঙ্কের বাইরে ছিল যার ফলে লিপসিঙ্ক সমস্যা হয়েছে৷</t>
  </si>
  <si>
    <t>সাইজিং নিয়ে বারবার হতাশার কারণে হতাশা বেড়ে যায়</t>
  </si>
  <si>
    <t xml:space="preserve"> এটি শরীরে খুব সহজেই মিশে যায় </t>
  </si>
  <si>
    <t>এর নির্ভরযোগ্যতা কিছুটা অনিশ্চিত</t>
  </si>
  <si>
    <t>নতুনদের জন্য মোটামুটি ঠিক</t>
  </si>
  <si>
    <t>ভগ্নপ্রায় প্রান্ত এবং আলগা থ্রেড সহ একটি   প্রাপ্তি যা কম কারিগরি এবং বিস্তারিত মনোযোগের অভাব নির্দেশ করে</t>
  </si>
  <si>
    <t>ওভারহিট প্রটেকশন আছে</t>
  </si>
  <si>
    <t>রং উঠে গিয়ে কদর্য প্যাচ পড়ে গেছে</t>
  </si>
  <si>
    <t>এটি আমার ঘরকে দ্রুত ঠান্ডা করে</t>
  </si>
  <si>
    <t xml:space="preserve">অসাধারণ অভিজ্ঞতা একটি সুন্দর প্রোডাক্ট  বরং অত্যন্ত মানসম্পন্ন </t>
  </si>
  <si>
    <t>এটি ধীরে ধীরে ঠান্ডা হয়</t>
  </si>
  <si>
    <t>ফোনের সফ্টওয়্যার ইন্টারফেস বিশৃঙ্খল এবং বিভ্রান্তিকর সেটিংস বা বৈশিষ্ট্যগুলি খুঁজে পাওয়া কঠিন করে তোলে৷</t>
  </si>
  <si>
    <t>ব্যাগের ডিজাইনে সংগঠনের অভাব ছিল যার ফলে প্রয়োজনের সময় দ্রুত আইটেমগুলি খুঁজে পাওয়া এবং পুনরুদ্ধার করা কঠিন হয়ে পড়ে</t>
  </si>
  <si>
    <t>এটি একটি অত্যন্ত প্রফেশনাল ফ্যান</t>
  </si>
  <si>
    <t>আমাদের স্কুলে সব শিক্ষার্থী সবসময় একসাথে কাজ করে</t>
  </si>
  <si>
    <t>চুলের তেল আমার মাথার তালুতে চিকন বোধ করে এবং ব্রেকআউট সৃষ্টি করে</t>
  </si>
  <si>
    <t>পেইন্টিং সেটটি ছিটকে যাওয়া রঙ্গক সহ ক্ষতিগ্রস্ত হয়েছে</t>
  </si>
  <si>
    <t>প্রতিবার এই চা পান করে আমি অনুভব করি নতুন এক অনুভূতি</t>
  </si>
  <si>
    <t xml:space="preserve">  পৃষ্ঠটি সহজেই স্ক্র্যাচ এবং ক্ষতিগ্রস্থ হয় এমনকি ন্যূনতম ব্যবহারের সাথেও এর চেহারা থেকে বিচ্ছিন্ন হয়</t>
  </si>
  <si>
    <t>প্রতিদিন সকালে এই কফি পান করে আমি শক্তি পাই</t>
  </si>
  <si>
    <t>শব্দ নিরোধক কাজ করে না</t>
  </si>
  <si>
    <t>বিজ্ঞাপিত হওয়া সত্ত্বেও চিনির বাটি সেটের মধ্যে অন্তর্ভুক্ত ছিল না</t>
  </si>
  <si>
    <t>প্যাকেজ করা ম্যাশড আলুগুলি গলদযুক্ত এবং স্বাদের অভাব ছিল তাৎক্ষণিক পাউডারের মতো স্বাদযুক্ত</t>
  </si>
  <si>
    <t xml:space="preserve"> ডিসপ্লে প্যানেলটি টাইমারের পরিবর্তে এলোমেলো চিহ্ন প্রদর্শন করে গ্লিচিং প্রবণ</t>
  </si>
  <si>
    <t>এই চা আমাকে মনে করিয়ে দেয় দার্জিলিংয়ের বাগানের কথা</t>
  </si>
  <si>
    <t>অপর্যাপ্ত নিরোধক তাপমাত্রার ওঠানামা ঘটায়</t>
  </si>
  <si>
    <t>ক্রীড়া ঘড়ির ডিজাইন সুন্দর কিন্তু ব্যাটারি দ্রুত ফুরিয়ে যায়</t>
  </si>
  <si>
    <t>আকার মোটামুটি ঠিক আছে তবে কিছুটা ছোট মনে হয়</t>
  </si>
  <si>
    <t>এই চেয়ারটি দীর্ঘ সময় বসার জন্য আরামদায়ক</t>
  </si>
  <si>
    <t>ইন্টারনেটের গতি খুব দ্রুত এবং নির্ভরযোগ্য</t>
  </si>
  <si>
    <t>বুকশেলফটির ডিজাইন অত্যন্ত আধুনিক এবং আকর্ষণীয়</t>
  </si>
  <si>
    <t>ঢাকনা সুরক্ষিতভাবে ফিট হয়নি যার ফলে চা ছিটকে পড়ে</t>
  </si>
  <si>
    <t>কন্ডেনসার কয়েলের স্পেশাল কোটিং এটিকে জংধরা থেকে রক্ষা করে এটি এসির আয়ু বাড়ায়</t>
  </si>
  <si>
    <t xml:space="preserve"> পাশের পকেটগুলি স্ট্যান্ডার্ড আকারের জলের বোতল রাখার জন্য খুব ছোট</t>
  </si>
  <si>
    <t>এটি সহজে নিয়ন্ত্রণ করা যায়</t>
  </si>
  <si>
    <t>ঘড়িটির কাঁচ খুবই পরিষ্কার</t>
  </si>
  <si>
    <t>এর টেকসই গুণমান আমাকে মুগ্ধ করেছে নিয়মিত ব্যবহার করলেও কোনো সমস্যা হয় না</t>
  </si>
  <si>
    <t>ঠিক আছে উপহার হিসেবে গ্রহণ করছি</t>
  </si>
  <si>
    <t>এই হ্যান্ড ক্রিমের সুগন্ধ অসাধারণ মৃদু কিন্তু মনোরম</t>
  </si>
  <si>
    <t>চা পাতাগুলি খুব মোটা ছিল যার ফলে মদ্যপানে একটি গ্রিটি টেক্সচার ছিল</t>
  </si>
  <si>
    <t>সূক্ষ্ম অলস চুলে ভলিউম বা   যোগ করতে ব্যর্থ সব ধরনের চুলের জন্য উপযুক্ততার দাবির বিপরীতে</t>
  </si>
  <si>
    <t>স্ট্রিপগুলি সমানভাবে সাজানো হয় না</t>
  </si>
  <si>
    <t>টুথপেস্টের গন্ধ কিছুটা মৃদু</t>
  </si>
  <si>
    <t>চুলের বৃদ্ধি বাড়াতে সহায়ক এই শ্যাম্পু</t>
  </si>
  <si>
    <t>দরজার কব্জাটি আলগা যার ফলে দরজাটি ঝুলে যায় এবং শক্তভাবে সিল হয় না</t>
  </si>
  <si>
    <t>বিউটি সোপটি সব ধরণের ত্বকের জন্য উপযোগী</t>
  </si>
  <si>
    <t>এর সুবাসও মনমুগ্ধকর</t>
  </si>
  <si>
    <t>আপনার সূক্ষ্ম কাপড় রক্ষা করে কিছুটা সাধারণ</t>
  </si>
  <si>
    <t>দুর্ভাগ্যক্রমে প্রায় অর্ধেক পুঁতি ব্যবহারযোগ্য নয়</t>
  </si>
  <si>
    <t>অনুপস্থিত বোতাম বা   আগমনের সময় ত্রুটিপূর্ণ বন্ধ খুঁজে পেতে হতাশ এর সামগ্রিক গুণমান থেকে বিঘ্নিত</t>
  </si>
  <si>
    <t>মোবাইলটির ক্যামেরা পারফরম্যান্স অসাধারণ</t>
  </si>
  <si>
    <t>এটি মেকআপ মিশ্রণ সহজ করে</t>
  </si>
  <si>
    <t>বিশ্রী আকৃতি ব্যবহারের সময় অস্বস্তি সৃষ্টি করে</t>
  </si>
  <si>
    <t>পেইন্টের রং টিউবগুলিতে আলাদা করা হয়েছে রিমিক্সিং প্রয়োজন</t>
  </si>
  <si>
    <t>কিটটির প্রতিটি প্রোডাক্ট সহজে প্রয়োগ করা যায়</t>
  </si>
  <si>
    <t>স্মার্ট পিল ডিসপেন্সারটি ঔষধ দেয় তবে প্রোগ্রামিং জটিল</t>
  </si>
  <si>
    <t>ফসলের বৃদ্ধি কিছুটা হলেও সারটি তেমন কাজ করেনি</t>
  </si>
  <si>
    <t>পোর্টেবল কফি মেকারের ঢাকনা সিল ফুটো হয়ে যায় চোলাইয়ের সময় কফি ছড়িয়ে পড়ে</t>
  </si>
  <si>
    <t>কাপগুলিতে দৃশ্যমান ফাটল ছিল তাদের অখণ্ডতার সাথে আপস করে</t>
  </si>
  <si>
    <t>সোপটির ব্যবহার ত্বকের দাগ কমায়</t>
  </si>
  <si>
    <t>কিছু নতুন ফলন উৎপাদন হয়েছে তবে তা পূর্ণ সমাধান না হওয়ায় হতাশ</t>
  </si>
  <si>
    <t>ওয়্যারলেস পেট ফুড ডিস্পেন্সারের ক্যামেরা পশু দেখায় কিন্তু নাইট ভিশন মোটামুটি</t>
  </si>
  <si>
    <t>আমি লক্ষ্য করেছি যে এই বালিশগুলি ধুলো জমা হতে দেয় না এটি আমার ঘরকে পরিষ্কার রাখতে সাহায্য করে</t>
  </si>
  <si>
    <t>প্যাকেজিং অবহেলা ক্ষতির ফলে</t>
  </si>
  <si>
    <t>গোলো স্কোরবোর্ড ঠিক আছে তবে লম্বা সময় টিকে না</t>
  </si>
  <si>
    <t>খুব একটা ভালো না</t>
  </si>
  <si>
    <t>সক্রিয় দিনের জন্য ব্যবহারযোগ্য তবে অসাধারণ নয়</t>
  </si>
  <si>
    <t>ফিটটি ঠিক আছে এবং কিছুটা আরামদায়ক তবে কিছু উন্নতি সম্ভব</t>
  </si>
  <si>
    <t>প্রত্যাশা অনুযায়ী কাজ করে তবে তেমন ভালো লাগেনি</t>
  </si>
  <si>
    <t>চার্জারটি  বেশিরভাগ ল্যাপটপের সাথে কাজ করবে আশা করি</t>
  </si>
  <si>
    <t>রেট্রোঅনুপ্রাণিত পণ্যটি কাগজে দুর্দান্ত দেখায় কিন্তু পুরানো প্রযুক্তি এবং কর্মক্ষমতা সমস্যা সহ প্রত্যাশা পূরণ করতে ব্যর্থ হয়েছে</t>
  </si>
  <si>
    <t>চিত্রে বৈচিত্র্যের অভাবে হতাশ</t>
  </si>
  <si>
    <t>পোশাকটিতে একটি অদ্ভুত গন্ধ ছিল যা একাধিকবার ধোয়ার পরেও দীর্ঘায়িত ছিল</t>
  </si>
  <si>
    <t>খেলা শেষে হাত ধোয়া জরুরি</t>
  </si>
  <si>
    <t>খুব মিষ্টি তবে একটু বেশি ফ্রুট ফ্লেভার</t>
  </si>
  <si>
    <t xml:space="preserve"> ঢাকনাটি খুব ঢিলা ছিল ঢালার সময় পড়ে গিয়েছিল</t>
  </si>
  <si>
    <t>এটি ত্বকের যত্নে ব্যবহার করা যেতে পারে</t>
  </si>
  <si>
    <t>ভিজ্যুয়াল পুনরাবৃত্তি উত্তেজনার অভাব</t>
  </si>
  <si>
    <t>দাম ভালো তবে কাপড়ের মান উন্নত হতে পারত</t>
  </si>
  <si>
    <t>একটি অপ্রীতিকর গন্ধ সহ একটি   পেয়েছি যা ধোয়ার পরেও অব্যাহত থাকে নিম্নমানের সামগ্রী বা অনুপযুক্ত সঞ্চয়ের পরামর্শ দেয়</t>
  </si>
  <si>
    <t>কুল ক্যামেরা</t>
  </si>
  <si>
    <t>মোবাইলটির ব্যাটারি লাইটাইম অনেক দীর্ঘ</t>
  </si>
  <si>
    <t>মানসম্মত ও জনপ্রিয়</t>
  </si>
  <si>
    <t>চার্জিং স্পিড মোটামুটি খুব দ্রুত বা ধীর নয়</t>
  </si>
  <si>
    <t>সেটের সাথে আসা অতিরিক্ত ফিলিং খুবই সুবিধাজনক আমি প্রয়োজনে বালিশগুলিকে আরও কঠিন বা নরম করতে পারি</t>
  </si>
  <si>
    <t>রঙগুলি বিজ্ঞাপনের মতো প্রাণবন্ত ছিল না</t>
  </si>
  <si>
    <t>মিষ্টি ঠিক তবে আরো বেশি তাজা হতে পারে</t>
  </si>
  <si>
    <t>মেকআপ কিটটির কনসিলার দাগ ঢেকে ফেলে</t>
  </si>
  <si>
    <t>সাদা কাগজের জন্য পারফেক্ট</t>
  </si>
  <si>
    <t>এটি রাস্তার মধ্যবর্তী একটি পোশাক ব্যতিক্রমী বা হতাশাজনক না</t>
  </si>
  <si>
    <t>সেটের টুকরা খুব ছোট ছিল অসামঞ্জস্যপূর্ণ দেখাচ্ছিল</t>
  </si>
  <si>
    <t>বোতলে পর্যাপ্ত পরিমাণ থাকার কথা</t>
  </si>
  <si>
    <t>ছেলেটি প্রতিদিন সকালে সাইকেল চালায়</t>
  </si>
  <si>
    <t>যেতে যেতে স্কেচিংয়ের জন্য কাগজটি ব্যবহার করা যায়</t>
  </si>
  <si>
    <t>সব আইটেম একই উপাদানে তৈরি কিন্তু মান ভিন্ন</t>
  </si>
  <si>
    <t>স্বাদ বেশ সাধারণ তবে দাম অনুযায়ী ঠিক</t>
  </si>
  <si>
    <t>এর ফিল্টার সিস্টেম চমৎকার আমার অ্যালার্জির সমস্যা অনেকটাই কমে গেছে এই এসি ব্যবহার করার পর থেকে</t>
  </si>
  <si>
    <t>সেটের অংশগুলি একে অপরের সাথে নিখুঁতভাবে মানানসই প্রতিটি আইটেম অন্যগুলির সাথে সুন্দরভাবে সামঞ্জস্যপূর্ণ</t>
  </si>
  <si>
    <t>ওয়ার্কআউট ব্যাগের চেইন মজবুত তবে ফিতা দুর্বল</t>
  </si>
  <si>
    <t>বাচ্চারা নাড়াচাড়া করতে পারে কিন্তু কিছু অংশ খুব ছোট</t>
  </si>
  <si>
    <t>মেকআপ কিটটির পাউডার ফিনিশিং খুবই নিখুঁত</t>
  </si>
  <si>
    <t>কিটটির প্রতিটি প্রোডাক্ট ত্বকে আরামদায়ক</t>
  </si>
  <si>
    <t>একটি মাঝারি পারফরম্যান্স ল্যাপটপের জন্য উপযুক্ত</t>
  </si>
  <si>
    <t xml:space="preserve"> খুব গাঢ়ভাবে ভাজা হয়েছিল তাদের প্রাকৃতিক স্বাদগুলিকে অস্পষ্ট করেছিল</t>
  </si>
  <si>
    <t>পেইন্টের রঙের ক্যানভাসে অসামঞ্জস্যপূর্ণ কভারেজ ছিল</t>
  </si>
  <si>
    <t>চার্জ করার সময় একটু বেশি লাগে</t>
  </si>
  <si>
    <t>প্রতিদিন নতুন উদ্দীপনা জোগায়</t>
  </si>
  <si>
    <t>প্রোডাক্টের প্যাকেজিং খুব সুন্দর এবং সুরক্ষিত ছিল প্রোডাক্টটি সুরক্ষিত অবস্থায় পৌঁছেছে</t>
  </si>
  <si>
    <t>সঠিক দামে কিছুটা বেশি</t>
  </si>
  <si>
    <t>ক্ষীণ ঢাকনা অপ্রত্যাশিতভাবে পপ অফ বিষয়বস্তু ছড়িয়ে</t>
  </si>
  <si>
    <t xml:space="preserve"> এর দশকের ফটোগুলি স্বপ্নের মতো দেখায়</t>
  </si>
  <si>
    <t>কাট সুন্দর তবে কাপড় টেকসই নয়</t>
  </si>
  <si>
    <t>তেমন মজা নয়</t>
  </si>
  <si>
    <t>চা একটি তিক্ত স্বাদ ছিল গন্ধে যে কোনো সূক্ষ্মতা অতিক্রম করে</t>
  </si>
  <si>
    <t>এর সুবাস মিষ্টি আর মনমুগ্ধকর</t>
  </si>
  <si>
    <t>কাপগুলিতে অসম বটম ছিল যার ফলে সেগুলি সমতল পৃষ্ঠে টলমল করে</t>
  </si>
  <si>
    <t>ফ্যাব্রিকের দৃঢ়তা বর্ধিত সময়ের জন্য পোশাকটিকে পরিধানযোগ্য করে তোলে</t>
  </si>
  <si>
    <t xml:space="preserve"> টাইমার নবটি ঢিলেঢালা এবং অবাধে ঘোরে এটিকে সুনির্দিষ্ট সময় সেট করা চ্যালেঞ্জিং করে তোলে</t>
  </si>
  <si>
    <t>অসন্তোষজনক ফিট অস্বস্তি সৃষ্টি করে</t>
  </si>
  <si>
    <t>পোশাকটি একটি নির্দিষ্ট উপাদান হিসাবে বিজ্ঞাপিত হয়েছিল তবে এটি ব্যক্তিগতভাবে সস্তা এবং ক্ষীণ মনে হয়েছিল</t>
  </si>
  <si>
    <t>ডিজাইন আকর্ষণীয় তবে ফিনিশিং ভালো নয়</t>
  </si>
  <si>
    <t>প্যাকেজিং চাকে আলো এবং আর্দ্রতা থেকে রক্ষা করেনি যার ফলে নষ্ট হয়ে যায়</t>
  </si>
  <si>
    <t>টুথপেস্টের ফর্মুলা খুবই কার্যকর</t>
  </si>
  <si>
    <t>সুস্বাদু তবে অনেক কৃত্রিম উপাদান ব্যবহৃত</t>
  </si>
  <si>
    <t>ভুল মাপ চার্ট একটি ভুল ফিট বাড়ে</t>
  </si>
  <si>
    <t>রঙ উজ্জ্বল তবে ফিনিশিং উন্নত নয়</t>
  </si>
  <si>
    <t xml:space="preserve"> পাওয়ার আউটপুট অপারেশন চলাকালীন ওঠানামা করে ফলে রান্নার ফলাফল অসামঞ্জস্যপূর্ণ হয়</t>
  </si>
  <si>
    <t>প্রয়োজনীয় সাবস্ক্রিপশনের কার্যকারিতা সীমিত হতে পারে</t>
  </si>
  <si>
    <t>ক্যামেরার ওয়াইফাই সংযোগ অবিশ্বাস্য প্রায়ই ফাইল স্থানান্তরের সময় সংযোগ বাদ দেয়</t>
  </si>
  <si>
    <t xml:space="preserve">সর্বকালের সেরা </t>
  </si>
  <si>
    <t>জলের ফিল্টারটি ঘন ঘন প্রতিস্থাপনের প্রয়োজন সামগ্রিক রক্ষণাবেক্ষণের খরচ যোগ করে</t>
  </si>
  <si>
    <t>আমাদের বাসার বাগানে সবুজ গাছপালা আছে</t>
  </si>
  <si>
    <t>ফ্রিজের দরজার সিলটি বায়ুরোধী নয় যার ফলে ঠান্ডা বাতাস বেরিয়ে যায় এবং গরম বাতাস প্রবেশ করে</t>
  </si>
  <si>
    <t>সোপটি ত্বকের ময়লা ও তেল দূর করে</t>
  </si>
  <si>
    <t>চায়ের একটি সমতল স্বাদ ছিল জটিলতা এবং গভীরতার অভাব ছিল</t>
  </si>
  <si>
    <t>গান বাজে তবে একই সুর বারবার</t>
  </si>
  <si>
    <t>হালকা হওয়ায় দীর্ঘক্ষণ ধরে রাখতেও কোনো ক্লান্তি আসে না</t>
  </si>
  <si>
    <t>প্রকৃতির সাথে সংযোগ স্থাপন করার অনুভূতি দেয়</t>
  </si>
  <si>
    <t xml:space="preserve"> ভিউফাইন্ডার ছোট এবং ম্লান যা নির্ভুলভাবে শট রচনা করা কঠিন করে তোলে</t>
  </si>
  <si>
    <t>পরিদর্শন করার পরে পোশাকটিতে ফ্যাব্রিকের ত্রুটি রয়েছে যেমন একটি ছিদ্র বা ছিদ্র এটিকে পরিধানের অযোগ্য করে তুলেছে</t>
  </si>
  <si>
    <t>হেয়ার মাস্ক হাইড্রেশন দাবি করেছে কিন্তু আমার ক্ষতিগ্রস্ত প্রান্ত পুনরুজ্জীবিত করতে ব্যর্থ হয়েছে</t>
  </si>
  <si>
    <t>বাচ্চাদের এই খেলনাগুলি শিক্ষামূলক এবং মজাদার</t>
  </si>
  <si>
    <t>এটি পক্ষপাতগুলিকে আলাদা করে এবং কোনো মাকড়সার পা ইফেক্ট তৈরি করে না</t>
  </si>
  <si>
    <t>ব্যাটারির চার্জ কম ধরে</t>
  </si>
  <si>
    <t>এর ন্যাপকিন উইংস খুবই ভালোভাবে ফিট করে যা লিক থেকে রক্ষা করে</t>
  </si>
  <si>
    <t xml:space="preserve"> সাউন্ড প্রোফাইলে স্বচ্ছতা এবং বিশদ বিবরণের অভাব রয়েছে যা সঙ্গীত প্লেব্যাকে স্বতন্ত্র যন্ত্র বা ভোকাল সনাক্ত করা কঠিন করে তোলে</t>
  </si>
  <si>
    <t>রিং সাইজার যা সবেমাত্র পর্যাপ্ত</t>
  </si>
  <si>
    <t>গুণগত মান গড়</t>
  </si>
  <si>
    <t>এই শ্যাম্পুটি চুলে নতুন প্রাণ নিয়ে আসে</t>
  </si>
  <si>
    <t>ক্যালেন্ডারের ডিজাইন অনেক আকর্ষণীয় এবং চমৎকার</t>
  </si>
  <si>
    <t>মপ ব্যবহার করার সময় শব্দ কম হয়</t>
  </si>
  <si>
    <t>বোতলটি ভ্রমণের জন্য উপযুক্ত নয় তবে অন্য ব্যবহারে ব্যবহার করা যেতে পারে</t>
  </si>
  <si>
    <t>মাইক্রোওয়েভযোগ্য বুরিটোতে একটি স্যাঁতসেঁতে টর্টিলা এবং স্বাদ ছিল মসৃণ</t>
  </si>
  <si>
    <t>গ্রাইন্ডের পর কফির রঙ গাঢ় বাদামি থেকে কালচে</t>
  </si>
  <si>
    <t>স্মার্ট গার্ডেন সেন্সর মাটির স্বাস্থ্য পরিমাপ করে কিন্তু আবহাওয়ার প্রতিরোধী নয়</t>
  </si>
  <si>
    <t>এটি পেন্সিলের ধার কমিয়ে দিতে পারে</t>
  </si>
  <si>
    <t>অসাধারণ মেমোরি কার্ড</t>
  </si>
  <si>
    <t>সৃজনশীলতা বাড়াতে অনুপ্রেরণা যোগায়</t>
  </si>
  <si>
    <t>চুলের স্বাস্থ্য রক্ষায় এই শ্যাম্পুটি সত্যিই অসাধারণ</t>
  </si>
  <si>
    <t>নির্ভরযোগ্যতা প্রশ্নবিদ্ধ</t>
  </si>
  <si>
    <t>এটি আমার ক্ষুধা মেটাতে সাহায্য করে কিন্তু খুব ভারী অনুভব করায় না</t>
  </si>
  <si>
    <t>সীমিত ম্যানুয়াল নিয়ন্ত্রণ বিকল্পগুলি উন্নত ব্যবহারকারীদের নির্দিষ্ট শুটিং অবস্থার জন্য ফাইনটিউনিং সেটিংস থেকে বাধা দেয়</t>
  </si>
  <si>
    <t>পকেটসাইজ ডিজিটাল টি ইনফিউজারটি চা তৈরি করে কিন্তু তাপমাত্রা নিয়ন্ত্রণ করা কঠিন</t>
  </si>
  <si>
    <t>আমাদের ক্লাসের শিক্ষার্থীরা সবসময় মনোযোগী</t>
  </si>
  <si>
    <t>আলমারির পায়াগুলো মেঝেতে কোনো দাগ ফেলে না</t>
  </si>
  <si>
    <t>শাওয়ার জেলের বোতলটি ফাটল এবং ফাঁস হয়ে গেছে পণ্য নষ্ট করছে</t>
  </si>
  <si>
    <t>ডিজিটাল পকেট মাইক্রোস্কোপটি বস্তু বড় করে দেখায় তবে ফোকাস করা কঠিন</t>
  </si>
  <si>
    <t>রঙটা মনের মতো কিন্তু ফিটিং ঠিক হয়নি</t>
  </si>
  <si>
    <t xml:space="preserve"> হ্যান্ডেল ক্ষীণ এবং সস্তায় তৈরি স্থায়িত্বের অভাব অনুভব করে</t>
  </si>
  <si>
    <t>অবিস্মরণীয় শিল্পকর্ম সৃজনশীলতার অভাব</t>
  </si>
  <si>
    <t>মান ভালো নয়</t>
  </si>
  <si>
    <t>তাত্ক্ষণিক নুডলসের একটি কৃত্রিম গন্ধ ছিল যা অপ্রতিরোধ্য এবং অরুচিকর ছিল</t>
  </si>
  <si>
    <t xml:space="preserve"> দরজার কব্জাগুলি মরিচা ধরেছে তাদের কাঠামোগত অখণ্ডতার সাথে আপস করছে</t>
  </si>
  <si>
    <t>এটি সহজে পরিষ্কার করা যেতে পারে</t>
  </si>
  <si>
    <t>কফির পোড়া স্বাদ ছিল যা অতিরিক্ত ভাজা হওয়ার ইঙ্গিত দেয়</t>
  </si>
  <si>
    <t>ঘরের অন্ধকার কোণও আলোকিত করে তোলে</t>
  </si>
  <si>
    <t>ভালো পণ্য তবে ব্যতিক্রমী নয়</t>
  </si>
  <si>
    <t>লেখকের গভীর চিন্তাধারা প্রশংসনীয়</t>
  </si>
  <si>
    <t>নতুন বইয়ের প্রতিটি গল্প খুবই আকর্ষণীয়</t>
  </si>
  <si>
    <t>দেখতে সুন্দর কিন্তু ব্যবহারে তেমন আরামদায়ক নয়</t>
  </si>
  <si>
    <t>ডিজাইন আকর্ষণীয় তবে ফ্যাব্রিক শক্ত</t>
  </si>
  <si>
    <t>বর্ধিত সময় ধরে নিয়মিত ব্যবহার সত্ত্বেও অ্যান্টিএজিং সিরাম দৃশ্যমান ফলাফল দিতে ব্যর্থ হয়</t>
  </si>
  <si>
    <t>এই কফির স্বাদ আমাকে বারবার আকৃষ্ট করে</t>
  </si>
  <si>
    <t>গন্ধটি খুব ফুলের ছিল চা পাতার প্রাকৃতিক স্বাদকে অপ্রতিরোধ্য করে</t>
  </si>
  <si>
    <t>পায়ের আঙ্গুলের বাক্সটি সরু যার ফলে প্রশস্ত পায়ের ব্যক্তিদের জন্য অস্বস্তি এবং ব্যথা হয়</t>
  </si>
  <si>
    <t>এটি আমার চুলে চমৎকার চকচকে ভাব আনে</t>
  </si>
  <si>
    <t>সহজে শোষণকারী উপাদান গন্ধ ধরে রাখে</t>
  </si>
  <si>
    <t>পোর্টেবল ডিজিটাল মাইক্রোফোন মিক্সারটি অডিও মিক্স করে কিন্তু ইনপুট পোর্ট সীমিত</t>
  </si>
  <si>
    <t>আরো ভাল মনোযোগ জন্য আশা করছি</t>
  </si>
  <si>
    <t>হ্যাঁ কিছুটা হতাশ</t>
  </si>
  <si>
    <t>সেটের সাথে আসা সার্ভিং বাটিগুলি বিভিন্ন আকারের যা নানা ধরনের খাবার পরিবেশনের জন্য খুবই উপযোগী</t>
  </si>
  <si>
    <t>ফাউন্ডেশনের কভারেজ অস্পষ্ট এবং অমসৃণ কিছু এলাকা খালি এবং অন্যগুলো কেকি ছেড়ে দেয়</t>
  </si>
  <si>
    <t>ফর্মুলাটিতে পক্ষপাতপুষ্টিকর উপাদান আছে</t>
  </si>
  <si>
    <t>ক্যামেরার এলসিডি স্ক্রীন একদৃষ্টিতে প্রবণ এটি বাইরের শটগুলি রচনা করা চ্যালেঞ্জিং করে তোলে</t>
  </si>
  <si>
    <t>বইটি পড়ে কিছুটা মিশ্র অনুভূতি হয়েছে গল্পের ধারাবাহিকতা ভালো</t>
  </si>
  <si>
    <t>পণ্য পরিষ্কার করা সহজ হবে</t>
  </si>
  <si>
    <t>ভাল মূল্য  পণ্য খুব সুন্দর</t>
  </si>
  <si>
    <t xml:space="preserve"> প্যানেলে একটি সংকীর্ণ দেখার কোণ ছিল যার ফলে অফসেন্টার কোণে রঙগুলি বিকৃত হয়</t>
  </si>
  <si>
    <t>ছোট ডিভাইসের জন্য বড় হতে পারে</t>
  </si>
  <si>
    <t>প্লাস্টিকের ফুলটি বিভিন্ন অনুষ্ঠানে ব্যবহার করা যায়</t>
  </si>
  <si>
    <t>অস্থির বেসের কারণে এটি কাউন্টারটপে টলমল করছিল</t>
  </si>
  <si>
    <t>কালার ঠিকঠাক তবে দামটা একটু বেশি মনে হয়েছে</t>
  </si>
  <si>
    <t>এই কম্বলটি অত্যন্ত আরামদায়ক</t>
  </si>
  <si>
    <t>মপের কাপড়টি মোটামুটি পানি শোষণ করে</t>
  </si>
  <si>
    <t>ব্রাশের হ্যান্ডেল গ্রিপ বেশ আরামদায়ক এবং সহজে ধরে রাখা যায়</t>
  </si>
  <si>
    <t>খুবই মজবুত এবং মানসম্পন্ন</t>
  </si>
  <si>
    <t>দেখার জন্য একটি আনন্দ এবং সহজ সেটআপ</t>
  </si>
  <si>
    <t>সেটের সাথে আসা বালিশের কভারগুলি সুন্দর ডিজাইনের এগুলি আমার ঘরের সাজসজ্জার সাথে চমৎকারভাবে মানানসই</t>
  </si>
  <si>
    <t>স্মার্ট ব্যান্ডের ফিচার ভালো কিন্তু সঠিক তথ্য দেখায় না</t>
  </si>
  <si>
    <t>অপারেশন সাউন্ড টলারেবল হবে</t>
  </si>
  <si>
    <t xml:space="preserve"> নকশাটি পুরানো এবং আকর্ষণীয় নয় আধুনিক রান্নাঘরের নান্দনিকতার সাথে মানানসই নয়</t>
  </si>
  <si>
    <t>আমার ভ্লগ শব্দটি দুর্দান্ত করে তোলে</t>
  </si>
  <si>
    <t>আইটেমটির ডিজাইনে নতুনত্ব বা সৃজনশীলতার অভাব ছিল</t>
  </si>
  <si>
    <t>সুরক্ষিত এবং সহজে ইনস্টল করা</t>
  </si>
  <si>
    <t>পণ্যটির গুণগত মান রয়েছে এবং কিছু সীমাবদ্ধতা রয়েছে</t>
  </si>
  <si>
    <t>কম্পিউটারের মনিটরের ডিসপ্লে খুবই স্পষ্ট এবং উজ্জ্বল</t>
  </si>
  <si>
    <t xml:space="preserve">কারকুমা জয়েন্ট গার্ড একটি চমৎকার ঔষধ এটা য় বার নিলাম খাওয়া অবস্থায় ব্যথা নেই তিন কৌটা খেয়ে দেখি কি হয় </t>
  </si>
  <si>
    <t xml:space="preserve">  বাহ্যিক কাপড় সহজেই স্ক্র্যাচ করে এবং পরিধানের লক্ষণ দেখায়</t>
  </si>
  <si>
    <t>কিটটির প্রতিটি প্রোডাক্ট ভালভাবে প্যাকেজ করা</t>
  </si>
  <si>
    <t>দরিদ্র মানের মূল্যের মূল্য নয়</t>
  </si>
  <si>
    <t xml:space="preserve"> কুয়াশা একটি অদ্ভুত রাসায়নিক গন্ধ ছিল যা সারাদিন ধরে থাকে</t>
  </si>
  <si>
    <t>এটি ব্যবহার করার আগে পণ্যটির বিষয়বস্তুগুলিকে উত্তেজিত বা মিশ্রিত করার পরামর্শ দেওয়া হয়</t>
  </si>
  <si>
    <t>কমবল টি ব্যবহার করার পর আমার শীতের রাতগুলো আরও আনন্দময় হয়েছে</t>
  </si>
  <si>
    <t>খুবই সুস্বাদু এবং মানসম্পন্ন</t>
  </si>
  <si>
    <t>ফিট ঠিক আছে তবে কিছুটা সাধারণ</t>
  </si>
  <si>
    <t>পেইন্টটির একটি চকচকে ফিনিস ছিল নির্দিষ্ট কৌশলগুলির জন্য উপযুক্ত নয়</t>
  </si>
  <si>
    <t>ফ্রিজের ভিতরে ঘনীভূত হয় এটি ঘন ঘন মুছে ফেলার প্রয়োজন হয়</t>
  </si>
  <si>
    <t>পেইন্টিং সেটে মিশ্রণের জন্য পর্যাপ্ত প্যালেট ছুরি অন্তর্ভুক্ত ছিল না</t>
  </si>
  <si>
    <t>ক্রমাগত শুটিং মোড অলস দ্রুতগতির অ্যাকশনের সময় গুরুত্বপূর্ণ মুহূর্তগুলি অনুপস্থিত</t>
  </si>
  <si>
    <t>নিয়মিত পরিষ্কার করা সত্ত্বেও স্নানের মাদুরটি দ্রুত ছাঁচ তৈরি করে</t>
  </si>
  <si>
    <t>এটি খুব ভালো প্রোডাক্ট কিনা যাচাই করতে হবে</t>
  </si>
  <si>
    <t>এর সূক্ষ্ম চেহারা সত্ত্বেও গয়নাটি পরতে ভারী এবং কষ্টকর মনে হয়েছিল আমার কান এবং ঘাড় অস্বস্তিকরভাবে ভার করেছিল</t>
  </si>
  <si>
    <t>কভার নরম তবে অতি কোমল নয়</t>
  </si>
  <si>
    <t>ভুল সাইজিং দ্বারা হতাশ অনুপযুক্ত পোশাক</t>
  </si>
  <si>
    <t>চায়ের সাথে খাওয়ার জন্য একেবারে পারফেক্ট</t>
  </si>
  <si>
    <t>শেলফটির প্রতিটি স্তর ভার বহন করতে সক্ষম</t>
  </si>
  <si>
    <t>ঠিক যা দরকার ছিল তবে সব ধরনের গয়নার জন্য উপযুক্ত নাও হতে পারে</t>
  </si>
  <si>
    <t>ডিজাইন ভালো তবে ফ্যাব্রিক একটু অস্বস্তিকর</t>
  </si>
  <si>
    <t>খাবার গরম রাখে কিন্তু নিজেও গরম হয়ে যায়</t>
  </si>
  <si>
    <t>লিপ গ্লস অ্যাপ্লিকেটারটি খুব শক্ত এটি প্রয়োগের সময় নিয়ন্ত্রণ করা কঠিন করে তোলে</t>
  </si>
  <si>
    <t>এই চা আমার কাছে হয়ে উঠেছে একটি আত্মযত্নের উপায়</t>
  </si>
  <si>
    <t>মেয়েটি তার নাচের ক্লাসে ভালো করছে</t>
  </si>
  <si>
    <t>কয়েকটি সামঞ্জস্যের পরে শীর্ষ মানের অডিও নিখুঁত নয়</t>
  </si>
  <si>
    <t>সার্ভিসিং সহজলভ্য</t>
  </si>
  <si>
    <t>এয়ার পিউরিফায়ারটি সুন্দরভাবে কাজ করে তবে কিছু সময় পর হালকা শব্দ হতে পারে</t>
  </si>
  <si>
    <t>তুলার গুণগত মান নিম্নমানের হলেও সবাই এটাই নিয়ে থাকে</t>
  </si>
  <si>
    <t>উচ্চ মানের সেলাই কাজ</t>
  </si>
  <si>
    <t>পাতলা ক্ষীণ ফ্যাব্রিক স্থায়িত্বের সাথে আপস করে</t>
  </si>
  <si>
    <t>পোর্টেবল ক্লোদস ড্রায়ারটি কাপড় শুকায় কিন্তু বৈদ্যুতিক খরচ বেশি</t>
  </si>
  <si>
    <t>মূল্য সাশ্রয়ী কিন্তু দীর্ঘস্থায়ী ব্যবহারের জন্য উপযুক্ত নয়</t>
  </si>
  <si>
    <t>কুল ক্যামেরাএত ভাল কাজ করেছি যে আমি দ্বিতীয়টি কিনেছি</t>
  </si>
  <si>
    <t>রান্নাঘরে ব্যবহার করা যায় কিন্তু উচ্চ তাপমাত্রা সহ্য করতে পারে না</t>
  </si>
  <si>
    <t>স্টিপিং টাইম মিনিট সুপারিশ করা হয়েছে</t>
  </si>
  <si>
    <t>বিয়ের টেবিল রানার কিছুটা গড়পড়তা</t>
  </si>
  <si>
    <t>গদিটি একটি খারাপ গন্ধ নির্গত করে যা স্তরগুলির মধ্যে ছাঁচ বা মৃদু বৃদ্ধির ইঙ্গিত দেয়</t>
  </si>
  <si>
    <t>শুকনো শ্যাম্পু একটি খড়ির অবশিষ্টাংশ রেখে গেছে যার ফলে আমার চুল পরিষ্কারের পরিবর্তে ধূসর দেখায়</t>
  </si>
  <si>
    <t>লিকেজ প্রতিরোধ ক্ষমতা মোটামুটি ভালো</t>
  </si>
  <si>
    <t>দারুণ ব্যাপার</t>
  </si>
  <si>
    <t>ব্যবহারের পর কোনো প্রতিক্রিয়া দেখা যায়নি</t>
  </si>
  <si>
    <t>পুনরাবৃত্ত এবং নিস্তেজ আগ্রহ ক্যাপচার করতে ব্যর্থ</t>
  </si>
  <si>
    <t>ডিজাইন আকর্ষণীয় তবে ওয়াশের পর মান নষ্ট</t>
  </si>
  <si>
    <t>কিছু সীমাবদ্ধতা সহ দিয়েছে জিনিস</t>
  </si>
  <si>
    <t xml:space="preserve"> দরজার সিলটি একটি খারাপ গন্ধ নির্গত করে যা গহ্বরের মধ্যে ছাঁচের বৃদ্ধি নির্দেশ করে</t>
  </si>
  <si>
    <t>খেতের প্রতি ফলন সঠিক ছিল না তবে জমির উর্বরা শক্তি কিছুটা বৃদ্ধি পেয়েছে</t>
  </si>
  <si>
    <t xml:space="preserve">  ডিজাইনে কাঠামোগত অখণ্ডতার অভাব রয়েছে বোধ হয় দুর্বল এবং সামগ্রিকভাবে খারাপভাবে তৈরি</t>
  </si>
  <si>
    <t>ফুলটি আলমারির উপর রেখে দেখতে দারুণ লাগছে</t>
  </si>
  <si>
    <t>ব্যাগের জিপগুলি মসৃণভাবে কাজ করে</t>
  </si>
  <si>
    <t>ডিজাইনটি অত্যন্ত আধুনিক এবং আকর্ষণীয়</t>
  </si>
  <si>
    <t>রোলার স্কেটের চাকাগুলো দ্রুত তবে ব্যালেন্স বজায় রাখা কঠিন</t>
  </si>
  <si>
    <t>চা সেটটি অসম্পূর্ণ কী টুকরা হারিয়ে গেছে</t>
  </si>
  <si>
    <t>মেয়েটি প্রতিদিন তার মাকে কাজে সাহায্য করে</t>
  </si>
  <si>
    <t>এসিটির আউটডোর ইউনিট খুব কম জায়গা নেয় আমার ছোট বারান্দায় সহজেই জায়গা হয়েছে</t>
  </si>
  <si>
    <t>হতাশাজনক কর্মক্ষমতা অবিশ্বাস্য</t>
  </si>
  <si>
    <t>আসল পাওয়ার সাপ্লাই ব্যবহার করুন বা এটি ক্র্যাশ করবে  নির্ভরযোগ্যতা অনিশ্চিত থেকে যায়</t>
  </si>
  <si>
    <t>উপাদান সস্তা মনে হয়</t>
  </si>
  <si>
    <t>দাঁত পরিষ্কারে টুথপেস্ট কার্যকর</t>
  </si>
  <si>
    <t>লেয়ারিং করা সম্ভব</t>
  </si>
  <si>
    <t>চা সেটের টুকরা মেলেনি দেখা যাচ্ছে এলোমেলোভাবে একত্রিত হয়েছে</t>
  </si>
  <si>
    <t>পণ্য হতাশাজনক ছিল</t>
  </si>
  <si>
    <t>সাইকেলের সিট আরামদায়ক কিন্তু রঙ দ্রুত উঠে যায়</t>
  </si>
  <si>
    <t>ভ্যাকুয়াম ক্লিনারের স্তন্যপান ক্ষমতা দুর্বল সবেমাত্র কোনো ময়লা তুলে নেয়</t>
  </si>
  <si>
    <t>দ্রুত অতিরিক্ত গরম হয় যার ফলে সিস্টেম ক্র্যাশ হয়ে যায়</t>
  </si>
  <si>
    <t>খারাপভাবে ডিজাইন করা ল্যাচ মেকানিজম ঘন ঘন জ্যাম করে</t>
  </si>
  <si>
    <t>রিমোট কন্ট্রোল ব্যবহার করা খুব সহজ সব ফাংশন একদম হাতের কাছে</t>
  </si>
  <si>
    <t>মোবাইলটির মাল্টিটাস্কিং পারফরম্যান্স চমৎকার</t>
  </si>
  <si>
    <t>অতিরিক্ত গরম হলে বিপজ্জনক হতে পারে</t>
  </si>
  <si>
    <t>বিস্কুটের মধ্যে সেরা এই পণ্য</t>
  </si>
  <si>
    <t xml:space="preserve">  লোশনটি খুব পাতলা ছিল এবং ভালভাবে ময়শ্চারাইজ করেনি</t>
  </si>
  <si>
    <t>পিসির জন্য এই ফেনটি  কার্যকরী</t>
  </si>
  <si>
    <t xml:space="preserve">  পলিশে কঠোর রাসায়নিক রয়েছে যা আমার ত্বককে পুড়িয়ে ফেলে</t>
  </si>
  <si>
    <t>বোতলজাত স্মুদিগুলির একটি সিরাপী টেক্সচার এবং অত্যধিক মিষ্টি স্বাদ ছিল যা বাড়িতে তৈরি করা সতেজতা থেকে অনেক দূরে</t>
  </si>
  <si>
    <t>ফ্যাব্রিক মান মোটামুটি তবে স্টাইল আকর্ষণীয়</t>
  </si>
  <si>
    <t>পোশাকের রং সুন্দর কিন্তু কাপড়ের গুণগত মান সাধারণ</t>
  </si>
  <si>
    <t>এটি চমৎকার এবং টেকসই</t>
  </si>
  <si>
    <t>দরিদ্র পণ্যের গুণমান দ্বারা হতাশ</t>
  </si>
  <si>
    <t>গুনগত মান ঠিক আছে আশা করি</t>
  </si>
  <si>
    <t>সৌরচালিত ফোয়ারা পাম্পের অগ্রভাগ খুবই ছোট দুর্বল জলপ্রবাহ</t>
  </si>
  <si>
    <t>কিছু সময় ব্যবহার করার পরে ভালোমন্দ জানা যাবে</t>
  </si>
  <si>
    <t xml:space="preserve"> ওয়্যারলেস পরিসীমা সীমিত উৎস ডিভাইস থেকে দূরে সরে যাওয়ার সময় ঘন ঘন ড্রপআউট বা অডিও প্লেব্যাকে বাধা সৃষ্টি করে</t>
  </si>
  <si>
    <t>অনুভূত ততটা ঘন নয় যতটা আমি ভেবেছিলাম এটি হবে</t>
  </si>
  <si>
    <t>মান অতটা ভালো কিনা যাচাই করে হবে</t>
  </si>
  <si>
    <t>আইটেমটির উপাদানে ধারালো সীম ছিল কাটা ঝুঁকিপূর্ণ</t>
  </si>
  <si>
    <t>ঠিক আছে গারমিন আমি এই ঘড়িটি ভালোবাসি</t>
  </si>
  <si>
    <t>সারটি সাশ্রয়ী হলেও ফলনের পরিমাণ তেমন সন্তোষজনক ছিল না</t>
  </si>
  <si>
    <t>দীর্ঘস্থায়িত্বের বিষয়ে নিশ্চিত হওয়া সম্ভব নয়</t>
  </si>
  <si>
    <t>সকালের নাস্তার সাথে পান করা যায়</t>
  </si>
  <si>
    <t>পণ্যের গুণগত মান কিছুটা ভালো তবে খুব একটা অসাধারণ নয়</t>
  </si>
  <si>
    <t>অনাকর্ষণীয় ডিজাইন এটিকে বাজে করে তুলেছে</t>
  </si>
  <si>
    <t>এটি বিভিন্ন জায়গায় ব্যবহার করা যায় তবে বাইরে নেওয়া কিছুটা কঠিন</t>
  </si>
  <si>
    <t>রঙ প্রাণবন্ত তবে কাপড়ের মান কম</t>
  </si>
  <si>
    <t>ফ্যাব্রিকের খারাপ মানের তার বড় করা এবং ঝাঁকুনিতে স্পষ্ট</t>
  </si>
  <si>
    <t>শীতের তীব্রতা থেকে রক্ষা করে</t>
  </si>
  <si>
    <t>ফুলদানির গঠন ও ডিজাইন অত্যন্ত আকর্ষণীয়</t>
  </si>
  <si>
    <t>চমৎকার পণ্য তবে বেশিদিন চলবে না</t>
  </si>
  <si>
    <t>মানের তুলনায় দাম সাধারণ</t>
  </si>
  <si>
    <t>ভাল সাশ্রয়ী মূল্যের ফিটনেস ঘড়ি</t>
  </si>
  <si>
    <t>খেলাটিতে আমার দল জিতেছে এবং খুবই রোমাঞ্চকর ছিল</t>
  </si>
  <si>
    <t>ড্রেসিং টেবিলে রাখা যায়</t>
  </si>
  <si>
    <t>পণ্যটির নকশা খারাপভাবে চিন্তা করা হয়েছিল কার্যকারিতার অভাব ছিল</t>
  </si>
  <si>
    <t>সস্তা উপকরণ আইটেম ক্ষীণ মনে করে তোলে</t>
  </si>
  <si>
    <t>কোয়ালিটি এত বড় মনে হয় নি</t>
  </si>
  <si>
    <t>পেইন্টিং সেটে সমাপ্ত শিল্পকর্ম সিল করার জন্য পর্যাপ্ত বার্নিশ অন্তর্ভুক্ত ছিল না</t>
  </si>
  <si>
    <t>টয়লেট ব্রাশটি পরিষ্কার করে কিন্তু হ্যান্ডেল পিছলা</t>
  </si>
  <si>
    <t>গাছের স্বাস্থ্য কিছুটা উন্নতি হয়েছে তবে ফলন পুরোপুরি আশানুরূপ ছিল না</t>
  </si>
  <si>
    <t>মধুটি শরীরের বিষাক্ত পদার্থ দূর করে</t>
  </si>
  <si>
    <t xml:space="preserve"> ব্যাগের স্ট্র্যাপটি আমি বহন করার সময় অপ্রত্যাশিতভাবে ভেঙে যায় আমার ডিভাইসটি মাটিতে বিধ্বস্ত হয়ে অপূরণীয় ক্ষতির কারণ হয়</t>
  </si>
  <si>
    <t>বিদ্যুৎ সাশ্রয়ী যা খরচ কমাতে সহায়ক</t>
  </si>
  <si>
    <t>মোবাইলের ক্যামেরার ফোকাসিং খুব দ্রুত এবং স্পষ্ট</t>
  </si>
  <si>
    <t>শেলফটির প্রান্তগুলি খুবই মসৃণ</t>
  </si>
  <si>
    <t>এই আংটির ডিজাইন অত্যন্ত আকর্ষণীয় এবং অসাধারণ</t>
  </si>
  <si>
    <t>যেকোনো অনুষ্ঠানে মানানসই</t>
  </si>
  <si>
    <t>নতুন রিভিউ দিচ্ছি</t>
  </si>
  <si>
    <t>এটি খুব কার্যকর এবং শক্তিশালী</t>
  </si>
  <si>
    <t>ক্যামেরার অটোফোকাস সিস্টেম কোলাহলপূর্ণ এবং বিভ্রান্তিকর বিশেষ করে ভিডিও রেকর্ডিংয়ের সময়</t>
  </si>
  <si>
    <t>পাওয়ার ব্যাঙ্কের ওজন প্রত্যাশিত থেকে বেশি এটি ভ্রমণের জন্য কম বহনযোগ্য করে তোলে</t>
  </si>
  <si>
    <t>বৈদ্যুতিক বাইকের প্যাডেল জোরে চিৎকার করে বিরক্তিকর শব্দ</t>
  </si>
  <si>
    <t>মেয়েটি প্রতিদিন গিটার বাজাতে শেখার চেষ্টা করে</t>
  </si>
  <si>
    <t xml:space="preserve"> শুধু হাইপ না আসলেই অনেক ভাল কাজ করে</t>
  </si>
  <si>
    <t>পণ্যটি ব্যবহারে অভ্যস্ত হয়ে গেছি</t>
  </si>
  <si>
    <t>প্রতিযোগীদের তুলনায় আইটেমটির কার্যকারিতা কম ছিল</t>
  </si>
  <si>
    <t>ঘড়িটি দেখতে মোটামুটি  ঠিকঠাক</t>
  </si>
  <si>
    <t>ডিভাইসটির র্যাম ব্যবস্থাপনা অসাধারণ</t>
  </si>
  <si>
    <t>বিউটি সোপটি ত্বককে নরম এবং মসৃণ করে</t>
  </si>
  <si>
    <t>ইউএসবি হিউমিডিফায়ারটি বাতাসে আর্দ্রতা যোগ করে কিন্তু ট্যাংক ছোট</t>
  </si>
  <si>
    <t>প্রডাক্ট রেটিং মোটামুটি</t>
  </si>
  <si>
    <t>উইংস থাকলে ডিজাইন আরো উন্নত হতো</t>
  </si>
  <si>
    <t>প্যাডেল হালকা কিন্তু দীর্ঘদিন পরে ঢিলা হয়ে যায়</t>
  </si>
  <si>
    <t>শিশুটি তার মায়ের সাথে বাজারে গিয়ে মজা করেছে</t>
  </si>
  <si>
    <t>হতাশাজনক পণ্য কর্মক্ষমতা</t>
  </si>
  <si>
    <t>কাঠামোর অভাব একটি অনাকরা অবমাননা অনবরত আকৃতি দেখায়</t>
  </si>
  <si>
    <t>টিনজাত স্যুপ অত্যধিক নোনতা ছিল এবং একটি অপ্রীতিকর রাসায়নিক স্বাদ ছিল</t>
  </si>
  <si>
    <t>ক্যানভাস উপাদানের দৃশ্যমান বিবর্ণতা ছিল</t>
  </si>
  <si>
    <t>ওয়াবলি হ্যান্ডেল এটিকে ধরে রাখা একটি চ্যালেঞ্জ</t>
  </si>
  <si>
    <t>সেটিং পাউডার ত্বকে একটি খড়ির অবশিষ্টাংশ ছেড়ে দেয় এটিকে নিস্তেজ দেখায়</t>
  </si>
  <si>
    <t>মপটি কোণায় পৌঁছানোর উপযোগী</t>
  </si>
  <si>
    <t>পোশাকটি দ্রুত শুকিয়ে যায়</t>
  </si>
  <si>
    <t>সৌরচালিত বার্ড রিপেলারের মোশন সেন্সর খুব ধীর পাখিদের বাধা দেওয়া হয় না</t>
  </si>
  <si>
    <t>নতুন টিভির স্ক্রিনে ছবি খুবই স্পষ্ট এবং পরিষ্কার</t>
  </si>
  <si>
    <t>জল সরবরাহকারী অগ্রভাগটি খারাপভাবে ডিজাইন করা হয়েছে যার ফলে মেঝেতে জল ছড়িয়ে পড়ে</t>
  </si>
  <si>
    <t>মেকআপ ব্রাশ ত্বকের টেক্সচার উন্নত করে</t>
  </si>
  <si>
    <t>আমার এয়ারট্যাগগুলির জন্য একটি আড়ম্বরপূর্ণ ও কার্যকরী সঙ্গী</t>
  </si>
  <si>
    <t>চশমা পরিষ্কার করতে ব্যবহার করা যেতে পারে</t>
  </si>
  <si>
    <t>ব্লাশ পাউডারটি খুব পাউডারযুক্ত ফলে প্রয়োগের সময় ফল আউট হয়</t>
  </si>
  <si>
    <t>অপর্যাপ্ত প্যাকেজিংয়ের ফলে ট্রানজিটের সময় ক্ষতি হয়</t>
  </si>
  <si>
    <t>একটি কঠিন বাছাই লাগবে</t>
  </si>
  <si>
    <t>বক্সযুক্ত ম্যাকারনি এবং পনিরে একটি পাউডারি পনির সস এবং মশলা পাস্তা ছিল যার স্বাদ এবং গঠনের অভাব ছিল</t>
  </si>
  <si>
    <t>ফ্যাব্রিক সস্তা এবং কুঁচকানো প্রবণ বোধ করে পোশাকটিকে কমআকাঙ্ক্ষিত চেহারা দেয়</t>
  </si>
  <si>
    <t>ব্যবহারের পর হাতে কোনো তৈলাক্ত অনুভূতি থাকে না</t>
  </si>
  <si>
    <t>সিরামটি ব্রণের মধ্যে বিরতি সৃষ্টি করেছে</t>
  </si>
  <si>
    <t>পকেট গ্রাম স্কেলটি ওজন মাপে কিন্তু বাটন অতিসংবেদনশীল</t>
  </si>
  <si>
    <t>জলপ্রতিরোধী হিসাবে বর্ণনা করা সত্ত্বেও জলের সংস্পর্শে আসার পরে গয়নাটি মরিচা ধরে এবং বিবর্ণ হয়ে যায় এটিকে কলঙ্কিত এবং কুৎসিত দেখায়</t>
  </si>
  <si>
    <t>ত্বকের স্নিগ্ধতা বজায় রাখে এই বডি ওয়াশ</t>
  </si>
  <si>
    <t>শব্দ শেখায় কিন্তু উচ্চারণ স্পষ্ট নয়</t>
  </si>
  <si>
    <t>বিভিন্ন ঋতুর ছবি আছে তবে পার্থক্য খুব কম</t>
  </si>
  <si>
    <t>ফ্যাব্রিক মনে হয় এটি সামান্য টাগ দিয়ে ছিঁড়ে যাবে</t>
  </si>
  <si>
    <t>ভঙ্গুর উপাদান চাপে সহজেই ফাটল</t>
  </si>
  <si>
    <t>শরীরে খুব সুন্দরভাবে ফিট করে</t>
  </si>
  <si>
    <t xml:space="preserve">  মাসের পর্যালোচনা প্রোডাক্টটি খুবই সুন্দর সেরা  </t>
  </si>
  <si>
    <t>শ্যাম্পুটি চুলে একটি ন্যাচারাল লুক দেয়</t>
  </si>
  <si>
    <t>ফুলটি আমার ঘরে একটি আরামদায়ক পরিবেশ সৃষ্টি করেছে</t>
  </si>
  <si>
    <t>চার্জারের প্রংগুলি বাঁকানো থাকে এবং আউটলেটে সঠিকভাবে ফিট হয় না যার ফলে মাঝে মাঝে চার্জিং হয়</t>
  </si>
  <si>
    <t>ফোনের ব্যাটারি দ্রুত নিশেষ হয়ে যায় এমনকি ন্যূনতম ব্যবহারেও</t>
  </si>
  <si>
    <t>ভাল মানের ফ্যাব্রিক আরও ভাল হতে পারে</t>
  </si>
  <si>
    <t>অবিশ্বাস্য কর্মক্ষমতা পদদলিত বিচ্ছিন্নতা</t>
  </si>
  <si>
    <t>খেলনার ব্যাটারি দ্রুত মারা যায় ঘন ঘন প্রতিস্থাপনের প্রয়োজন হয়</t>
  </si>
  <si>
    <t>আলগা থ্রেড এবং অসমাপ্ত সিম সহ একটি প্রাপ্ত হয়েছে যা দ্রুত এবং অসাবধান উত্পাদন প্রক্রিয়ার ইঙ্গিত দেয়</t>
  </si>
  <si>
    <t>পণ্যটি ব্যবহার করে মেঝে আগের মতো পিছলা থাকে না</t>
  </si>
  <si>
    <t>মোবাইলের ব্যাককভারের ডিজাইন খুবই চমৎকার</t>
  </si>
  <si>
    <t>ঘড়িটি খুবই কম শক্তি খরচ করে</t>
  </si>
  <si>
    <t>সুন্দর রং গুণমান আরও ভাল হতে পারে</t>
  </si>
  <si>
    <t>ভালো মানের আশা করেছিলাম কিন্তু পুরোপুরি হতাশ হয়েছি</t>
  </si>
  <si>
    <t>আমার ভাইয়ের জন্যে নিয়েছি তার অনেক ভাল লেগেছে</t>
  </si>
  <si>
    <t>পেইন্টের রঙগুলি সোয়াচগুলিতে সত্য ছিল না</t>
  </si>
  <si>
    <t>তারা ক্ষুদ্র কিন্তু তারা কিছু করতে পরিচালনা করে</t>
  </si>
  <si>
    <t>মেকআপ ব্রাশ বিভিন্ন ফিনিশ তৈরি করতে পারে</t>
  </si>
  <si>
    <t>রঙের বৈচিত্র্য সীমিত রয়েছে</t>
  </si>
  <si>
    <t>বায়ুপ্রবাহ নিয়ন্ত্রণ সহজ এবং কার্যকর</t>
  </si>
  <si>
    <t>ত্বকের সংক্রমণ প্রতিরোধ করে এই বডি ওয়াশ</t>
  </si>
  <si>
    <t>রঙ উজ্জ্বল তবে কাটটা ঠিকঠাক নয়</t>
  </si>
  <si>
    <t>ওভেনটি খাবার দ্রুত এবং সমানভাবে রান্না করে</t>
  </si>
  <si>
    <t>ফোনের স্ক্রিনের রেজোলিউশন খুবই হাই</t>
  </si>
  <si>
    <t>আউটফিট চেক করার জন্য ব্যবহার করা যায়</t>
  </si>
  <si>
    <t>ফেস মাস্কে এমন উপাদান রয়েছে যা ত্বককে প্রশমিত করার পরিবর্তে প্রয়োগ করার সময় দংশন এবং জ্বলন সৃষ্টি করে</t>
  </si>
  <si>
    <t>ব্রাশটি প্লাস্টিকের তৈরি</t>
  </si>
  <si>
    <t>লেখকের চিন্তাভাবনা অসাধারণ কিন্তু উপস্থাপনা আরও ভালো হতে পারত</t>
  </si>
  <si>
    <t>প্রতিবার এই চা পান করলে আমি নতুন করে তাজা অনুভব করি</t>
  </si>
  <si>
    <t>স্ক্রিন সাইজ খুবই ছোট যার ফলে কনটেন্ট আরামে দেখতে অসুবিধা হয়</t>
  </si>
  <si>
    <t>আমি  এত হতাশ যে রঙগুলি এতটাই ম্লান যে আপনি খুব কমই দেখতে পারবেন</t>
  </si>
  <si>
    <t>শিল্পীর সৃজনশীলতা এবং কল্পনার প্রশংসা না করে পারছি না</t>
  </si>
  <si>
    <t>দরিদ্র কারিগর স্পষ্ট পরিধান</t>
  </si>
  <si>
    <t>বলিষ্ঠ এবং সাশ্রয়ী মূল্যের</t>
  </si>
  <si>
    <t>এটি আকর্ষণীয় নয় তবে দেখতে ভালো</t>
  </si>
  <si>
    <t>দুর্দান্ত আইফোন চার্জার</t>
  </si>
  <si>
    <t>ক্যামেরার এরগনোমিকস অস্বস্তিকর দীর্ঘায়িত ব্যবহারের সময় হাত ক্লান্তি নেতৃত্বে</t>
  </si>
  <si>
    <t>গ্রেট পণ্য কিছুটা সন্তোষজনক</t>
  </si>
  <si>
    <t>হিমায়িতওয়াফেলস ছিল ভিজে এবং পিচবোর্ডের মত স্বাদ স্বাদ অভাব ছিল</t>
  </si>
  <si>
    <t>মটরশুটিগুলি বাসি ছিল এবং তাদের প্রধানতম ছিল সতেজতার অভাব ছিল</t>
  </si>
  <si>
    <t>ক্রিমটি আমার হাতের ত্বকের টেক্সচার উন্নত করেছে</t>
  </si>
  <si>
    <t>স্ক্রাব ত্বকে একটি তৈলাক্ত অবশিষ্টাংশ ছেড়ে দেয় এটিকে পিচ্ছিল করে এবং ধুয়ে ফেলা কঠিন করে তোলে</t>
  </si>
  <si>
    <t>ওজন গড়</t>
  </si>
  <si>
    <t>এর ক্ষীণ নির্মাণ মনে হচ্ছিল যে কোনো মুহূর্তে ভেঙে যাবে</t>
  </si>
  <si>
    <t>এই কমফোরটারটা কিনে আমি সত্যিই খুব খুশি</t>
  </si>
  <si>
    <t>দ্রুত এবং নির্ভরযোগ্য</t>
  </si>
  <si>
    <t>দাম অনুযায়ী মান ঠিকঠাক তবে কিছুটা উন্নতি করা যেত</t>
  </si>
  <si>
    <t>দাম ঠিক আছে নিখুঁত নয়</t>
  </si>
  <si>
    <t>স্বপরিষ্কারকারী লিটার বাক্সটি বাক্সের বাইরে আবর্জনা ফেলে অগোছালো</t>
  </si>
  <si>
    <t>রুটিটা নরম তবে বেশিরভাগ সাধারণ দোকানের মতোই</t>
  </si>
  <si>
    <t>রঙটি প্রত্যাশা অনুযায়ী হতে পারে</t>
  </si>
  <si>
    <t>দরিদ্র মানের দ্বারা হতাশ</t>
  </si>
  <si>
    <t>আপনার ত্বকের জন্য পুষ্টিকর এই বডি ওয়াশ</t>
  </si>
  <si>
    <t>ম্যাট্রেস স্প্রিংসগুলি কোলাহলপূর্ণ এবং ফ্যাব্রিকের মধ্য দিয়ে খোঁচা দেয় অস্বস্তি এবং সম্ভাব্য আঘাতের কারণ হয়</t>
  </si>
  <si>
    <t>মধুটি প্রাকৃতিক শক্তি বৃদ্ধিকারী</t>
  </si>
  <si>
    <t>মানের অভাব দ্বারা হতাশ</t>
  </si>
  <si>
    <t>ল্যাপটপের স্ক্রিনে দুর্বল দেখার কোণ রয়েছে যার ফলে পাশ থেকে দেখা হলে রঙের বিকৃতি ঘটে</t>
  </si>
  <si>
    <t>মেয়েটির আঁকা ছবিগুলি খুবই সুন্দর</t>
  </si>
  <si>
    <t>শুকনো শ্যাম্পুটি আমার চুলে একটি সাদা অবশিষ্টাংশ রেখেছিল যা ব্রাশ করা অসম্ভব ছিল</t>
  </si>
  <si>
    <t>স্বস্তির স্তর গড়</t>
  </si>
  <si>
    <t>স্টেইনলেস স্টীল ফিনিস সহজেই স্ক্র্যাচ করে এর নান্দনিক আবেদন থেকে বিরত থাকে</t>
  </si>
  <si>
    <t>চার্জারটি চমৎকার সুন্দর কাজ করে</t>
  </si>
  <si>
    <t>ঠিক কাজ করে  দুর্দান্ত নয়</t>
  </si>
  <si>
    <t>মেকআপ ওয়াইপগুলি রুক্ষ এবং ঘষিয়া তুলিয়া ফেলিতে সক্ষম যা প্রতিটি ব্যবহারের সাথে লালভাব এবং জ্বালা সৃষ্টি করে</t>
  </si>
  <si>
    <t>সাইজটি আমার জন্য উপযুক্ত ছিল</t>
  </si>
  <si>
    <t>আমি এর প্রেমে পড়েছি</t>
  </si>
  <si>
    <t>ভাল তবে উন্নতির সুযোগ রয়েছে</t>
  </si>
  <si>
    <t>মপের কাপড়টি খোলা যায় এমনভাবে ডিজাইন করা হয়েছে</t>
  </si>
  <si>
    <t>ভাল তবে দুর্দান্ত নয়</t>
  </si>
  <si>
    <t>ড্রেসিং টেবিলের ড্রয়ারগুলো প্রশস্ত ও গভীর</t>
  </si>
  <si>
    <t>কাজ করে কিন্তু কোনো অতিরিক্ত সুবিধা নেই</t>
  </si>
  <si>
    <t>গদি ব্যবহারে পার্থক্য খুব সামান্য</t>
  </si>
  <si>
    <t>এটি মেকআপের ব্যাপ্তি নিয়ন্ত্রণ করে</t>
  </si>
  <si>
    <t>বিভিন্ন বাদ্যযন্ত্রের শব্দ তৈরি করে তবে কিছুটা কৃত্রিম শোনায়</t>
  </si>
  <si>
    <t>দীর্ঘস্থায়ী সুগন্ধ প্রদান করে এই বডি ওয়াশ</t>
  </si>
  <si>
    <t>বাক্সে সুন্দর করে প্যাক করা কিন্তু প্যাকেজিং অপচয়মূলক</t>
  </si>
  <si>
    <t>এটি একটি সাধারণ প্যাডের মতো কাজ করে</t>
  </si>
  <si>
    <t>আমাদের বাগানে সবসময় পাখি আসে</t>
  </si>
  <si>
    <t>পণ্যের সত্যতা এবং গুণমান নিয়ে উদ্বেগ</t>
  </si>
  <si>
    <t>রেস্পন্স ও অনেক ভালো পেয়েছি</t>
  </si>
  <si>
    <t>ক্যাফেইনযুক্ত ডিক্যাফ নয়</t>
  </si>
  <si>
    <t>উন্নতির সম্ভাবনা রয়েছে</t>
  </si>
  <si>
    <t>গয়নাটির প্যাকেজিং ছিল ক্ষীণ এবং অপর্যাপ্ত যা ট্রানজিটের সময় ভিতরের সূক্ষ্ম টুকরোগুলিকে রক্ষা করতে ব্যর্থ হয়</t>
  </si>
  <si>
    <t>পানি নিরোধক তবে সম্পূর্ণ ওয়াটারপ্রুফ নয়</t>
  </si>
  <si>
    <t>লোহার বাষ্প ফাংশন ফুটো কাপড় জলের দাগ ছেড়ে</t>
  </si>
  <si>
    <t>রিং গার্ডটি সামঞ্জস্য করা কঠিন হতে পারে</t>
  </si>
  <si>
    <t>জলের ফিল্টার প্রতিস্থাপন প্রক্রিয়া জটিল এবং সময়সাপেক্ষ</t>
  </si>
  <si>
    <t xml:space="preserve"> রিমোট কন্ট্রোলের একটি ছোট ব্যাটারি জীবন ছিল ঘন ঘন প্রতিস্থাপনের প্রয়োজন</t>
  </si>
  <si>
    <t>শিশুটি তার খেলনা নিয়ে সারাদিন খেলে</t>
  </si>
  <si>
    <t>মোবাইলটির ডিজাইন আধুনিক ও আকর্ষণীয়</t>
  </si>
  <si>
    <t>স্মার্ট পেট ওয়াটার ফাউন্টেনটি পানি ফিল্টার করে কিন্তু মোটর আওয়াজ করে</t>
  </si>
  <si>
    <t>ঘড়িটি নির্ভুল সময় প্রদর্শন করে</t>
  </si>
  <si>
    <t>ফ্যাব্রিক প্লাস্টিক এবং সস্তা মনে হয় প্রিমিয়াম মানের থেকে অনেক দূরে</t>
  </si>
  <si>
    <t>তাঁত মাঝারি</t>
  </si>
  <si>
    <t>ত্বকের স্ট্রেচ মার্ক কমাতে সাহায্য করে এই বডি ওয়াশ</t>
  </si>
  <si>
    <t>মপের কাপড়টি সহজে পরিষ্কার করা যাবে মনে হয়</t>
  </si>
  <si>
    <t>মপের কাপড়টি দ্রুত শুকিয়ে যায়</t>
  </si>
  <si>
    <t>দীর্ঘ ব্যবহারে পণ্যটি উষ্ণ হয়ে যায়</t>
  </si>
  <si>
    <t>ওয়ার্ডরোবের স্লাইডিং দরজাগুলি প্রায়শই লাইনচ্যুত হয় যার ফলে ভিতরে থাকা সামগ্রীগুলি অ্যাক্সেস করা কঠিন হয়৷</t>
  </si>
  <si>
    <t>হ্যান্ড ওয়ার্মারটি তাপ দেয় তবে সীমিত সময়ের জন্য</t>
  </si>
  <si>
    <t>এই ড্রয়ার সেটটি আমার সমস্ত প্রয়োজনীয় জিনিস রাখতে সক্ষম</t>
  </si>
  <si>
    <t xml:space="preserve"> ব্লুটুথ পেয়ারিং প্রক্রিয়াটি কষ্টকর এবং সময়সাপেক্ষ একটি স্থিতিশীল সংযোগ স্থাপনের জন্য একাধিক প্রচেষ্টার প্রয়োজন</t>
  </si>
  <si>
    <t>সময়মতো পৌঁছেছেন আরও ভালো হতে পারত</t>
  </si>
  <si>
    <t>প্যাকেজিং নির্দেশাবলী ভালো</t>
  </si>
  <si>
    <t>দীর্ঘমেয়াদী ব্যবহারে ত্বকের আর্দ্রতা হ্রাস পেতে পারে</t>
  </si>
  <si>
    <t>পানীয়টির গন্ধ খুব ভালো তবে স্বাদ একটু অতিরিক্ত</t>
  </si>
  <si>
    <t>বেডসাইড টেবিলগুলোতে নাইট লাইট বিল্টইন আছে</t>
  </si>
  <si>
    <t>প্রথমদিকে ভালো পরে কিছু সমস্যা দেখা দিয়েছে</t>
  </si>
  <si>
    <t>মেকআপ ব্রাশ বিভিন্ন লুকের জন্য অপরিহার্য</t>
  </si>
  <si>
    <t>পণ্যটি সময় বাঁচাতে সহায়ক</t>
  </si>
  <si>
    <t>দ্রুত সহজ এবং কার্যকর</t>
  </si>
  <si>
    <t>টন মাঝারি মানের পুঁতি এবং আরও অনেক কিছু</t>
  </si>
  <si>
    <t>রান্নাঘরের স্কেলের নির্ভুলতা সময়ের সাথে সাথে খারাপ পরিমাপ প্রদান করে</t>
  </si>
  <si>
    <t>চশমার লেন্সগুলি স্পষ্ট এবং মানসম্মত</t>
  </si>
  <si>
    <t>প্লাগ ইন করার সময় তারা স্বয়ংক্রিয়ভাবে সংযোগ করে না যার জন্য ম্যানুয়াল হস্তক্ষেপের প্রয়োজন হতে পারে</t>
  </si>
  <si>
    <t>সহজে পরিষ্কার করা যায় তবে দাগ লাগে</t>
  </si>
  <si>
    <t>এই বেডশীটটির ডিজাইন অত্যন্ত চমৎকার এবং ব্যবহার খুব সহজ</t>
  </si>
  <si>
    <t>আলহামদুলিল্লাহ অনেক সুন্দর এক সপ্তাহ ব্যবহারের পর রিভিউ দিচ্ছি সাউন্ড কোয়ালিটি  চার্জ সব মিলে অনেক সুন্দর</t>
  </si>
  <si>
    <t>সবাইকে এটি ট্রাই করতে বলব</t>
  </si>
  <si>
    <t>এটি পুরানো শখের জন্য একটি উপযোগী পণ্য</t>
  </si>
  <si>
    <t>শিশুদের হাতের লেখা শিখতে সাহায্য করে তবে সীমিত সংখ্যক অক্ষর সহ</t>
  </si>
  <si>
    <t>কিছু ছোট ত্রুটি রয়েছে</t>
  </si>
  <si>
    <t xml:space="preserve">এটি পারিপার্শ্বিকতার উপর ভিত্তি করে কিছুটা     আলোকিত হয় </t>
  </si>
  <si>
    <t>আসার পর বিভিন্ন সীম থেকে একাধিক আলগা থ্রেড ঝুলন্ত পাওয়া গেছে যা নিম্নমানের নিয়ন্ত্রণ নির্দেশ করে</t>
  </si>
  <si>
    <t xml:space="preserve">  কাঠামোগত অখণ্ডতার অভাব রয়েছে যার ফলে একটি ফ্লপি অপরূপ চেহারা হয়</t>
  </si>
  <si>
    <t>স্মার্ট ডোরবেল ক্যামেরাটি অতিথি দেখায় তবে নাইট ভিশন কিছুটা সীমিত</t>
  </si>
  <si>
    <t>আত্মবিশ্বাস বাড়াতে পারে</t>
  </si>
  <si>
    <t>ইউজস স্ট্যাটস নেই কবে থেকে কাজ করছে</t>
  </si>
  <si>
    <t>জুতাগুলির একটি অস্বস্তিকর বিরতি সময়কাল রয়েছে যার সময় তারা উল্লেখযোগ্য অস্বস্তি সৃষ্টি করে</t>
  </si>
  <si>
    <t>এটি খেয়ে খুবই ভালো লেগেছে</t>
  </si>
  <si>
    <t>বৈদ্যুতিক প্রেসার কুকারের কন্ট্রোল প্যানেলের বোতামগুলি প্রতিক্রিয়াহীন কাজ করা কঠিন</t>
  </si>
  <si>
    <t>ওয়্যারলেস কীবোর্ডের কীগুলি মাঝে মাঝে আটকে থাকে যা টাইপিং সঠিকতাকে প্রভাবিত করে</t>
  </si>
  <si>
    <t>পানীয়টি বেশ তাজা তবে ঘনত্ব আরও বাড়ালে ভালো হতো</t>
  </si>
  <si>
    <t>এই বেডশীটটির কাঁথার কাজ অত্যন্ত সুন্দর এবং সুতা ভালো মানের</t>
  </si>
  <si>
    <t xml:space="preserve">অনেক কম মূল্যে পেয়েছি খুবই উপকারী </t>
  </si>
  <si>
    <t>লেখকের চিন্তাভাবনা খুবই গভীর</t>
  </si>
  <si>
    <t>দাম অনুযায়ী সুন্দর কিন্তু ওয়াশের পর মান নষ্ট</t>
  </si>
  <si>
    <t>টিশার্ট কিছুটা হতাশাজনক</t>
  </si>
  <si>
    <t>শব্দের মান এতটাই ভালো যে মনে হয় লাইভ কনসার্টে বসে আছি</t>
  </si>
  <si>
    <t>কফিতে টক আফটারটেস্ট ছিল যা অনুপযুক্ত চোলাইয়ের পরামর্শ দেয়</t>
  </si>
  <si>
    <t>বেল কার্যকারিতা সীমাবদ্ধ থাকতে পারে</t>
  </si>
  <si>
    <t>বিছানা ফ্রেমের সমাবেশ নির্দেশাবলী অস্পষ্ট ফলে সেটআপের সময় বিভ্রান্তি এবং ভুল হয়</t>
  </si>
  <si>
    <t>সাধারণ ব্যবহারের জন্য মোটামুটি ভালো</t>
  </si>
  <si>
    <t>বীণাগুলি দেখতে অনেকটা একইরকম</t>
  </si>
  <si>
    <t>কিছু ব্যবহারের পর এটি কেমন চলছে দেখা যাবে</t>
  </si>
  <si>
    <t xml:space="preserve">  কোমরের চারপাশে একটি টাইট ইলাস্টিক ব্যান্ড ছিল যা ত্বকে খনন করে এবং চিহ্ন রেখেছিল</t>
  </si>
  <si>
    <t>বাচ্চারা মুখে পুরে রাখতে পারে তবে আটকে যাওয়ার সম্ভাবনা আছে</t>
  </si>
  <si>
    <t>বোতলের আকার সুবিধাজনক</t>
  </si>
  <si>
    <t>এটির স্থায়ীত্ব প্রত্যাশিত মাত্রার তুলনায় ভিন্ন</t>
  </si>
  <si>
    <t>ফোনের সফ্টওয়্যারটি ব্লোটওয়্যারে ভরা কার্যক্ষমতা কমিয়ে দেয় এবং স্টোরেজ স্পেস গ্রাস করে</t>
  </si>
  <si>
    <t>ফোনের স্ক্রিনের সংবেদনশীলতা অসামঞ্জস্যপূর্ণ কখনও কখনও দুর্ঘটনাজনিত স্পর্শ নিবন্ধন করে বা ইচ্ছাকৃতভাবে প্রতিক্রিয়া জানাতে ব্যর্থ হয়</t>
  </si>
  <si>
    <t>স্পর্শ নিয়ন্ত্রণ অতিসংবেদনশীল ফলে এটি প্রায়ই অপ্রয়োজনীয়ভাবে সক্রিয় হয়</t>
  </si>
  <si>
    <t>পণ্য মাপের ভুল হতে পারে</t>
  </si>
  <si>
    <t xml:space="preserve"> দরজার ল্যাচটি আলগা নিরাপদে বন্ধ হয় না</t>
  </si>
  <si>
    <t>কম পরিচর্যায় দীর্ঘস্থায়ী সুন্দর সাজসজ্জা পেয়েছি</t>
  </si>
  <si>
    <t>মৌসুমি ফুলের অভাব পূরণ করে</t>
  </si>
  <si>
    <t>ডোরবেল ক্যামেরাটি ভিজিটর দেখায় তবে নাইট ভিশন তেমন কার্যকর নয়</t>
  </si>
  <si>
    <t>আমি এই বালিশ সেটের উচ্চ মানের সুতা পছন্দ করি এটি বালিশগুলিকে আরও টেকসই করে তোলে</t>
  </si>
  <si>
    <t>বিষয়বস্তু গভীর তবে সব পাঠকের জন্য সহজপাঠ্য নয়</t>
  </si>
  <si>
    <t>অপর্যাপ্ত নির্দেশাবলী সেটআপকে বিভ্রান্তিকর করে তুলেছে</t>
  </si>
  <si>
    <t>স্মার্ট টেক্সটাইল স্টিমারটি কাপড় ইস্ত্রি করে তবে পানি ভরা কষ্টকর</t>
  </si>
  <si>
    <t>রং সুন্দর তবে মান খুব একটা ভাল নয়</t>
  </si>
  <si>
    <t>চোখের ক্রিম এর ভারী টেক্সচারের কারণে মিলিয়া চোখের এলাকার চারপাশে ছোট সাদা দাগ সৃষ্টি করে</t>
  </si>
  <si>
    <t>ডিজাইন ভালো তবে ফ্যাব্রিক উন্নত নয়</t>
  </si>
  <si>
    <t>পরিবহনের জন্য ব্যবহার করা যায় কিন্তু ঝাঁকুনি সহ্য করতে পারে না</t>
  </si>
  <si>
    <t xml:space="preserve"> ফার্মওয়্যার আপডেটগুলি স্বয়ংক্রিয় ছিল এবং সতর্কতা ছাড়াই দেখা ব্যাহত হয়েছিল৷</t>
  </si>
  <si>
    <t>ইনস্টল করা সুপার সহজ</t>
  </si>
  <si>
    <t>এর স্বাদও অসাধারণ</t>
  </si>
  <si>
    <t>জাবরার পণ্য এবং পরিষেবা নিয়ে অসন্তুষ্ট</t>
  </si>
  <si>
    <t>হেয়ার মাস্ক কোন লক্ষণীয় সুবিধা প্রদান করেনি এবং আমার চুল ছেড়ে দেয়</t>
  </si>
  <si>
    <t>মোবাইল কভারের ফিটিং একদম নিখুঁত</t>
  </si>
  <si>
    <t>অপ্রতুল শব্দ গুণমান হতাশাজনক অভিজ্ঞতা</t>
  </si>
  <si>
    <t>গুণমান ভালোএবং রং ব্যবহারযোগ্য</t>
  </si>
  <si>
    <t>সুন্দর কাজ করে</t>
  </si>
  <si>
    <t>এটি ব্যবহারে অত্যন্ত মজাদার এবং আদর্শ মোড়ে</t>
  </si>
  <si>
    <t>সাজসজ্জার জন্য একটি স্থায়ী সমাধান</t>
  </si>
  <si>
    <t>বৈদ্যুতিক স্কুটারের ব্রেক ব্যর্থ রাইড করা বিপজ্জনক</t>
  </si>
  <si>
    <t>এই বেডশীটটির রঙ খুব জীবন্ত</t>
  </si>
  <si>
    <t>এটি মেকআপের সূক্ষ্মতা বজায় রাখে</t>
  </si>
  <si>
    <t>এনার্জি এফিশিয়েন্সি মোটামুটি</t>
  </si>
  <si>
    <t>বাচ্চাদের জন্য হেডফোন তবে টেকসই নয়</t>
  </si>
  <si>
    <t>অগ্রহণযোগ্য ত্রুটি হতাশাজনক ক্রয়</t>
  </si>
  <si>
    <t>বইটি আমাকে খুব আবেগপ্রবণ করেছে</t>
  </si>
  <si>
    <t>শ্যাম্পুর সুগন্ধি মনোমুগ্ধকর</t>
  </si>
  <si>
    <t>যারা ভালো মানের বিস্কুট খুঁজছেন তারা একবার এটি ট্রাই করে দেখতে পারেন</t>
  </si>
  <si>
    <t>মডার্ন এবং ট্রেন্ডি ডিজাইন</t>
  </si>
  <si>
    <t>আমি এই বালিশ সেটের সামগ্রিক গুণমান নিয়ে খুবই সন্তুষ্ট এটি আমার প্রত্যাশার চেয়েও ভালো</t>
  </si>
  <si>
    <t>ঠিক আছে নিখুঁত নয়</t>
  </si>
  <si>
    <t>ইয়োগা ম্যাটটি ব্যবহারযোগ্য যদিও এটি গন্ধ ছড়ায়</t>
  </si>
  <si>
    <t>এই নতুন টেলিভিশনের স্ক্রিনে ছবি খুব পরিষ্কার</t>
  </si>
  <si>
    <t>শিশুটি খুব হাসিখুশি এবং প্রাণবন্ত</t>
  </si>
  <si>
    <t>রঙ প্রত্যাশার সাথে মিলে যাবে</t>
  </si>
  <si>
    <t>তাৎক্ষণিক পরিষ্কার করে</t>
  </si>
  <si>
    <t>ডিভাইসটির স্ক্রিন ব্রাইটনেস অনেক বেশি</t>
  </si>
  <si>
    <t>প্যাকেজ করা রুটির একটি বাসি স্বাদ ছিল এবং শুকনো ছিল সতেজতার অভাব ছিল</t>
  </si>
  <si>
    <t>জুতার গোড়ালি দ্রুত নিচে পড়ে যায় যার ফলে একটি অসম চালচলন এবং সম্ভাব্য পায়ের বিভ্রান্তি দেখা দেয়</t>
  </si>
  <si>
    <t>ফুলটি আলোর প্রয়োজন ছাড়াই সতেজ থাকে</t>
  </si>
  <si>
    <t>পকেট সাইজ ভিনিল রেকর্ড প্লেয়ারটি সঙ্গীত বাজায় তবে স্পিকারের শব্দ আরও শক্তিশালী হতে পারত</t>
  </si>
  <si>
    <t>টুথপেস্টের ফেনা দ্রুত মিলিয়ে যায়</t>
  </si>
  <si>
    <t>ছোট এবং সব প্রয়োজন মেটাতে পারে না</t>
  </si>
  <si>
    <t>ব্যয়বহুল কিন্তু পুরোপুরি কাজ করে</t>
  </si>
  <si>
    <t>আকারটি প্রয়োজন মেটাচ্ছে</t>
  </si>
  <si>
    <t>ব্যাকপ্যাকের জিপার ন্যূনতম ব্যবহারের পরে ভেঙ্গে যায় যার ফলে আমার জিনিসপত্র সুরক্ষিত করা অসম্ভব হয়ে পড়ে</t>
  </si>
  <si>
    <t>অস্থির ভিত্তির কারণে এটি সহজেই উল্টে যাওয়ার ঝুঁকি তৈরি করে</t>
  </si>
  <si>
    <t>ডিভাইসটির স্ক্রিন সাইজ খুবই উপযুক্ত</t>
  </si>
  <si>
    <t>যথেষ্ট পরিমাণে ধুলো ধরে রাখতে পারে</t>
  </si>
  <si>
    <t>আমার ঘরকে শীতল এবং আরামদায়ক রাখে</t>
  </si>
  <si>
    <t>এখনও স্যামসাং থেকে একটি শক্তিশালী বিকল্প যদিও নিখুঁত নয়</t>
  </si>
  <si>
    <t>জমির পটাশিয়াম পর্যাপ্ত ছিল না তাই কিছু ফলন কম হয়েছে তবে সারটি ভাল কাজ করেছে</t>
  </si>
  <si>
    <t>নতুন ওয়াচটির ডিজাইন খুবই স্টাইলিশ</t>
  </si>
  <si>
    <t>এটি মেকআপ প্রয়োগে নিখুঁততা আনে</t>
  </si>
  <si>
    <t>ফটোগুলি পোশাকের আসল চেহারা এবং গুণমানকে সঠিকভাবে চিত্রিত করতে ব্যর্থ হয়</t>
  </si>
  <si>
    <t>প্রতি চুমুকে আমি অনুভব করি এর উচ্চমানের পাতার গুণাগুণ</t>
  </si>
  <si>
    <t>ভদ্রতার স্তরটি কিছুটা সীমিত</t>
  </si>
  <si>
    <t>রোস্ট স্তর মাঝারিগাঢ় চকলেট নোট সহ</t>
  </si>
  <si>
    <t>পরিচ্ছন্নতার ধারাবাহিক অভাবের কারণে হতাশ</t>
  </si>
  <si>
    <t>নতুন কিনা তাই পুরোপুরি মতামত দেওয়া কঠিন</t>
  </si>
  <si>
    <t>রাতেও ব্যবহার করা যাবে মনে হয়</t>
  </si>
  <si>
    <t>প্রাণবন্ত তবে পাতলা এটি সেরা নয়</t>
  </si>
  <si>
    <t>নির্ভরযোগ্য তবে কার্যকারিতা মন মতো নাও হতে পারে</t>
  </si>
  <si>
    <t>এই শ্যাম্পুটি চুলকে মসৃণ ও কোমল করে তোলে</t>
  </si>
  <si>
    <t>স্মার্ট লাইট সুইচ এর ভয়েস কন্ট্রোল বৈশিষ্ট্য কমান্ড সনাক্ত করে না</t>
  </si>
  <si>
    <t>প্যাকেজিং মজবুত কিন্তু পরিবেশবান্ধব নয়</t>
  </si>
  <si>
    <t>স্মার্ট ডোর লকের অ্যাপ ক্র্যাশ হয়ে যায় দূর থেকে আনলক বা লক করা যায় না</t>
  </si>
  <si>
    <t>নরম ও আরামদায়ক উপাদান দিয়ে তৈরি যা আমার মেয়ে পছন্দ করে আদর করতে</t>
  </si>
  <si>
    <t>ওয়াল হ্যাঙ্গারের হুকগুলি মজবুত এবং ব্যবহারযোগ্য</t>
  </si>
  <si>
    <t>কষ্টকর আকৃতি ফ্রিজে ভালোভাবে মানায় না</t>
  </si>
  <si>
    <t>এটি দীর্ঘ সময় ব্যবহার করা যেতে পারে</t>
  </si>
  <si>
    <t>বুকশেলফটি দারুণভাবে স্থান সঞ্চয় করে</t>
  </si>
  <si>
    <t>সোপটি ত্বকের শুষ্কতা দূর করে</t>
  </si>
  <si>
    <t>এই বডি ওয়াশ ব্যবহারে আপনি অনুভব করবেন আনন্দিত</t>
  </si>
  <si>
    <t>মেকআপ ব্রাশ বড় এলাকা কভার করতে পারে</t>
  </si>
  <si>
    <t>অবিশ্বস্ত ক্লোজার সিস্টেমের ফলে ঘন ঘন স্পিল হয়</t>
  </si>
  <si>
    <t>শাড়িটির রং অনেক উজ্জ্বল এবং দৃষ্টিনন্দন</t>
  </si>
  <si>
    <t>চাদরটির টেক্সচার খুবই মসৃণ এতে শুয়ে থাকা খুবই আরামদায়ক</t>
  </si>
  <si>
    <t>নতুন ড্যাশক্যাম ভাল কাজ করে</t>
  </si>
  <si>
    <t>পণ্যের ওয়ারেন্টি নীতি অত্যধিক সীমাবদ্ধ ছিল</t>
  </si>
  <si>
    <t>ওজন সাধারণ না ভারী না হালকা</t>
  </si>
  <si>
    <t xml:space="preserve"> ফ্রেমটি ক্ষীণ এবং বাঁকানোর প্রবণ ছিল স্থায়িত্বের সাথে আপস করে</t>
  </si>
  <si>
    <t>এটি স্বাস্থ্যের জন্য অত্যন্ত উপকারী</t>
  </si>
  <si>
    <t>কেনাকাটার ব্যাপারে চিন্তা করা হয়নি</t>
  </si>
  <si>
    <t>পণ্যটি মোটামুটি ভালো এবং আরও উন্নতির সুযোগ রয়েছে</t>
  </si>
  <si>
    <t>টুথপেস্টের টিউবটি প্লাস্টিকের তৈরি</t>
  </si>
  <si>
    <t>জপমালায় কিছু ত্রুটি থাকতে পারে</t>
  </si>
  <si>
    <t>খোলা পাত্রে প্রাপ্ত স্বাস্থ্যবিধি উদ্বেগ</t>
  </si>
  <si>
    <t>সোপটি ত্বকের প্রাকৃতিক উজ্জ্বলতা বজায় রাখে</t>
  </si>
  <si>
    <t>পাওয়ার ব্যাঙ্কের ক্ষমতা সময়ের সাথে সাথে কমে যায় নতুনের মতো একই পরিমাণ চার্জ আর প্রদান করে না</t>
  </si>
  <si>
    <t>মোবাইলটি ব্যবহারে গেমিং এক্সপেরিয়েন্স খুবই মসৃণ</t>
  </si>
  <si>
    <t>ফুলটি আমার ঘরে একটি সৃজনশীল পরিবেশ সৃষ্টি করেছে</t>
  </si>
  <si>
    <t>আমার নতুন এসি এত নিশব্দে চলে যে আমি প্রায়ই ভুলে যাই এটি চালু আছে এর শীতল বাতাস অনুভব করা ছাড়া বুঝতেই পারি না</t>
  </si>
  <si>
    <t>ননস্টিক ফ্রাইং প্যানের আবরণ স্ক্র্যাচ বন্ধ নিরাপদ নয়</t>
  </si>
  <si>
    <t>ফোনের ডিসপ্লেতে সরাসরি সূর্যের আলোতে দুর্বল দৃশ্যমানতা রয়েছে যা বাইরে ব্যবহার করা কঠিন করে তোলে</t>
  </si>
  <si>
    <t>এই মেকআপ কিটটি ব্যবহার করার পর থেকে মেকআপ করা অনেক সহজ হয়ে গেছে</t>
  </si>
  <si>
    <t>গরমকালে ব্যবহার কিছুটা অনুপযোগী</t>
  </si>
  <si>
    <t>এই স্পিকারগুলো আমার বাড়িতে একটি নতুন শব্দের জগত তৈরি করেছে সত্যিই অসাধারণ</t>
  </si>
  <si>
    <t>আমি এই বালিশ সেটের হাইপোঅ্যালারজেনিক বৈশিষ্ট্য পছন্দ করি আমার অ্যালার্জির সমস্যা অনেক কমে গেছে</t>
  </si>
  <si>
    <t>ব্যবহারের নির্দেশিকা স্পষ্ট লেগেছে</t>
  </si>
  <si>
    <t>আমার বন্ধুদের কাছে এটি অত্যন্ত প্রশংসিত</t>
  </si>
  <si>
    <t>মোটামুটি ঠিক নিখুঁত নয় বেশিরভাগ এ খারাপ</t>
  </si>
  <si>
    <t>কিটটির প্রতিটি প্রোডাক্ট উচ্চ মানের</t>
  </si>
  <si>
    <t>এটি বিশেষ যত্ন ছাড়াই ব্যবহার করা যেতে পারে</t>
  </si>
  <si>
    <t>প্রতিস্থাপন বা ফেরতের জন্য আইটেমটি ফেরত দেওয়ার অসুবিধার কারণে হতাশ</t>
  </si>
  <si>
    <t>অনেক সময় ধরে রাখলেও বীনগুলো শুকিয়ে যায় না</t>
  </si>
  <si>
    <t>মোটামুটি ঠিক কিন্তু খুব বড় নয়</t>
  </si>
  <si>
    <t>কানের দুলগুলোর ক্লাসপ খুব শক্ত আমি কখনও হারানোর ভয় পাই না</t>
  </si>
  <si>
    <t>ফার্নিচারগুলোর ওজন ভারসাম্যপূর্ণ সহজেই নড়াচড়া করা যায়</t>
  </si>
  <si>
    <t>চামচকাঁটাছুরি ব্যবহার করা যায় কিন্তু আরামদায়ক নয়</t>
  </si>
  <si>
    <t>চলমান মানের উদ্বেগের সাথে অসন্তুষ্ট</t>
  </si>
  <si>
    <t>বালিশের ভেতরের ফোমটি নরম এবং ঘুমানোর জন্য আরামদায়ক</t>
  </si>
  <si>
    <t>স্ক্রিনে ক্রমাগত ফ্লিকার হচ্ছিল যা দীর্ঘক্ষণ দেখার সময় চোখের উপর চাপ তৈরি করছিল</t>
  </si>
  <si>
    <t>ব্রেসলেট একঘেয়েমি</t>
  </si>
  <si>
    <t>বিল্ড কোয়ালিটি চমৎকার টেকসই এবং মজবুত দীর্ঘমেয়াদী ব্যবহারের জন্য এটি উপযুক্ত</t>
  </si>
  <si>
    <t>ভালো কাজ করে</t>
  </si>
  <si>
    <t>বাচ্চারা খুব সুন্দরভাবে আঁকা শিখেছে</t>
  </si>
  <si>
    <t>সেই মানের একটা জিনিস আপ্নারা সবাই নিতে পারেন</t>
  </si>
  <si>
    <t>নতুন টেবিলটি ঘরের জন্য একদম মানানসই</t>
  </si>
  <si>
    <t>চায়ের ঢাকনাটি ঠিকভাবে বন্ধ হয়নি চা খুব দ্রুত ঠান্ডা হতে দেয়</t>
  </si>
  <si>
    <t xml:space="preserve">একমাত্র এই কম্বলটিই আমার শীতের রাতগুলোকে আরও বেশি আরামদায়ক করে তুলেছে </t>
  </si>
  <si>
    <t>ডিজিটাল ফিঙ্গারপ্রিন্ট ডোর লকটি দরজা খোলে কিন্তু ভেজা আঙ্গুলে কাজ করে না</t>
  </si>
  <si>
    <t>খেলার জন্য উপযুক্ত তবে সময়মতো আসেনি</t>
  </si>
  <si>
    <t>বুকশেলফটি পরিবেশ বান্ধব প্লাস্টিক দিয়ে তৈরি</t>
  </si>
  <si>
    <t>সময় দেখার জন্য খুবই পরিষ্কার এবং স্পষ্ট</t>
  </si>
  <si>
    <t>ভ্রমণ বালিশের ভরাট একত্রে জমে গেছে অপর্যাপ্ত সমর্থন প্রদান করে</t>
  </si>
  <si>
    <t>এমনকি স্ট্যান্ডবাই মোডেও ফোনের ব্যাটারি দ্রুত নিষ্কাশন হয় যা দুর্বল পাওয়ার ম্যানেজমেন্ট নির্দেশ করে</t>
  </si>
  <si>
    <t xml:space="preserve">  পৃষ্ঠটি মসৃণ নয় এটি পরিষ্কার করা কঠিন এবং ধুলো এবং ধ্বংসাবশেষ সংগ্রহের ঝুঁকিপূর্ণ করে তোলে</t>
  </si>
  <si>
    <t>বালিশগুলির প্রান্তের সেলাই খুব মজবুত আমি নিশ্চিত যে এগুলি দীর্ঘদিন টিকবে</t>
  </si>
  <si>
    <t>জমির জন্য ভালো হলেও সারটির দীর্ঘমেয়াদী প্রভাব তেমন ছিল না</t>
  </si>
  <si>
    <t>দীর্ঘমেয়াদী ব্যবহারে রঙ ম্লান হতে পারে</t>
  </si>
  <si>
    <t>স্নানের বোমাগুলি যতটা প্রত্যাশিত ততটা ফিজ করেনি জলকে নিস্তেজ করে দিয়েছে</t>
  </si>
  <si>
    <t>হাইলাইটারটি চকচকে এবং প্রাকৃতিক আভা প্রদানের পরিবর্তে ত্বকের টেক্সচারের উপর জোর দেয়</t>
  </si>
  <si>
    <t>হ্যান্ডি এবং সুন্দরভাবে তৈরি  উন্নত করা যেতে পারে</t>
  </si>
  <si>
    <t>দামের জন্য ভালো কিন্তু ব্যতিক্রমী নয়</t>
  </si>
  <si>
    <t>ডিভাইসটির ব্যাটারি অনেকক্ষণ ধরে চলে</t>
  </si>
  <si>
    <t>মেয়েটি প্রতিদিন তার নতুন পোষা প্রাণীর যত্ন নেয়</t>
  </si>
  <si>
    <t>রঙটি খুবই প্রাণবন্ত</t>
  </si>
  <si>
    <t>এটি শিশুদের জন্য বড় হতে পারে</t>
  </si>
  <si>
    <t>সাউন্ড কোয়ালিটি ছিল গড় মানের</t>
  </si>
  <si>
    <t>ভয়েসনিয়ন্ত্রিত টিভি রিমোট কমান্ডের ভুল ব্যাখ্যা করে হতাশাজনক</t>
  </si>
  <si>
    <t>হ্যান্ড ক্রিম ত্বকে একটি চর্বিযুক্ত অবশিষ্টাংশ ছেড়ে দেয় এটি প্রয়োগের পরে বস্তু স্পর্শ করতে অস্বস্তিকর করে তোলে</t>
  </si>
  <si>
    <t>এই শ্যাম্পুর ব্যবহারে চুলের প্রাকৃতিক উজ্জ্বলতা ফিরে এসেছে</t>
  </si>
  <si>
    <t>চায়ের থলিটি খুব দীর্ঘ ছিল যার ফলে চা ঢালা হলে ছড়িয়ে পড়ে</t>
  </si>
  <si>
    <t>ফলন বৃদ্ধি কিছুটা হলেও সারটির গুণগত মান তেমন ভালো ছিল না</t>
  </si>
  <si>
    <t>আমি বিশেষভাবে এই সেটের সাথে আসা ব্রেড প্লেটগুলি পছন্দ করি এগুলি ছোট ও সুন্দর যা টেবিলে একটি আকর্ষণীয় স্পর্শ যোগ করে</t>
  </si>
  <si>
    <t>এই বেডশীটটির ডিজাইন অত্যন্ত মডার্ন এবং বিশেষ</t>
  </si>
  <si>
    <t>দারুণ কাজ করেখুব সুন্দর  মিস করবেন না</t>
  </si>
  <si>
    <t xml:space="preserve"> রিমোট কন্ট্রোলের একটি বিশৃঙ্খল বিন্যাস ছিল যা নির্দিষ্ট বোতামগুলি খুঁজে পাওয়া কঠিন করে তোলে</t>
  </si>
  <si>
    <t>আলমারির উপরের অংশে রাখা ডেকোরেটিভ মোল্ডিং খুব আকর্ষণীয়</t>
  </si>
  <si>
    <t>স্মার্ট রান্নাঘরের স্কেলের পরিমাপ অসঙ্গত অবিশ্বস্ত</t>
  </si>
  <si>
    <t>বাতাসের তীব্রতা নিয়ন্ত্রণ করা যায়</t>
  </si>
  <si>
    <t>ভ্রমণের সময় খুবই উপকারী</t>
  </si>
  <si>
    <t>মাইক্রোওয়েভ মাত্র কয়েকটি ব্যবহারের পরে কাজ করা বন্ধ করে দিয়েছে অত্যন্ত হতাশাজনক</t>
  </si>
  <si>
    <t>নির্মাণের মান গ্রহণযোগ্য হতে পারে</t>
  </si>
  <si>
    <t>বেবি ট্রাভেল ক্রিব এর গদি খুব পাতলা শিশুর জন্য অস্বস্তি সৃষ্টি করে</t>
  </si>
  <si>
    <t>ছবির জন্য চমৎকার আইটেম</t>
  </si>
  <si>
    <t xml:space="preserve">এই বাজেটে এক কথায় অসাধারণ একটি প্রোডাক্ট সাউন্ড </t>
  </si>
  <si>
    <t>ক্যানভাস উপাদান একটি রুক্ষ পৃষ্ঠ ছিল ব্রাশ আন্দোলন প্রভাবিত</t>
  </si>
  <si>
    <t>আমি এই সেটের সাথে আসা সার্ভিং স্পুনগুলির আকার পছন্দ করি এগুলি বড় এবং গভীর যা সহজে খাবার পরিবেশন করতে সাহায্য করে</t>
  </si>
  <si>
    <t>ঠিক আছে মোজা বিশেষ কিছু নয়</t>
  </si>
  <si>
    <t>ওয়াইন গ্লাসগুলো কাজ করে তবে ধোয়া কঠিন</t>
  </si>
  <si>
    <t>চামচকাঁটাছুরির আকার ছোট বড় হাতের মানুষের জন্য অসুবিধাজনক</t>
  </si>
  <si>
    <t>কিছু সমস্যা রিপোর্ট করা হয়েছে</t>
  </si>
  <si>
    <t>ব্যবহারের পর ধীরে ধীরে ময়লা জমে</t>
  </si>
  <si>
    <t>খাবারটি অত্যধিক নোনতা ছিল এবং একটি অদ্ভুত কৃত্রিম গন্ধ ছিল</t>
  </si>
  <si>
    <t>শরীরের ধোয়ার একটি শক্তিশালী কৃত্রিম গন্ধ ছিল যা অপ্রতিরোধ্য ছিল</t>
  </si>
  <si>
    <t>পরিষ্কার করা খুবই সহজ</t>
  </si>
  <si>
    <t>ব্যতিক্রমী কিছু নয়</t>
  </si>
  <si>
    <t>সিলিং ফ্যানটি কাজ করে কিন্তু রিমোটটি ভালোভাবে কাজ করতে পারে না</t>
  </si>
  <si>
    <t>ক্রমাগত ত্রুটি এবং ক্র্যাশ ধারাবাহিক ব্যবহারের জন্য অবিশ্বস্ত</t>
  </si>
  <si>
    <t xml:space="preserve"> হেডফোনের এবং এটির রেস্পন্স ও অনেক ভালো পেয়েছি এটির রেটিংস দিতে গেলে আমি  দিবো</t>
  </si>
  <si>
    <t>মূল্যের সাথে মানের একটি ভারসাম্য রয়েছে</t>
  </si>
  <si>
    <t>ব্রাশগুলিতে ভঙ্গুর ব্রিস্টল ছিল যা ভেঙে যাওয়ার প্রবণতা ছিল</t>
  </si>
  <si>
    <t>ফ্যানটির চলার শব্দ খুবই কম</t>
  </si>
  <si>
    <t>দাম অনুযায়ী মোটামুটি ভালো</t>
  </si>
  <si>
    <t>ব্রেসলেটের জন্য প্রায় ঠিক আছে</t>
  </si>
  <si>
    <t>বাথরুম স্কেলটি ওজন মাপে কিন্তু নম্বর পড়া কঠিন</t>
  </si>
  <si>
    <t>ঘড়িটির প্রান্তগুলি মসৃণ</t>
  </si>
  <si>
    <t>কালার ভালো তবে ফিনিশিং উন্নতি করা দরকার</t>
  </si>
  <si>
    <t>এটি যথাযথভাবে কাজ করে যদিও কিছু সমস্যা রয়েছে</t>
  </si>
  <si>
    <t>এটি মেকআপ সমানভাবে প্রয়োগ করে</t>
  </si>
  <si>
    <t>বোতলের আকার ছোট</t>
  </si>
  <si>
    <t>প্রবল বাতাসে ছাতার ফ্রেমটি বাঁকানো বৃষ্টির আবহাওয়ায় এটি অকেজো হয়ে যায়</t>
  </si>
  <si>
    <t>এটি দেখতে ভালো তবে স্পর্শে তেমন আরামদায়ক নয়</t>
  </si>
  <si>
    <t>আমাদের ক্লাসের সবাই পরীক্ষায় ভালো ফল করেছে</t>
  </si>
  <si>
    <t>প্লেডোহ ব্যবহারের পর হাতে কিছুটা লেগে থাকতে পারে তবে সহজেই মুছে ফেলা যায়</t>
  </si>
  <si>
    <t>শিল্পীর দক্ষতা স্পষ্টভাবে ফুটে উঠেছে</t>
  </si>
  <si>
    <t>অতিরিক্ত চাপ দিলে ক্ষতিগ্রস্ত হতে পারে</t>
  </si>
  <si>
    <t>ছোট ও সাশ্রয়ী তবে আরও শক্তিশালী হতে পারে</t>
  </si>
  <si>
    <t>চার্জারের চার্জিং গতি অসামঞ্জস্যপূর্ণ কখনও কখনও দ্রুত চার্জ হয় এবং অন্য সময় ধীরে ধীরে</t>
  </si>
  <si>
    <t>কেনাকাটা সাধারণ</t>
  </si>
  <si>
    <t>দামের জন্য একটি মহান চুক্তিগুণমান ভালো মান আমি দ্বিতীয়টি কিনেছিঅসাধারণ একটি প্রোডাক্ট আমি খুবই আনন্দিত</t>
  </si>
  <si>
    <t>ডিভাইসটির থার্মাল ম্যানেজমেন্ট খুবই কার্যকর</t>
  </si>
  <si>
    <t>দুলগুলো আমার প্রত্যাশার চেয়েও ভালো আমি এগুলো প্রতিদিন পরতে পছন্দ করি</t>
  </si>
  <si>
    <t>ফর্মুলাটি এমনভাবে ডিজাইন করা হয়েছে যাতে এটি চোখে ভারী অনুভূতি সৃষ্টি না করে</t>
  </si>
  <si>
    <t>পোশাকটা দেখতে ভালো কিন্তু খুব বেশি টেকসই নয়</t>
  </si>
  <si>
    <t>সেটের সাথে আসা পানির গ্লাসগুলি স্থিতিশীল ও সুন্দর এগুলি সহজে উল্টে পড়ে না এবং হাতে ধরা আরামদায়ক</t>
  </si>
  <si>
    <t>সেলাইটি সেলাইতে পূর্বাবস্থায় আসে যার ফলে আকৃতি নষ্ট হয়ে যায়</t>
  </si>
  <si>
    <t>ঘরের মধ্যে প্রকৃতির ছোঁয়া নিয়ে আসে</t>
  </si>
  <si>
    <t>পকেটসাইজ ওয়াটার কোয়ালিটি টেস্টারটি পানি পরীক্ষা করে তবে ব্যাটারি দ্রুত শেষ হয়</t>
  </si>
  <si>
    <t>শেলফটির প্রতিটি স্তর আকারে সমান</t>
  </si>
  <si>
    <t>এই শ্যাম্পুর ফলে চুল সুস্থ ও সুন্দর থাকে</t>
  </si>
  <si>
    <t>রঙটি নিরপেক্ষ কিছু ভালো না কিছু খারাপ না</t>
  </si>
  <si>
    <t>ফাঁপা শব্দ নিম্নমানের নির্দেশিত</t>
  </si>
  <si>
    <t>এই স্পিকার কিনে আমার সংগীত শোনার অভিজ্ঞতা সম্পূর্ণ বদলে গেছে</t>
  </si>
  <si>
    <t>ব্রাশগুলির রুক্ষ ব্রিস্টল ছিল পেইন্টে রেখাগুলি রেখেছিল</t>
  </si>
  <si>
    <t>গাড়িতে ব্যবহার করা যেতে পারে</t>
  </si>
  <si>
    <t>কন্ট্রোল প্যানেলের বোতামগুলি চাপানো কঠিন অত্যধিক বল প্রয়োজন</t>
  </si>
  <si>
    <t>সহজে পরিষ্কার করা যায় কিন্তু দুর্গন্ধ দূর করা কঠিন</t>
  </si>
  <si>
    <t>পোশাকটি প্রতিদিনের ব্যবহারের জন্য দুর্দান্ত</t>
  </si>
  <si>
    <t xml:space="preserve"> অভ্যন্তরীণ আলো মাঝে মাঝে ঝিকমিক করে এবং ম্লান করে যা একটি বৈদ্যুতিক সমস্যা নির্দেশ করে</t>
  </si>
  <si>
    <t>অসন্তোষজনক কর্মক্ষমতা বারবার ত্রুটি</t>
  </si>
  <si>
    <t>বইয়ের প্রতিটি পৃষ্ঠা যেন জীবন্ত হয়ে উঠেছে</t>
  </si>
  <si>
    <t>বহুবার ধোয়ার পরেও কাপড়ের মান ঠিক থাকে</t>
  </si>
  <si>
    <t>সারটি সাশ্রয়ী হলেও ফলন কিছুটা কম ছিল</t>
  </si>
  <si>
    <t>এটি  প্রত্যাশা পূরণ করে</t>
  </si>
  <si>
    <t>ডিজিটাল কয়েন সর্টারটি মুদ্রা বাছাই করে কিন্তু ভুল হওয়ার সম্ভাবনা আছে</t>
  </si>
  <si>
    <t>টিফিন বক্সটি খাবার গরম রাখার জন্য উপযুক্ত</t>
  </si>
  <si>
    <t>আনসিলড প্যাকেজ পণ্য নিরাপত্তার অনিশ্চিত</t>
  </si>
  <si>
    <t>এই ম্যাসকারা আমার পক্ষপাতগুলিকে অবিশ্বাস্যভাবে লম্বা ও ঘন করে তোলে</t>
  </si>
  <si>
    <t>পেইন্ট টিউবগুলি চেপে ধরা কঠিন ছিল প্রয়োগে বাধা ছিল</t>
  </si>
  <si>
    <t>আমার আইপডগুলি প্রতিস্থাপন করেছে তবে কিছু আফসোস আছে</t>
  </si>
  <si>
    <t>রং সাদা অন্য আসবাবের সাথে মানানসই হবে</t>
  </si>
  <si>
    <t>সিগেট পোর্টেবল  টিবি বাহ্যিক হার্ড ড্রাইভ আপনার সমস্ত ডিভাইসের জন্য নির্ভরযোগ্য স্টোরেজ সমাধান</t>
  </si>
  <si>
    <t>এর মাধ্যমে একধরনের প্রশান্তি অনুভব করি</t>
  </si>
  <si>
    <t>আকার ঠিক আছে বিশেষ কিছু নয়</t>
  </si>
  <si>
    <t>চায়ের সুগন্ধ এতই মনোরম যে আমি এটিকে একটি এরোমাথেরাপি হিসেবেও ব্যবহার করতে পারি</t>
  </si>
  <si>
    <t>সারটি সাশ্রয়ী তবে ফলন তেমন বৃদ্ধি পায়নি</t>
  </si>
  <si>
    <t>ওজন মাঝারি একা স্থানান্তর করা কঠিন</t>
  </si>
  <si>
    <t>ঘড়িটি খুবই স্থায়ী এবং সুন্দরভাবে কাজ করে</t>
  </si>
  <si>
    <t>স্মার্ট লাইট সুইচের ত্রুটি অনিয়ন্ত্রিতভাবে ঝাঁকুনি</t>
  </si>
  <si>
    <t>জুতা একটি শক্তিশালী রাসায়নিক গন্ধ নির্গত করে যা দুর্বল বায়ুচলাচল এবং সম্ভাব্য ক্ষতিকারক পদার্থের ইঙ্গিত দেয়</t>
  </si>
  <si>
    <t>বিউটি সোপটির ফর্মুলা খুবই মাইল্ড</t>
  </si>
  <si>
    <t>দাম অনুযায়ী গুণমান গ্রহণযোগ্য লেগেছে</t>
  </si>
  <si>
    <t>শিশুর স্ট্রলারের ছাউনি ছিঁড়ে গেছে যা শিশুটিকে সরাসরি সূর্যের আলোতে উন্মুক্ত করেছে</t>
  </si>
  <si>
    <t>অভিনব আইটেমটির অভিনবত্বের মূল্য ছিল কিন্তু দ্রুত তার আকর্ষণ হারিয়ে ফেলে লালিত সম্পত্তির পরিবর্তে আমার বাড়িতে বিশৃঙ্খলা হিসাবে শেষ হয়</t>
  </si>
  <si>
    <t>ঠিক আছে দুর্দান্ত কিছু নয়</t>
  </si>
  <si>
    <t>অনেকটা শান্ত যা ঘুমানোর জন্য উপযুক্ত</t>
  </si>
  <si>
    <t>এটি ঠিক আছে তবে ব্যতিক্রমী নয়</t>
  </si>
  <si>
    <t>মেকআপ ব্রাশ বিভিন্ন রঙের সাথে কাজ করে</t>
  </si>
  <si>
    <t>নাইট ভিশন ভালো তবে সব চাহিদা পূরণ নাও করতে পারে</t>
  </si>
  <si>
    <t>সারটির দাম কিছুটা বেশি হলেও গাছের স্বাস্থ্য উন্নত হয়েছে</t>
  </si>
  <si>
    <t>এটি খুবই লাইটওয়েট এবং পোর্টেবল</t>
  </si>
  <si>
    <t>মাখন চর্বিযুক্ত অনুভূত এবং ভাল শোষণ না</t>
  </si>
  <si>
    <t>সাইড টেবিলগুলোতে বিল্টইন কোস্টার আছে</t>
  </si>
  <si>
    <t>পেইন্ট সেটটিতে সীমিত রঙের বিকল্প ছিল</t>
  </si>
  <si>
    <t>কম্বলটি আমার শীতের রাতগুলিতে অনেক আরাম দেয়</t>
  </si>
  <si>
    <t>হ্যান্ড ভ্যাকুয়ামের ব্যাটারি লাইফ পুঙ্খানুপুঙ্খভাবে পরিষ্কার করার সেশনের জন্য খুব কম</t>
  </si>
  <si>
    <t>দ্রুত চার্জিং এবং বলিষ্ঠ</t>
  </si>
  <si>
    <t>ডিমের কিছু অংশ শুকিয়ে গেছে</t>
  </si>
  <si>
    <t>প্যাডের প্রান্তগুলি কিছুটা অসমান বোধ করে</t>
  </si>
  <si>
    <t>নিখুঁত থেকে অনেক দূরে</t>
  </si>
  <si>
    <t>পণ্যটি ভাল কাজ করে তবে সমস্ত প্রকল্পের জন্য উপযুক্ত নাও হতে পারে</t>
  </si>
  <si>
    <t>পণ্যটি আমার প্রয়োজনীয় বৈশিষ্ট্যগুলি অফার করেনি</t>
  </si>
  <si>
    <t>তারের নিরোধক ব্যবহার করার সময়   পোড়া গন্ধ পায় যা নিরাপত্তার উদ্বেগ বাড়ায়</t>
  </si>
  <si>
    <t>পোশাকটি অনুপস্থিত অলঙ্করণের সাথে এসেছে এটিকে অসম্পূর্ণ এবং অসমাপ্ত দেখাচ্ছে</t>
  </si>
  <si>
    <t>এটি খাদ্য অভিজ্ঞতা উপস্থাপন করে তবে সবার জন্য নয়</t>
  </si>
  <si>
    <t>আগে থেকে তৈরি স্যান্ডউইচগুলি ছিল ভিজে এবং ভরাট ছিল না বাসি রুটি এবং লেটুস সহ</t>
  </si>
  <si>
    <t>কিছুটা উপকারিত হলেও সারটির দীর্ঘমেয়াদী প্রভাব খুব বেশি ছিল না</t>
  </si>
  <si>
    <t>পণ্যের ডিজাইনে সৃজনশীলতা এবং কল্পনার অভাব ছিল</t>
  </si>
  <si>
    <t>শিশুটি স্কুলের নতুন বিষয় শিখতে খুব আগ্রহী</t>
  </si>
  <si>
    <t xml:space="preserve"> ফলাফল ভালো তবে একটু খোলামেলা হয়ে গেলে ব্যবহারে সমস্যা হয়</t>
  </si>
  <si>
    <t>এই গেমিং কীবোর্ডটি টাইপ করার জন্য খুবই আরামদায়ক</t>
  </si>
  <si>
    <t xml:space="preserve"> দরজার রিলিজ বোতামটি জ্যাম করা হয়েছে যার ফলে দরজাটি মসৃণভাবে খোলা অসম্ভব</t>
  </si>
  <si>
    <t>ভারী ডিজাইন স্টোরেজকে চ্যালেঞ্জ করে তুলেছে</t>
  </si>
  <si>
    <t>ফ্রিজের কম্প্রেসার একটি উচ্চপিচের ঝাঁকুনি নির্গত করে যা শান্ত পরিবেশে বিরক্তিকর</t>
  </si>
  <si>
    <t>বৈদ্যুতিক লন কাটার মোটর অতিরিক্ত গরম হয় ঘন ঘন বন্ধ হয়ে যায়</t>
  </si>
  <si>
    <t>স্কুলের লাইব্রেরি সবসময় নতুন বই দিয়ে পূর্ণ</t>
  </si>
  <si>
    <t>চার্জিং পোর্টের মান ভালো নয়</t>
  </si>
  <si>
    <t>রঙটি গ্রহণযোগ্য লেগেছে</t>
  </si>
  <si>
    <t>সেটিং পাউডার ফটোতে ত্বকে একটি সাদা কাস্ট ছেড়ে দেয় এটি ফ্ল্যাশ ফটোগ্রাফির জন্য অনুপযুক্ত করে তোলে</t>
  </si>
  <si>
    <t>হিটারটি মোটামুটি কাজ করে</t>
  </si>
  <si>
    <t>কিটটির প্রতিটি প্রোডাক্ট ত্বকে সজীবতা দেয়</t>
  </si>
  <si>
    <t>কারুশিল্পে বিস্তারিত মনোযোগের অভাবে হতাশ</t>
  </si>
  <si>
    <t>ওজন গ্রাম হাতে ধরা আরামদায়ক হতে পারে</t>
  </si>
  <si>
    <t>এই আসবাবপত্র সেটটি কিনে আমি অত্যন্ত খুশি</t>
  </si>
  <si>
    <t>মাত্র কয়েকটি ধোয়ার পরে ফ্যাব্রিকটি উল্লেখযোগ্যভাবে বিবর্ণ হয়ে যায় তার আসল প্রাণবন্ততা এবং আকর্ষণীয়তা হারায়</t>
  </si>
  <si>
    <t>রঙ আইভরি বেইজ বেশি সাদা নয়</t>
  </si>
  <si>
    <t>বিভিন্ন ব্রুইং পদ্ধতিতে ভিন্ন ভিন্ন স্বাদ বের হয়</t>
  </si>
  <si>
    <t>শাওয়ারের পানির চাপ একেবারে নিখুঁত</t>
  </si>
  <si>
    <t>পণ্যটি ভালো এবং মূল্য অনেক কিন্তু এটি নিখুঁত নয়</t>
  </si>
  <si>
    <t xml:space="preserve"> উচ্চ মানেরখুব সুন্দরখুব সুন্দরখুব সুন্দর</t>
  </si>
  <si>
    <t>এর সিমস খারাপভাবে সেলাই করা হয় যার ফলে পাকারিং এবং বান্চিং এর চেহারা থেকে বিঘ্নিত হয়</t>
  </si>
  <si>
    <t>অপর্যাপ্ত সেলাইয়ের কারণে   নীচের প্যানেলটি ছিঁড়ে গেছে যার ফলে বিষয়বস্তু ছড়িয়ে পড়ে</t>
  </si>
  <si>
    <t>পণ্যের বয়সের সুপারিশটি খুব বিস্তৃত ছিল নির্দিষ্ট বয়সের জন্য উপযুক্ত নয়</t>
  </si>
  <si>
    <t>পাওয়ার ব্যাঙ্কের চার্জিং পোর্টগুলি স্পষ্টভাবে লেবেলযুক্ত নয় যার ফলে বিভিন্ন ডিভাইসের জন্য কোন পোর্ট ব্যবহার করা হবে তা নিয়ে বিভ্রান্তি তৈরি হয়৷</t>
  </si>
  <si>
    <t>ডিজাইনের বিশদে মনোযোগের অভাব তাড়াহুড়ো করে একত্রিত করা হয়েছে</t>
  </si>
  <si>
    <t>গ্রেট ট্র্যাকিং ডিভাইস</t>
  </si>
  <si>
    <t>এক কথাই অসাধারণ প্রাইজ হিসাবে সাউন্ড কোয়ালিটি অস্থির আপনারা নিতে পারেন ইনটেক ছিলো</t>
  </si>
  <si>
    <t>সুপার কারুকার্য এটি মূল্য নয়</t>
  </si>
  <si>
    <t>এটি ধোয়া সহজ যা একটি বাচ্চার পুতুলের জন্য গুরুত্বপূর্ণ</t>
  </si>
  <si>
    <t>প্যাকেজিংটি ক্ষীণ এবং ছিঁড়ে যাওয়ার প্রবণ ছিল সতেজতার সাথে আপস করে</t>
  </si>
  <si>
    <t>মাইক্রোওয়েভ দরজা ঠিকভাবে বন্ধ হয় না যার ফলে অপারেশন চলাকালীন তাপ চলে যায়</t>
  </si>
  <si>
    <t>ব্রাশের ডিজাইন খুবই আধুনিক এবং ব্যবহার উপযোগী প্রতিদিন সকালে এটি ব্যবহার করে খুবই ভালো লাগছে</t>
  </si>
  <si>
    <t>স্থায়িত্বের অভাব সাবপার কারিগর</t>
  </si>
  <si>
    <t>ফ্যাব্রিক গড়পড়তা কিছু অসামান্য নয়</t>
  </si>
  <si>
    <t>স্পিকারের আওয়াজ খুবই জোরালো এবং পরিষ্কার</t>
  </si>
  <si>
    <t>এয়ারফ্লো ডিস্ট্রিবিউশন ইউনিফর্ম</t>
  </si>
  <si>
    <t>ঠিক আছে এবং কিছুটা অস্বস্তিকর</t>
  </si>
  <si>
    <t>টাইপ করা যায় তবে কীবোর্ডের লেআউট অস্বস্তিকর</t>
  </si>
  <si>
    <t>সৌরচালিত ব্যাকপ্যাকের প্যানেল বিচ্ছিন্ন কোন বিদ্যুৎ সরবরাহ নেই</t>
  </si>
  <si>
    <t>ননস্টিক রান্নার পাত্রগুলি উচ্চ তাপমাত্রায় গলে যায় রান্নার জন্য অনিরাপদ</t>
  </si>
  <si>
    <t>যা আশা করেছিলাম তা পুরোপুরি পূরণ হয়নি</t>
  </si>
  <si>
    <t>দ্রুত গরম হয় তবে কিছু সময়ের জন্য গরম থাকতে পারে</t>
  </si>
  <si>
    <t>স্বাদটা ভালো তবে একটু বেশি কৃত্রিম মনে হয়েছে</t>
  </si>
  <si>
    <t>দুর্দান্ত মান মহান কিছু নয় মোটামুটি ঠিক নিখুঁত নয়</t>
  </si>
  <si>
    <t>ওয়ার্ডরোবের ড্রয়ারগুলি অগভীর এবং বড় আইটেমগুলিকে মিটমাট করতে অক্ষম স্টোরেজ ক্ষমতা সীমিত করে৷</t>
  </si>
  <si>
    <t>শীতের রাতগুলো এখন অনেক বেশি আরামদায়ক</t>
  </si>
  <si>
    <t>ফুটবলের গতি ভালো তবে রং দ্রুত ফিকে হয়ে যায়</t>
  </si>
  <si>
    <t>ফ্লাস্কটি দীর্ঘক্ষণ পানীয় গরম রাখে</t>
  </si>
  <si>
    <t>প্রিমিয়াম মানের দাবি সত্ত্বেও ফ্যাব্রিক পাতলা এবং ন্যূনতম ব্যবহারের সাথে সহজেই অশ্রু অনুভূত হয়</t>
  </si>
  <si>
    <t>এটি পরিচিত প্যাডের কার্যকারিতার মতো কাজ করে</t>
  </si>
  <si>
    <t>স্নানের মাদুরের উপাদানটি কয়েকবার ব্যবহারের পরে খোসা ছাড়তে শুরু করে দেখতে কুৎসিত</t>
  </si>
  <si>
    <t>রুম হিটারটি খুব দ্রুত গরম হয়</t>
  </si>
  <si>
    <t>এটি হালকা তবে এর কারণে মজবুত মনে হয় না</t>
  </si>
  <si>
    <t>ধাতব স্বাদ কলঙ্কিত পানীয় স্বাদ নষ্ট করে</t>
  </si>
  <si>
    <t>ব্যাটের গ্রিপ ভালো কিন্তু হ্যান্ডেলের গুণমান উন্নত হওয়া দরকার</t>
  </si>
  <si>
    <t>আমি এই ডিনার সেটের বহুমুখিতা পছন্দ করি এটি দৈনন্দিন ব্যবহার থেকে শুরু করে বিশেষ অনুষ্ঠান পর্যন্ত সবকিছুর জন্য উপযুক্ত</t>
  </si>
  <si>
    <t>ইলাস্টিক স্ট্রিংটি পরিষ্কার হওয়ার চেয়ে কিছুটা ভালো</t>
  </si>
  <si>
    <t>এই কফি মেশিনে কফির স্বাদ একদম পারফেক্ট</t>
  </si>
  <si>
    <t>এটি পেন্সিলকে অতিরিক্ত ধারালো করে না</t>
  </si>
  <si>
    <t>মোটামুটি ঠিকনিখুঁত নয়</t>
  </si>
  <si>
    <t xml:space="preserve">হিসাবে ভালোই খারাপ বলার কোনো উপায় ই নাই প্যাকেজিং ও ভালো প্যাকেজিং </t>
  </si>
  <si>
    <t>সময় পড়া সহজ</t>
  </si>
  <si>
    <t>কিছু ক্ষেত্রে ভালো কিছু ক্ষেত্রে উন্নতি দরকার</t>
  </si>
  <si>
    <t>বেশ সুন্দর কিন্তু আরও ভাল হতে পারত</t>
  </si>
  <si>
    <t>আমার মন ভাল আছে কিছু সময় আমি খারাপ অনুভব করি</t>
  </si>
  <si>
    <t>সুন্দর ছবি</t>
  </si>
  <si>
    <t>পেইন্টের রঙগুলির একটি আঠালো সামঞ্জস্য ছিল যার সাথে কাজ করা কঠিন</t>
  </si>
  <si>
    <t>স্মার্ট হেয়ার ব্রাশটি চুলের স্বাস্থ্য মাপে তবে অ্যাপ ধীর</t>
  </si>
  <si>
    <t>আমার মেয়ে এর সাথে কথা বলে এটাকে খাওয়ায় এবং ঘুম পাড়ায়  এটি তার কল্পনাশক্তিকে উৎসাহিত করছে</t>
  </si>
  <si>
    <t>ইলেকট্রিক বাইকের ব্যাটারি চার্জ ধরে না আটকে আছে</t>
  </si>
  <si>
    <t>ক্যানভাস উপাদানের একটি অসামঞ্জস্যপূর্ণ টেক্সচার ছিল যা ব্রাশস্ট্রোককে প্রভাবিত করে</t>
  </si>
  <si>
    <t>ডিজিটাল মিট থার্মোমিটারটি তাপমাত্রা মাপে তবে প্রোব ছোট</t>
  </si>
  <si>
    <t>সারটি মোটামুটি ভাল কাজ করেছে তবে দামের সাথে মানের সম্পর্কটা ঠিক ছিল না</t>
  </si>
  <si>
    <t xml:space="preserve"> উচ্চ চেয়ারের ট্রে জায়গায় লক হয় না এটি একটি নিরাপত্তা বিপত্তি তৈরি করে</t>
  </si>
  <si>
    <t>মেয়াদোত্তীর্ণ তারিখ উল্লেখ করা আছে</t>
  </si>
  <si>
    <t>সব ঠিকঠাক ছিল চার্জিং ব্যাকআপ অসাধারণ বাজেট কম থাকলে এটা নেওয়ার পরামর্শ থাকলো</t>
  </si>
  <si>
    <t>প্লেডো একটু আঠালো লাগল</t>
  </si>
  <si>
    <t>প্যাডের মোটা অংশটি যাচাই করা উচিত বলে মনে হয়</t>
  </si>
  <si>
    <t>মাইক্রোওয়েভযোগ্য ম্যাকারনি এবং পনির অত্যধিক চর্বিযুক্ত এবং পনিরের স্বাদের অভাব ছিল</t>
  </si>
  <si>
    <t>শাওয়ার জেলটির সুগন্ধ খুব দীর্ঘস্থায়ী</t>
  </si>
  <si>
    <t>পুঁতি তৈরির কিটের আনুষঙ্গিক পাসযোগ্য</t>
  </si>
  <si>
    <t>ব্যাটারি চার্জ একবার করলেই পুরোদিন চলে</t>
  </si>
  <si>
    <t>শিক্ষামূলক হওয়ার চেষ্টা আছে কিন্তু খুব গভীর নয়</t>
  </si>
  <si>
    <t>ব্যবহারের কয়েক সপ্তাহের মধ্যে উল্লেখযোগ্য চুল পড়া এবং ঝরে যাওয়া দীর্ঘমেয়াদী ক্ষতি সম্পর্কে উদ্বেগ বাড়ায়</t>
  </si>
  <si>
    <t>মোবাইলটির ফেস আইডি অত্যন্ত কার্যকর</t>
  </si>
  <si>
    <t>দামটা একটু বেশি তবে স্বাদ ঠিক আছে</t>
  </si>
  <si>
    <t>প্যাকেজ করা জেলটিন ডেজার্টগুলিতে একটি রাবারি টেক্সচার এবং কৃত্রিম গন্ধ ছিল বাড়িতে তৈরি করা সতেজতার অভাব ছিল</t>
  </si>
  <si>
    <t>পণ্যটি প্রতিরক্ষামূলক সীল ছাড়াই এসেছে হতাশাজনক</t>
  </si>
  <si>
    <t>মহান মান গতি এবং স্থায়িত্ব</t>
  </si>
  <si>
    <t>আফটারটেস্ট হালকা এবং আনন্দদায়ক মনে হয়</t>
  </si>
  <si>
    <t>এটি কীটাণুনাশক নয়</t>
  </si>
  <si>
    <t>অপ্রীতিকর স্বাদ কলঙ্কিত পানীয় অভিজ্ঞতা নষ্ট করে</t>
  </si>
  <si>
    <t>এই চা পান করার পর আমার মন প্রফুল্ল হয়ে ওঠে</t>
  </si>
  <si>
    <t>জলাশয়ের আকার উপযুক্ত এবং বড়</t>
  </si>
  <si>
    <t>টেবিল ফ্যানটি খুবই কার্যকর এবং তাজা বাতাস সরবরাহ করে</t>
  </si>
  <si>
    <t>ইলেকট্রনিক টাই র্যাকটি টাই ঘোরায় কিন্তু মোটরটি শব্দ করে</t>
  </si>
  <si>
    <t>প্যাডের প্রান্তগুলি কিছুটা মোটা</t>
  </si>
  <si>
    <t>ফ্রিজার বিভাগটি আইটেমগুলিকে সমানভাবে হিমায়িত করে না যার ফলে অসামঞ্জস্যপূর্ণ শীতল হয়</t>
  </si>
  <si>
    <t>অটোমেটিক লুভার অ্যাডজাস্টমেন্ট ফিচার খুব কার্যকর এটি বাতাসের প্রবাহ সবদিকে ছড়িয়ে দেয়</t>
  </si>
  <si>
    <t>বাড়িতে পার্টি করলে সবাই এই স্পিকারের প্রশংসা করে খুব গর্বিত বোধ করি</t>
  </si>
  <si>
    <t>সোপটি ত্বককে পরিচ্ছন্ন ও মসৃণ করে</t>
  </si>
  <si>
    <t>পন্য গুলো সীমিত</t>
  </si>
  <si>
    <t>মপের কাপড়টি বদলানো যায় কিনা তা জানা দরকার</t>
  </si>
  <si>
    <t>পণ্যের নির্মাণ সস্তা এবং অবিশ্বস্ত অনুভূত</t>
  </si>
  <si>
    <t>এটি সারাদিন টিকে থাকে কোনো ঝরে পড়া বা ছড়িয়ে পড়া নেই</t>
  </si>
  <si>
    <t>কিটটির প্রতিটি শেড ভালোভাবে পিগমেন্টেড</t>
  </si>
  <si>
    <t>কফির মান দেখে বোঝা যায় এটি নৈতিকভাবে সংগ্রহ করা হয়েছে</t>
  </si>
  <si>
    <t xml:space="preserve">  তেলে একটি অপ্রতিরোধ্য ফুলের ঘ্রাণ ছিল যা বমি বমি ভাব করছিল</t>
  </si>
  <si>
    <t>এই হোটেলের সার্ভিস খুবই দ্রুত এবং বন্ধুত্বপূর্ণ</t>
  </si>
  <si>
    <t>বেড ফ্রেমের পেইন্ট চিপস সহজেই কুৎসিত চিহ্ন রেখে এবং নীচের খালি ধাতু উন্মুক্ত করে</t>
  </si>
  <si>
    <t>কিটটির প্রতিটি প্রোডাক্ট দীর্ঘক্ষণ স্থায়ী</t>
  </si>
  <si>
    <t>কার্ল ক্রিম আমার কার্লগুলিকে সংজ্ঞায়িত করেনি এবং সেগুলিকে ঝিমঝিম এবং অনির্ধারিত দেখাচ্ছে</t>
  </si>
  <si>
    <t>তৈরি করা সহজ তবে মেরামত করা কঠিন</t>
  </si>
  <si>
    <t>শরীরের বিভিন্ন অংশে ব্যবহার করা যেতে পারে</t>
  </si>
  <si>
    <t xml:space="preserve"> ফার্মওয়্যারটি পুরানো হয়ে গেছে যার ফলে নতুন ডিভাইসগুলির সাথে সামঞ্জস্যের সমস্যা হয়েছে৷</t>
  </si>
  <si>
    <t>আমি সম্প্রতি আমার নতুন পিসি বিল্ডের জন্য গিগাবাইট জেড আওরুস এলিট এএক্স মাদারবোর্ড কিনেছি</t>
  </si>
  <si>
    <t>বেশ তাজা কিন্তু খুব বেশি ঠাণ্ডা হলে স্বাদটা একটু কম অনুভূত হয়</t>
  </si>
  <si>
    <t>আমি অবাক হয়েছি যে এতে কৃত্রিম স্বাদ নেই  সব প্রাকৃতিক উপাদান ব্যবহার করা হয়েছে</t>
  </si>
  <si>
    <t>মেকআপ কিটটির আয়না খুবই পরিষ্কার</t>
  </si>
  <si>
    <t>শিশুদের জন্য উপযুক্ত না পুতুলের জন্য ভাল</t>
  </si>
  <si>
    <t>এর স্বাদ এতই সমৃদ্ধ যে আমি প্রতিদিন নতুন করে আবিষ্কার করি</t>
  </si>
  <si>
    <t>বিউটি সোপটি প্রতিদিনের ব্যবহারের জন্য উপযুক্ত</t>
  </si>
  <si>
    <t>অনেক কাজে লাগে তবে কিছুটা সীমাবদ্ধ</t>
  </si>
  <si>
    <t>ভালো চার্জার গ্রেট পণ্য</t>
  </si>
  <si>
    <t>মটরশুটিগুলি পুরনো ছিল এবং তাজা  স্বাদযুক্ত ছিল না</t>
  </si>
  <si>
    <t>বৈদ্যুতিক প্রেসার কুকারের সিলিং রিং দ্রুত শেষ হয়ে যায় চাপ হারায়</t>
  </si>
  <si>
    <t>পণ্য স্বাভাবিক ব্যবহারের অধীনে সহজে ভেঙ্গে</t>
  </si>
  <si>
    <t>সোলার গার্ডেন ফোয়ারা কয়েকদিন পর কাজ বন্ধ করে দেয় পানির প্রবাহ নেই</t>
  </si>
  <si>
    <t>পোশাকটি প্রত্যাশার চেয়ে অনেক বড় ছিল ক্রেতার ফ্রেমে সাঁতার কাটছিল এবং আকৃতির অভাব ছিল</t>
  </si>
  <si>
    <t>অসাধারণ নয় তবে সাধারণত ভালো</t>
  </si>
  <si>
    <t>প্যাকেজিংয়ে সিলের অভাব ছিল পণ্যের অখণ্ডতা আপোস করা হয়েছে</t>
  </si>
  <si>
    <t>দুর্দান্ত জিনিস কিছু টুকরো সেট থেকে অনুপস্থিত থাকতে পারে</t>
  </si>
  <si>
    <t>আধুনিক লুক আছে কিন্তু খুব ফ্যাশনেবল নয়</t>
  </si>
  <si>
    <t>আমি এটা পছন্দ করি কিন্তু বেশি খেয়ে ফেললে শরীর খারাপ করে</t>
  </si>
  <si>
    <t xml:space="preserve">ভালো পেলাম অরজিনালরে মত ঠিক </t>
  </si>
  <si>
    <t>গন্ধটা একটু তীব্র</t>
  </si>
  <si>
    <t>বন্ধুবান্ধব সবাইকেই এটা নেয়ার জন্য বলা যায়</t>
  </si>
  <si>
    <t>খুব সুন্দর</t>
  </si>
  <si>
    <t>সাধারণ প্যাটার্নে কিছু নির্দেশাবলীর অভাব রয়েছে</t>
  </si>
  <si>
    <t xml:space="preserve"> সাউন্ড লিকেজ উল্লেখযোগ্য যা আশেপাশের অন্যদের বিরক্ত করে এবং পাবলিক স্পেসে ব্যবহারের সময় গোপনীয়তার সাথে আপস করে</t>
  </si>
  <si>
    <t>সোপটি ত্বকের জীবাণু দূর করে</t>
  </si>
  <si>
    <t>চায়ের মান ভালো তবে অসাধারণ নয়</t>
  </si>
  <si>
    <t>এটি মেকআপের সামঞ্জস্য বজায় রাখে</t>
  </si>
  <si>
    <t>বৈচিত্র্য খুব বেশি নয়</t>
  </si>
  <si>
    <t>প্যাকেট খুলতেই সুবাসটা ছড়িয়ে পড়ে</t>
  </si>
  <si>
    <t>প্রতিবার এই কফি পান করে আমি অনুভব করি নতুন এক শক্তি</t>
  </si>
  <si>
    <t>স্মার্ট পেট ফিডারটি খাবার দেয় কিন্তু প্রোগ্রামিং করতে চ্যালেঞ্জিং হতে পারে</t>
  </si>
  <si>
    <t>শার্পনারটি গড় মানের</t>
  </si>
  <si>
    <t>কুলান্ট লিকের কোনো সমস্যা নেই এটি পরিবেশবান্ধব ও নিরাপদ</t>
  </si>
  <si>
    <t>ওয়েবক্যাম এবং মাইক্রোফোনের মান খুব ভালো ভিডিও কলে পরিষ্কার ছবি এবং শব্দ পাওয়া যায়</t>
  </si>
  <si>
    <t>শ্যাম্পুর ব্যবহারে চুল বেশ শক্তিশালী হয়ে গেছে</t>
  </si>
  <si>
    <t>ঢিলেঢালা আংটিটা নতুন করে ঠিক করা লাগবে</t>
  </si>
  <si>
    <t>প্যাডেড কম্পার্টমেন্ট থাকা সত্ত্বেও ল্যাপটপ ব্যাগটি ন্যূনতম সুরক্ষা প্রদান করে যার ফলে আমার ডিভাইসটি স্ক্র্যাচ এবং ক্ষতির ঝুঁকিতে পড়ে</t>
  </si>
  <si>
    <t>সোপটি ত্বকের টেক্সচার উন্নত করে</t>
  </si>
  <si>
    <t>নখের বৃদ্ধিতে বাধা দেয় না</t>
  </si>
  <si>
    <t>অসন্তোষজনক কারুশিল্প প্রস্তাবিত নয়</t>
  </si>
  <si>
    <t>পোশাক আরামদায়ক তবে রঙ পছন্দ হয়নি</t>
  </si>
  <si>
    <t>পেইন্টিং সেটে ব্রাশের আকারে বৈচিত্র্যের অভাব ছিল</t>
  </si>
  <si>
    <t xml:space="preserve"> দরজার সীলটি বিকৃত হয় যার ফলে অপারেশন চলাকালীন বাষ্প বেরিয়ে যায়</t>
  </si>
  <si>
    <t>অন্যরা এটি ব্যবহার করেছে তাই আমিও চেষ্টা করতে হয়েছিল</t>
  </si>
  <si>
    <t>চলমান ময়লা সমস্যা জরুরী মনোযোগ প্রয়োজন</t>
  </si>
  <si>
    <t>ব্রাশগুলি দীর্ঘ সময়ের জন্য ধরে রাখতে অস্বস্তিকর ছিল</t>
  </si>
  <si>
    <t>স্ট্যাশনেরি কেসটি অনেক বড় এবং অনেক কিছু রাখা যায়</t>
  </si>
  <si>
    <t>ব্যয়বহুল কিন্তু এটি মূল্যবান</t>
  </si>
  <si>
    <t>এই কুলারটি ঘরকে দ্রুত ঠান্ডা করে</t>
  </si>
  <si>
    <t>সেলফি স্টিকটি সহজেই ব্যবহৃত হয় তবে কিছু সময় সঠিকভাবে সেলফি তুলতে সমস্যা হতে পারে</t>
  </si>
  <si>
    <t xml:space="preserve"> তারটি সহজেই জট পাকিয়ে যায় ব্যবহারের আগে ঘন ঘন উলটানো প্রয়োজন</t>
  </si>
  <si>
    <t>ব্যবহারের সময় স্ক্রিনে চাপ দেওয়া উচিত নয়</t>
  </si>
  <si>
    <t>রঙটি কিছুটা চকচকে</t>
  </si>
  <si>
    <t>পণ্যটি ভালো আপনারা নিসন্দেহে নিতে পারেন</t>
  </si>
  <si>
    <t>মেকআপ কিটটি যেকোনো বয়সের জন্য উপযোগী</t>
  </si>
  <si>
    <t>পকেটে রাখার জন্য সাইজটা ঠিক আছে</t>
  </si>
  <si>
    <t>উচ্চমানের উপকরণ দিয়ে তৈরি</t>
  </si>
  <si>
    <t>কানের দুলগুলোর ডিজাইন এত সুন্দর যে আমি এগুলো খুলতে চাই না</t>
  </si>
  <si>
    <t>কাঁটাছুরি ব্যবহার করা যায় তবে খুব তীক্ষ্ণ নয়</t>
  </si>
  <si>
    <t>পোর্টেবল গ্রিল সমানভাবে গরম করে না অসম রান্না</t>
  </si>
  <si>
    <t xml:space="preserve">  নেকলাইন খুব কম কাঙ্খিত চেয়ে বেশি ত্বক প্রকাশ করে এবং নির্দিষ্ট অনুষ্ঠানের জন্য এটি অনুপযুক্ত করে তোলে</t>
  </si>
  <si>
    <t>ঘরের যেকোনো জায়গায় রাখলেই মানায়</t>
  </si>
  <si>
    <t>কফির মেশিনটি খুব দ্রুত কাজ করে</t>
  </si>
  <si>
    <t>আমি বিশেষভাবে প্লেটগুলির আকার পছন্দ করেছি এগুলি বড় পরিমাণের খাবারের জন্যও পর্যাপ্ত কিন্তু টেবিলে অতিরিক্ত জায়গা নেয় না</t>
  </si>
  <si>
    <t>আপনার ত্বককে করবে তাজা ও সজীব</t>
  </si>
  <si>
    <t>রাতের ঘুমের জন্য এটি অত্যন্ত উপকারী</t>
  </si>
  <si>
    <t>ভ্যালু ফর মানি মোটামুটি</t>
  </si>
  <si>
    <t>মহান পণ্য কিছু সীমাবদ্ধতা সঙ্গে</t>
  </si>
  <si>
    <t>শিশুটি তার মায়ের সাথে রান্নায় সাহায্য করে</t>
  </si>
  <si>
    <t>এটি পুরোপুরি সোজা তবে কোয়ালিটি গড় মানের</t>
  </si>
  <si>
    <t>ফ্রিজের দরজা স্বয়ংক্রিয়ভাবে বন্ধ হয় না দুর্ঘটনাক্রমে এটি খোলা রেখে যাওয়ার ঝুঁকি তৈরি করে</t>
  </si>
  <si>
    <t>অনেক বড় সাইজের ব্যাগটা আমার অনেক ভালো লাগছে এটি আমাকে আরো বেশি জিনিস রাখতে সাহায্য করতে পারে ধন্যবাদ দারাজ এবং সেলার</t>
  </si>
  <si>
    <t xml:space="preserve"> টার্নটেবল মোটর ব্যবহার করার সময় একটি জ্বলন্ত গন্ধ নির্গত করে যা অতিরিক্ত গরম হওয়ার ইঙ্গিত দেয়</t>
  </si>
  <si>
    <t>শেলফটির প্রতিটি স্তর ওজন ধরে রাখতে সক্ষম</t>
  </si>
  <si>
    <t>পাতলা এবং ক্ষীণ ফ্যাব্রিক যা সস্তা এবং অযৌক্তিক মনে হয়</t>
  </si>
  <si>
    <t>ক্রিমটি দ্রুত শোষিত হয় কোনো চটচটে ভাব থাকে না</t>
  </si>
  <si>
    <t>মান মাঝারি ফ্যাব্রিক বলিষ্ঠ</t>
  </si>
  <si>
    <t>এটি বিভিন্ন আকৃতিতে পাওয়া যায় তবে সবগুলো একই রকম দেখতে</t>
  </si>
  <si>
    <t>অসন্তোষজনক গুণমান প্রত্যাশা পূরণ করতে ব্যর্থ</t>
  </si>
  <si>
    <t>অসন্তোষজনক কর্মক্ষমতা</t>
  </si>
  <si>
    <t>ল্যাপটপের পোর্টের অবস্থান খারাপ পেরিফেরাল সংযোগ এবং তারের ব্যবস্থাপনায় বাধা সৃষ্টি করে</t>
  </si>
  <si>
    <t>ডিভাইসটির ডিজাইন আধুনিক ও আকর্ষণীয়</t>
  </si>
  <si>
    <t>আমাকে অবাক করে দিয়েছে যে কীভাবে এই পুতুল আমার মেয়ের কল্পনাশক্তিকে উদ্দীপিত করেছে সে পুতুলের জন্য গল্প বানায় এবং নাটক করে</t>
  </si>
  <si>
    <t>ডিশওয়াশারের র্যাকগুলি মরিচা ধরেছে উপাদেয় খাবারের ক্ষতি করে</t>
  </si>
  <si>
    <t>কিছুটা পণ্য রয়েছে</t>
  </si>
  <si>
    <t>আলমারির পিছনে থাকা ওয়াল মাউন্টিং সিস্টেম খুবই নিরাপদ</t>
  </si>
  <si>
    <t>কম আলোর পারফরম্যান্সের ফলে শোরগোল এবং দানাদার ফটো দেখা যায়</t>
  </si>
  <si>
    <t>দেখতে মোটামুটি ডিজাইনে কোনো নতুনত্ব নেই</t>
  </si>
  <si>
    <t>এই প্যাডটি আমার মাসিকের সময় একটি অপরিহার্য উপকরণ হয়ে উঠেছে</t>
  </si>
  <si>
    <t xml:space="preserve">আপনার সঙ্গে কাজ করে ভালো লাগছে </t>
  </si>
  <si>
    <t>চায়ের মান দেখে বোঝা যায় এটি সর্বোচ্চ মানের পাতা থেকে তৈরি</t>
  </si>
  <si>
    <t>হস্তশিল্প হিসাবে বর্ণনা করা সত্ত্বেও গয়নাগুলি দৃশ্যমান ত্রুটি এবং অপূর্ণতা সহ ঢালু কারিগরের লক্ষণ দেখায়</t>
  </si>
  <si>
    <t>শুধুই উপহার বিশেষ কিছু নয়</t>
  </si>
  <si>
    <t>সারটি কিছুটা কার্যকরী ছিল তবে ফলন আশানুরূপ ছিল না</t>
  </si>
  <si>
    <t>শুর্যাকের ডিজাইন এমন যে একই সাথে অনেক জোড়া জুতা রাখা যায়</t>
  </si>
  <si>
    <t>সেন্সর সেনসিটিভিটি ঠিকঠাক</t>
  </si>
  <si>
    <t>টর্চ লাইটটি একটু বড়</t>
  </si>
  <si>
    <t xml:space="preserve"> উপকারী সাপ্লিমেন্ট</t>
  </si>
  <si>
    <t>ব্রাশের হ্যান্ডেলটি আরামদায়ক কিন্তু দীর্ঘ সময় ধরে ব্যবহার করলে হাতে অল্প ব্যথা হয়</t>
  </si>
  <si>
    <t>চার্জের সময়কাল অপেক্ষাকৃত কম</t>
  </si>
  <si>
    <t>রুমের আকার অনুযায়ী পারফরম্যান্স ভিন্ন হয়</t>
  </si>
  <si>
    <t xml:space="preserve">  তেল আমার ত্বকে একটি চর্বিযুক্ত ফিল্ম রেখে গেছে</t>
  </si>
  <si>
    <t>সোপটির ফর্মুলা খুবই মৃদু</t>
  </si>
  <si>
    <t>এটি মেকআপ ব্লেন্ড করতে সাহায্য করে</t>
  </si>
  <si>
    <t>ছাতাটি মাঝারি আকারের খোলা অবস্থায় প্রায় সেন্টিমিটার ব্যাস</t>
  </si>
  <si>
    <t>প্যাকেজিংটি পান করার নির্দেশনা প্রদান করেনি যার ফলে অসামঞ্জস্যপূর্ণ ফলাফল হয়েছে</t>
  </si>
  <si>
    <t>গ্রেট পণ্য খুব সুন্দর</t>
  </si>
  <si>
    <t>ঘড়িটি সময় দেখার জন্য খুবই সুবিধাজনক</t>
  </si>
  <si>
    <t>খুবই উপভোগ্য</t>
  </si>
  <si>
    <t xml:space="preserve"> ফেস আনলক বৈশিষ্ট্যটি ধীর এবং প্রায়শই ব্যবহারকারীর মুখ চিনতে ব্যর্থ হয়</t>
  </si>
  <si>
    <t>কেসটি আপনার পকেটের জন্য খুব বড় হতে পারে</t>
  </si>
  <si>
    <t>হ্যান্ডেলটি পর্যাপ্ত লম্বা মনে হচ্ছে</t>
  </si>
  <si>
    <t>হ্যান্ডেলটি একটু দীর্ঘ হলে ভালো হতো</t>
  </si>
  <si>
    <t>দামের জন্য ভালো তবে নিখুঁত নয়</t>
  </si>
  <si>
    <t>বাক্সযুক্ত ম্যাকারনি এবং পনির কৃত্রিম পনিরের স্বাদ সহ মসৃণ এবং অতিরিক্ত প্রক্রিয়াজাত ছিল</t>
  </si>
  <si>
    <t xml:space="preserve"> ইমেজ স্টেবিলাইজেশন অকার্যকর যার ফলে ফটো এবং ভিডিও ঝাপসা হয়ে যায়</t>
  </si>
  <si>
    <t>এই স্পিকার ব্যবহার করে আমি আমার প্রিয় পডকাস্টগুলো নতুন করে উপভোগ করছি</t>
  </si>
  <si>
    <t>অনলাইনে যা দেখানো হয়েছে তার সাথে রং মেলে না</t>
  </si>
  <si>
    <t>নিম্নমান উপকরণ দ্রুত অবনতি হয়</t>
  </si>
  <si>
    <t>এটি ভারী লেগেছে</t>
  </si>
  <si>
    <t>গুণমান ভালো মান আমি খুবই আনন্দিত</t>
  </si>
  <si>
    <t>এটি একটি পেশাদারী চেহারা লেগেছে</t>
  </si>
  <si>
    <t>তাজা লেবু ব্যবহার করা হয়েছে তবে কিছুটা অম্লীয় লাগছে</t>
  </si>
  <si>
    <t>রঙের বৈপরীত্য সস্তা দেখায়</t>
  </si>
  <si>
    <t>ফ্যাব্রিকের স্বচ্ছতা বিনয় এবং শালীনতার সাথে আপস করে</t>
  </si>
  <si>
    <t>ছেলেটি প্রতিদিন নিয়মিত ব্যায়াম করে</t>
  </si>
  <si>
    <t>অ্যাসুস আরওজি স্ট্রিক্স জেডই গেমিং ওয়াইফাই  মাদারবোর্ডটি প্রতিশ্রুতিশীল বলে মনে হয়েছিল</t>
  </si>
  <si>
    <t xml:space="preserve"> রান্নার প্রিসেটগুলি সীমিত এবং বিস্তৃত খাবারকে কভার করে না</t>
  </si>
  <si>
    <t>প্রতিটি পিসের জন্য অতিরিক্ত হার্ডওয়্যার দেওয়া আছে</t>
  </si>
  <si>
    <t>স্যুপের মিশ্রণটি সাধারণ</t>
  </si>
  <si>
    <t>আইলাইনার পেন্সিল চোখের পাতায় টেনে নেয় এটি একটি মসৃণ লাইন তৈরি করা চ্যালেঞ্জিং করে তোলে</t>
  </si>
  <si>
    <t>খেলনার চলন্ত অংশগুলি সহজেই ভেঙে যায় এটিকে অচল করে দেয়</t>
  </si>
  <si>
    <t>হ্যান্ডেলটি ন্যূনতম ব্যবহারের পরে বন্ধ হয়ে যায় এটি অকেজো হয়ে যায়</t>
  </si>
  <si>
    <t>প্রতিদিন দেখলেও কখনও পুরনো মনে হয় না</t>
  </si>
  <si>
    <t>সৌরচালিত পথের আলো আলোকিত করে না অন্ধকার পথ</t>
  </si>
  <si>
    <t>ফ্যাব্রিকের পাতলাতা উদ্বেগজনক টিস্যু পেপারের মতো</t>
  </si>
  <si>
    <t>মাল্টিপ্লেক্স বুট স্ক্রিন দ্রুতএবং এটির রেস্পন্স ও অনেক ভালো পেয়েছি এটির রেটিংস দিতে গেলে আমি  দিবো আপনারা নিসন্দেহে নিতে পারেন</t>
  </si>
  <si>
    <t>ডিমার কাজ করে তবে অ্যাপটি ধীর</t>
  </si>
  <si>
    <t>ওজন ঠিক আছে তবে ঋতু অনুযায়ী ব্যবহার করা যায় না</t>
  </si>
  <si>
    <t>দাঁত মাজা সহজ এবং কার্যকর</t>
  </si>
  <si>
    <t>এটি ভালো মানের এবং পরিমাণ তবে কিছু ত্রুটি রয়েছে</t>
  </si>
  <si>
    <t>পেইন্টিং সেটে বিভিন্ন কৌশলের জন্য পর্যাপ্ত ব্রাশ অন্তর্ভুক্ত ছিল না</t>
  </si>
  <si>
    <t>গাড়ির জিপিএস নেভিগেশন সিস্টেম ভুল গন্তব্যের দিকে নিয়ে যায় অবিশ্বস্ত</t>
  </si>
  <si>
    <t>এই পেনসিলটি লেখালেখির জন্য উপযুক্ত ছাত্রছাত্রী থেকে শুরু করে পেশাজীবী সবাই এটি ব্যবহার করতে পারেন</t>
  </si>
  <si>
    <t>ড্রয়ারগুলি মসৃণভাবে খোলা কঠিন অতিরিক্ত শক্তির প্রয়োজন হয় এবং হতাশা সৃষ্টি করে</t>
  </si>
  <si>
    <t>শিশুটি প্রতিদিন নিয়মিত খেলাধুলা করে</t>
  </si>
  <si>
    <t>ঝাঁকানো যায় কিন্তু শব্দ হয়</t>
  </si>
  <si>
    <t>আইশ্যাডো প্যালেটে পিগমেন্টের অভাব রয়েছে দৃশ্যমান রঙের জন্য একাধিক স্তর প্রয়োজন</t>
  </si>
  <si>
    <t>কাঁচটি কিছুটা বেশি স্ক্র্যাচপ্রবণ</t>
  </si>
  <si>
    <t>ইনফ্লেটেবল গদি রাতারাতি ডিফ্লেট হয় ঘুমাতে অস্বস্তিকর</t>
  </si>
  <si>
    <t>পেইন্টিং সেটটিতে একটি ইজেলের মতো প্রয়োজনীয় সরঞ্জামগুলি অনুপস্থিত ছিল</t>
  </si>
  <si>
    <t>রঙ উজ্জ্বল তবে সেলাই ভালো নয়</t>
  </si>
  <si>
    <t>ডিজিটাল ফ্লাওয়ার ফ্রেশনেস মিটারটি তাজা মাপে কিন্তু সব ফুলে কাজ করে না</t>
  </si>
  <si>
    <t>দুখজনক ক্রয় স্থিতিশীলতার অভাব</t>
  </si>
  <si>
    <t>আমার নতুন বইয়ের আলমারি ও প্লাস্টিকের ফুল সত্যিই চমৎকার</t>
  </si>
  <si>
    <t>প্রতিদিন ব্যবহার করা যায় চলে আরকি</t>
  </si>
  <si>
    <t>পেইন্টিং সেটে পর্যাপ্ত মিশ্রণের মাধ্যম অন্তর্ভুক্ত ছিল না</t>
  </si>
  <si>
    <t>পাওয়ার ব্যাঙ্কের পাওয়ার বোতামটি মাঝে মাঝে প্রতিক্রিয়াহীন থাকে এটি চালু বা বন্ধ করা কঠিন করে তোলে</t>
  </si>
  <si>
    <t>কাস্টমার সার্ভিস খুব ভালো সব প্রশ্নের উত্তর পেয়েছি খুব দ্রুত সহায়তা পাওয়া যায়</t>
  </si>
  <si>
    <t>খোলা কন্টেইনার পাওয়া গেছে এর সাথে কারচুপি করা হয়েছে কিনা তা নিশ্চিত নয়</t>
  </si>
  <si>
    <t>এটি ব্যাটারি চালিত তবে ব্যাটারি দ্রুত শেষ হয়ে যায়</t>
  </si>
  <si>
    <t>খুবই ডিপেন্ডেবল জাস্ট ওয়ার্কস গ্রেট</t>
  </si>
  <si>
    <t>পায়াগুলি ক্রসবিম দিয়ে ডিজাইন করা হয়েছে</t>
  </si>
  <si>
    <t>ঘর প্রশস্ত দেখায় তবে অতিরিক্ত প্রশস্ত নয়</t>
  </si>
  <si>
    <t>এই ডিনার সেটটি মোটামুটি কাজ করে কিছু বিশেষ নয়</t>
  </si>
  <si>
    <t xml:space="preserve"> চাকাগুলি খারাপভাবে সারিবদ্ধ যার ফলে এটি টানা হলে একপাশে চলে যায়</t>
  </si>
  <si>
    <t>দাম মোটামুটি ঠিক</t>
  </si>
  <si>
    <t>ত্বকের ফার্মনেস বাড়ায় এই বডি ওয়াশ</t>
  </si>
  <si>
    <t>পুলের ফ্লোটার আকার ঠিক আছে তবে রং ফিকে হয়</t>
  </si>
  <si>
    <t>মেকআপ ব্রাশ দীর্ঘস্থায়ী</t>
  </si>
  <si>
    <t>স্লিপ মোডে এসিটি ধীরে ধীরে তাপমাত্রা বাড়ায় এতে আমার ঘুমের ব্যাঘাত ঘটে না</t>
  </si>
  <si>
    <t>ফলন কিছুটা বৃদ্ধি পেয়েছে তবে সারটির মূল্য নিয়ে চিন্তা আছে</t>
  </si>
  <si>
    <t xml:space="preserve"> ডিসপ্লে প্যানেল সময়ের সাথে সাথে বিবর্ণ হয়ে যায় এটি সেটিংস পড়া কঠিন করে তোলে</t>
  </si>
  <si>
    <t>প্রডাক্ট অরিজিনাল আমার অনেক ভালোলেগেছেযা ভেবেছিলাম তার থেকেও ভালো ছিলপরবর্তীতে আবার নিবো</t>
  </si>
  <si>
    <t>হালকা হাতে ঘষা উচিত</t>
  </si>
  <si>
    <t>খেলনার চলন্ত অংশগুলি কঠোর এবং পরিচালনা করা কঠিন ছিল</t>
  </si>
  <si>
    <t>সৌরচালিত ফাউন্টেন পাম্পের পানির প্রবাহ খুবই দুর্বল ফোয়ারা প্রভাব তৈরি করে না</t>
  </si>
  <si>
    <t>একটি মাউস যা প্রতিটি পয়সা মূল্যবান লজিটেক এমএক্স মাস্টার  এস খুব সুন্দর</t>
  </si>
  <si>
    <t>সোফার কুশনগুলো এত আরামদায়ক যে বসলে উঠতে ইচ্ছে করে না</t>
  </si>
  <si>
    <t>সাশ্রয়ী মূল্যের এবং কার্যকর সমস্ত চাহিদা পূরণ করতে পারে না</t>
  </si>
  <si>
    <t>পিষনটি অসামঞ্জস্যপূর্ণ ছিল যার ফলে অসম নিষ্কাশন হয়েছে</t>
  </si>
  <si>
    <t>ব্যবহারের সময় কোনো অস্বস্তি অনুভব করা হয়নি</t>
  </si>
  <si>
    <t>বক্সড পুডিং মিক্স একটি কৃত্রিম গন্ধের সাথে একটি জেলটিনাস পুডিং তৈরি করে যেখানে ঘরে তৈরি ক্রিমিনেসের অভাব ছিল</t>
  </si>
  <si>
    <t>নকশাটি সাধারণ কিছু নতুন বা আকর্ষণীয় নয়</t>
  </si>
  <si>
    <t>সৌর চালিত আউটডোর থার্মোমিটার ভুল তাপমাত্রা প্রদর্শন করে</t>
  </si>
  <si>
    <t>খোলার আগে প্লেডোটা একটু শক্ত লাগছিল</t>
  </si>
  <si>
    <t>স্কেচপ্যাডের গুণমান ভালো</t>
  </si>
  <si>
    <t>তে সীমিত সংখ্যক রঙের বিকল্প রয়েছে</t>
  </si>
  <si>
    <t>সামান্য অসুবিধাজনক তবে ব্যবস্থাপনা করা যায়</t>
  </si>
  <si>
    <t>ঢাকনাটি কাজ করে তবে খোলার সময় একটু কষ্ট হয়</t>
  </si>
  <si>
    <t>ঘরের মেঝেতে কার্পেটটি খুবই সুন্দরভাবে মানানসই</t>
  </si>
  <si>
    <t>একটু বেশি ঠাণ্ডা তবে পানীয়ের গুণমান ভালো</t>
  </si>
  <si>
    <t>ফ্যানটির সাথে দিন কেটে যাচ্ছে অত্যন্ত সুবিধাজনকভাবে</t>
  </si>
  <si>
    <t>প্যাকেজিং সাধারণ প্লাস্টিক র্যাপে</t>
  </si>
  <si>
    <t>ব্যবহারিক সুবিধা অসাধারণ</t>
  </si>
  <si>
    <t>ভাল কাজ করে না</t>
  </si>
  <si>
    <t>ম্যাসাজ গানটি কাজ করে কিন্তু ব্যাটারি দ্রুত শেষ হয়</t>
  </si>
  <si>
    <t>স্বপরিষ্কার লিটার বক্স সঠিকভাবে বর্জ্য স্কুপ করে না গন্ধ থেকে যায়</t>
  </si>
  <si>
    <t>সোপটি ত্বকের ছিদ্র পরিষ্কার রাখে</t>
  </si>
  <si>
    <t>ইলেকট্রিক স্কুটারের ব্যাটারি দ্রুত মারা যায় স্বল্প পরিসরে</t>
  </si>
  <si>
    <t>ভ্যাকুয়াম সিলারটি খাবার প্যাক করে তবে ব্যাগ খুঁজে পাওয়া কঠিন</t>
  </si>
  <si>
    <t>শিশুদের জন্য ব্যবহারযোগ্য কিন্তু স্বাদ ভালো নয়</t>
  </si>
  <si>
    <t>সাধারণ ডিজাইন কিছু বিশেষ নয়</t>
  </si>
  <si>
    <t>স্মার্ট লাইট সুইচের ইনস্টলেশন নির্দেশাবলী অস্পষ্ট সেট আপ করা কঠিন</t>
  </si>
  <si>
    <t>ত্বকের টোন উন্নত করে এই বডি ওয়াশ</t>
  </si>
  <si>
    <t>চমৎকার কিছু অপূর্ণতা সহ ভালোবাসা পণ্য নিখুঁত নয়</t>
  </si>
  <si>
    <t>শ্যাম্পুটি ব্যবহার করে চুলে যেন নতুন জীবন এসেছে</t>
  </si>
  <si>
    <t>স্বাদ বেশ সাধারণ কিন্তু প্যাকেজিং সুন্দর</t>
  </si>
  <si>
    <t>রান্নাঘরের জন্য এই মিক্সারটি খুব কার্যকর</t>
  </si>
  <si>
    <t>পণ্যটির তীক্ষ্ণ প্রান্ত ছিল যা একটি নিরাপত্তা বিপত্তি তৈরি করে</t>
  </si>
  <si>
    <t>ব্রেসলেটের জন্য কাজ করে তবে ভারী পরিধানে টিকবে না</t>
  </si>
  <si>
    <t>মোবাইলটির র্যাম ম্যানেজমেন্ট অসাধারণ</t>
  </si>
  <si>
    <t>এটি খুবই টেকসই</t>
  </si>
  <si>
    <t>সৌরচালিত ফোনের চার্জার আবহাওয়ারোধী নয় বৃষ্টিতে ক্ষতিগ্রস্ত</t>
  </si>
  <si>
    <t>গাড়ির ম্যাটগুলি টেকসই এবং পরিষ্কার রাখা সহজ</t>
  </si>
  <si>
    <t>আমাদের স্কুলের খেলার মাঠ সবসময় পরিষ্কার থাকে</t>
  </si>
  <si>
    <t>ফ্যানটি বেশ সহজে পরিস্থিতি সম্পর্কে তথ্য সরবরাহ করে</t>
  </si>
  <si>
    <t>বালিশের কাপড়টি একেবারে নরম এবং আরামদায়ক</t>
  </si>
  <si>
    <t>এটি আপনার ভালো লাগতে পারে আমার মোটামুটি ভালো লেগেছে</t>
  </si>
  <si>
    <t>কর্মক্ষমতা সামান্য উন্নত করতে হবে</t>
  </si>
  <si>
    <t>কয়েক মাস ব্যবহারের পর এখনও স্থিতিশীল আছে</t>
  </si>
  <si>
    <t>সীমিত স্থায়িত্ব মানে ঘন ঘন প্রতিস্থাপন প্রয়োজন</t>
  </si>
  <si>
    <t>পণ্যের ইউজার ইন্টারফেসটি অজ্ঞাত এবং নেভিগেট করা কঠিন ছিল</t>
  </si>
  <si>
    <t>রান্নাঘরে ব্যবহার করা যায় কিন্তু উচ্চ তাপমাত্রায় গলে যায়</t>
  </si>
  <si>
    <t>কিটটির প্রতিটি প্রোডাক্ট ব্যবহারে ত্বকে কোনো পার্শ্বপ্রতিক্রিয়া হয় না</t>
  </si>
  <si>
    <t xml:space="preserve">  মাখন ছড়িয়ে দেওয়া কঠিন ছিল এবং একটি চর্বিযুক্ত ফিল্ম ছেড়ে গেছে</t>
  </si>
  <si>
    <t>নতুন ওয়াচটির ডিজাইন অনেক স্টাইলিশ এবং সুন্দর</t>
  </si>
  <si>
    <t>স্মার্ট টায়ার প্রেশার গেজটি চাপ মাপে কিন্তু অ্যাপ লোড হতে কিছুটা সময় নেয়</t>
  </si>
  <si>
    <t>অস্বস্তিকর হ্যান্ডেল নকশা অস্বস্তি কারণ</t>
  </si>
  <si>
    <t>বইয়ের কাভার ডিজাইনটি খুবই আকর্ষণীয়</t>
  </si>
  <si>
    <t>পণ্যটি দিয়ে মেঝে পরিষ্কার করার জন্য তৈরি</t>
  </si>
  <si>
    <t>রঙটি নিরপেক্ষ এবং বিশেষ আকর্ষণ নেই</t>
  </si>
  <si>
    <t>গয়নার চেইনটি অপ্রত্যাশিতভাবে ছিঁড়ে গেল একটি লালিত দুল হারিয়ে আমাকে বিধ্বস্ত করে রেখেছিল</t>
  </si>
  <si>
    <t xml:space="preserve">  স্প্রেতে একটা তীব্র ঘ্রাণ ছিল যা আমার মাথা ব্যাথা করে</t>
  </si>
  <si>
    <t>এই কম্বিনেশন আমার পড়ার কোণটিকে সম্পূর্ণ রূপান্তরিত করেছে</t>
  </si>
  <si>
    <t>বিজ্ঞাপন হিসাবে কাজ করে দারুণ মূল্য</t>
  </si>
  <si>
    <t>কাপগুলো সঠিকভাবে বসে তবে এগুলি সহজে উল্টে যেতে পারে</t>
  </si>
  <si>
    <t>ট্রেটি ক্ষীণ ছিল এবং চাপাত্র এবং কাপের ওজনকে সমর্থন করতে অক্ষম ছিল</t>
  </si>
  <si>
    <t>ডেস্ক ল্যাম্পটি কাজ করে কিন্তু আলো কিছুটা কম মনে হয়</t>
  </si>
  <si>
    <t>মোবাইলটির স্টোরেজ ক্যাপাসিটি যথেষ্ট বেশি</t>
  </si>
  <si>
    <t>প্লেটগুলো মজবুত তবে ব্যবহার করতে একটু কঠিন</t>
  </si>
  <si>
    <t>ত্বকের প্রাকৃতিক সৌন্দর্য বৃদ্ধি করে এই বডি ওয়াশ</t>
  </si>
  <si>
    <t>অপ্রতিরোধ্য উপস্থাপনা পোলিশের অভাব</t>
  </si>
  <si>
    <t>আরামআয়েশকে হার মানা যায় না</t>
  </si>
  <si>
    <t xml:space="preserve"> অন্তর্নির্মিত স্পিকারগুলি একটি গুঞ্জন শব্দ নির্গত করে বিশেষত উচ্চ ভলিউমে</t>
  </si>
  <si>
    <t>কনসিলার প্রয়োগের কয়েক মিনিটের মধ্যেই ছিদ্র হয়ে যায় সূক্ষ্ম রেখায় বসতি স্থাপন করে</t>
  </si>
  <si>
    <t>পেনসিলটির সাইজ একদম পারফেক্ট এটি হাতে ধরে লিখতে খুব আরামদায়ক</t>
  </si>
  <si>
    <t>গেমিং কনসোল গেমপ্লে চলাকালীন প্রায়শই জমে যায় অভিজ্ঞতা নষ্ট করে</t>
  </si>
  <si>
    <t>গল্পের প্লট খুবই চিত্তাকর্ষক</t>
  </si>
  <si>
    <t>মুখের কুয়াশায় অ্যালকোহল থাকে যা ত্বককে শুকিয়ে দেয় এবং টানটানতা ও অস্বস্তি সৃষ্টি করে</t>
  </si>
  <si>
    <t>সিকিউরিটি ক্যামেরা ভালো তবে নির্ভরযোগ্যতা প্রশ্নবিদ্ধ</t>
  </si>
  <si>
    <t>এটি মেকআপ অপচয় কমায়</t>
  </si>
  <si>
    <t>ব্রাশগুলি পরিষ্কার করা কঠিন ছিল রঙ্গক ধরে রাখা</t>
  </si>
  <si>
    <t>কিছুটা হতাশাজনক আরও ভালো হতে পারত</t>
  </si>
  <si>
    <t>জমির জন্য ভাল হলেও ফলনটা তেমন বৃদ্ধি পায়নি</t>
  </si>
  <si>
    <t>উচ্চপ্রযুক্তির আনুষঙ্গিক অত্যাধুনিক বৈশিষ্ট্যগুলি নিয়ে গর্বিত কিন্তু নতুন মডেলগুলি বাজারে আসায় দ্রুত অপ্রচলিত হয়ে পড়ে৷</t>
  </si>
  <si>
    <t>অভ্যন্তরীণ আলো মাঝে মাঝে ঝিকমিক করে যার ফলে ভিতরে দেখতে অসুবিধা হয়</t>
  </si>
  <si>
    <t>হ্যাঁ এটি ইংরেজিতে কাজ করবে তবে সামঞ্জস্যের সমস্যা থাকতে পারে</t>
  </si>
  <si>
    <t>পরিষ্কার করা খুব সহজ</t>
  </si>
  <si>
    <t>ক্যামেরার লেন্সের ক্যাপ অপসারণ করা কঠিন যার ফলে মুহূর্তগুলি ক্যাপচার করতে বিলম্ব হয়৷</t>
  </si>
  <si>
    <t>ক্লোজার মেকানিজম খুব শক্ত এটি খোলা এবং বন্ধ করা কঠিন করে তোলে</t>
  </si>
  <si>
    <t>পণ্যটি ভালো তবে কিছু ব্যবহারকারী সমস্যা অনুভব করেছেন</t>
  </si>
  <si>
    <t>স্মার্ট প্লাগটি ডিভাইস নিয়ন্ত্রণ করে কিন্তু সেটআপ প্রক্রিয়া জটিল</t>
  </si>
  <si>
    <t xml:space="preserve">টুস্টারটি খুব দ্রুত কাজ করে তবে রুটি পোড়াতে কিছু সময় বেশি লাগে </t>
  </si>
  <si>
    <t>ব্যবহারের সময় সতর্কতা অবলম্বন করা উচিত</t>
  </si>
  <si>
    <t>মোকা পটে ব্যবহার করলে মাঝারি স্ট্রেংথের কফি হয়</t>
  </si>
  <si>
    <t>দারুণ কাজ করে যা দরকার ছিল</t>
  </si>
  <si>
    <t>ইলেকট্রনিক টেক্সট ম্যাগনিফায়ারটি লেখা বড় করে তবে স্ক্রীন ছোট</t>
  </si>
  <si>
    <t>প্যাকেজ করা ওয়েফেলগুলি ভিজে গেছে এবং কৃত্রিম স্বাদের সাথে খাস্তার অভাব ছিল</t>
  </si>
  <si>
    <t>অতিরিক্ত সুরক্ষার জন্য দুটি একসাথে ব্যবহার করা যেতে পারে</t>
  </si>
  <si>
    <t>বইটি আমাকে অনেক প্রভাবিত করেছে</t>
  </si>
  <si>
    <t>এটি প্রতিদিন ব্যবহার করা সম্ভব</t>
  </si>
  <si>
    <t>ফোল্ডেবল সানশেডটি রোদ ঠেকায় তবে বাতাসে উড়ে যায়</t>
  </si>
  <si>
    <t>ডাইনিং টেবিলটি পরিবারের সবাইকে নিয়ে খাওয়ার জন্য পারফেক্ট সাইজের</t>
  </si>
  <si>
    <t>নির্দেশাবলী অনুসরণ করা সত্ত্বেও খাবার প্রায়শই অতিরিক্ত সিদ্ধ বা কম রান্না করা হয়</t>
  </si>
  <si>
    <t>গাড়ির মিউজিক সিস্টেমের শব্দ অনেক পরিষ্কার</t>
  </si>
  <si>
    <t>অ্যান্টিফ্রিজ সিরাম ফ্রিজকে নিয়ন্ত্রণ করতে পারেনি এবং আমার চুলকে চর্বিযুক্ত দেখাচ্ছে</t>
  </si>
  <si>
    <t>খেয়ে যেমন মজা পাচ্ছি তেমনি এর গুণগত মানও অসাধারণ</t>
  </si>
  <si>
    <t>ত্বকের কোলাজেন উৎপাদন বাড়ায় এই বডি ওয়াশ</t>
  </si>
  <si>
    <t>চমৎকার ল্যাপটপ অত্যন্ত বাঞ্ছনীয়</t>
  </si>
  <si>
    <t>অনাকর্ষণীয় নকশা রান্নাঘরে এটি একটি চক্ষুশূল করে তোলে</t>
  </si>
  <si>
    <t>অনেক সুস্বাদু তবে স্বাদটা একটু বেশি ঠাণ্ডা</t>
  </si>
  <si>
    <t>দাঁতের স্বাস্থ্য ভালো রাখতে কার্যকর তবে কিছুক্ষেত্রে সামান্য অস্বস্তি হতে পারে</t>
  </si>
  <si>
    <t xml:space="preserve">  স্ক্রাবটিতে কঠোর এক্সফোলিয়েন্ট রয়েছে যা লালভাব এবং জ্বালা সৃষ্টি করে বিশেষ করে সংবেদনশীল ত্বকে</t>
  </si>
  <si>
    <t>এই কানের দুলগুলো পরে আমি নিজেকে অনেক বেশি সুন্দর মনে করি</t>
  </si>
  <si>
    <t>গন্ধ মৃদু এবং আরামদায়ক</t>
  </si>
  <si>
    <t>ফলন ঠিক ছিল তবে সারটির দামের সাথে মানের সম্পর্ক উন্নত হওয়া উচিত</t>
  </si>
  <si>
    <t>মূল্যের সাথে মানের সামঞ্জস্য আছে তবে এটি প্রিমিয়াম পণ্য নয়</t>
  </si>
  <si>
    <t>যোগব্যায়াম ম্যাটের উপাদানটি পিচ্ছিল যার ফলে আমি ভঙ্গি করার সময় ভারসাম্য হারাতে পারি</t>
  </si>
  <si>
    <t>এটির সিলিকনের ক্যাপগুলি পরিবর্তনযোগ্য নয় তবে সাউন্ড কোয়ালিটি খুব ভালো</t>
  </si>
  <si>
    <t>আকার আমার প্রয়োজন অনুযায়ী তবে আরও বড় হলে উপযোগী হত</t>
  </si>
  <si>
    <t>পারফেক্ট ফিট তবে কিছুটা টাইট</t>
  </si>
  <si>
    <t xml:space="preserve">কম প্রাইজে একদম ঠিক আছে সাউন্ড কোয়ালিটি অনেক ভালো </t>
  </si>
  <si>
    <t>ব্রেসলেট কিট তবে কিছু টুকরা অনুপস্থিত ছিল</t>
  </si>
  <si>
    <t>বিভিন্ন ইমোশন দেখানো হয়েছে তবে সরলীকৃত</t>
  </si>
  <si>
    <t>চাদরটির সেলাই খুবই মজবুত এবং নিখুঁত</t>
  </si>
  <si>
    <t>একটি ঝরঝরে চেহারা বজায় রাখার জন্য ঘন ঘন ইস্ত্রি করা প্রয়োজন</t>
  </si>
  <si>
    <t>বাসায় আসা অতিথিদেরও এটি দিয়ে আপ্যায়ন করা যেতে পারে</t>
  </si>
  <si>
    <t xml:space="preserve">চিকিৎসকদের দ্বারা ব্যাপকভাবে সুপারিশকৃত </t>
  </si>
  <si>
    <t>মেকআপ ব্রাশ সৃজনশীলতা বাড়ায়</t>
  </si>
  <si>
    <t>রঙটি নিরপেক্ষ কোনো বিশেষ আকর্ষণ নেই</t>
  </si>
  <si>
    <t>দরিদ্র কারিগর দ্বারা হতাশ</t>
  </si>
  <si>
    <t>পণ্যটির একটি মূল্য রয়েছে যা বিভিন্ন ব্যক্তিদের দ্বারা উপযুক্ত বলে বিবেচিত হতে পারে বা নাও হতে পারে</t>
  </si>
  <si>
    <t>প্রত্যাশার চেয়ে ছোট এবং সমস্ত কানের দুল সঠিকভাবে ফিট নাও করতে পারে</t>
  </si>
  <si>
    <t>পরিষ্কার উজ্জ্বল পর্দা ব্যাটারি জীবন চমৎকার</t>
  </si>
  <si>
    <t>এই আংটির সংগ্রহ অসাধারণ এবং আধুনিক স্টাইলে বানানো হয়েছে</t>
  </si>
  <si>
    <t>তাদের ভালবাসুন কিন্তু কিছু বেশি না</t>
  </si>
  <si>
    <t>নখের আকার বড় দেখাচ্ছে</t>
  </si>
  <si>
    <t>ফোন হোল্ডার ফোন ধরে রাখে তবে গাড়িতে কাঁপে</t>
  </si>
  <si>
    <t>গুণমান এবং দীর্ঘায়ুতে কম পড়ে</t>
  </si>
  <si>
    <t>ত্বকের রিঙ্কেল কমাতে সাহায্য করে এই বডি ওয়াশ</t>
  </si>
  <si>
    <t>স্টিলসিরিজ অ্যাপেক্স প্রো টিকেএল কীগুলি সস্তা মনে হয় প্রচারের মূল্য নয়</t>
  </si>
  <si>
    <t>হেয়ার মাস্ক আমার চুলকে প্রতিশ্রুতি অনুযায়ী হাইড্রেট করেনি এবং এটিকে শুষ্ক এবং ভঙ্গুর বোধ করেছে</t>
  </si>
  <si>
    <t>ওয়াটারপ্রুফ ইরিডারটি পানিতে ব্যবহার করা যায় তবে স্ক্রিন চকচকে</t>
  </si>
  <si>
    <t>টক ওয়ার্কস সেলফি স্টিকএত ভাল কাজ করেছি যে আমি দ্বিতীয়টি কিনেছি</t>
  </si>
  <si>
    <t>দাম বেশি নয় তবে কোয়ালিটি ভালো</t>
  </si>
  <si>
    <t>ব্রাশের বৃষ্টিগুলি নীল ও সাদা রঙের</t>
  </si>
  <si>
    <t>রঙটা প্রত্যাশিত আমার অনেক ভাল লাগছে</t>
  </si>
  <si>
    <t>অতিরিক্ত ব্যবহারে ত্বকের জ্বালা হতে পারে</t>
  </si>
  <si>
    <t>সকালে অফিসে যাওয়ার সময় হঠাৎ বৃষ্টি শুরু হলেও চিন্তা নেই ছাতাটি খুলতেই আমি সম্পূর্ণ শুকনো থাকি</t>
  </si>
  <si>
    <t>শেলফটির ডিজাইন খুবই ব্যবহারকারী বান্ধব</t>
  </si>
  <si>
    <t>অভিযোগ করার আগে পণ্যের বিবরণ পড়া উচিত আরও ভাল হতে পারে</t>
  </si>
  <si>
    <t xml:space="preserve">  জেল আমার ত্বক শুকিয়ে এবং এটি ফ্লেকি করা</t>
  </si>
  <si>
    <t>ব্যাগের সুতোর দৈর্ঘ্য গড় মানের</t>
  </si>
  <si>
    <t>ফসলের ফলন কিছুটা বৃদ্ধি পেয়েছে তবে আগের মতো ফলন পাওয়া যায়নি</t>
  </si>
  <si>
    <t>অসম গরমের ফলে উষ্ণ জল</t>
  </si>
  <si>
    <t>বিভ্রান্তিকর প্যাকেজিং সুরক্ষা ছাড়াই এসেছে</t>
  </si>
  <si>
    <t>মপটি দিয়ে কাজ করার সময় শব্দ কম হয়</t>
  </si>
  <si>
    <t>আইটেম এর বহনযোগ্যতা এর বিশাল নকশা দ্বারা আপস করা হয়েছে</t>
  </si>
  <si>
    <t>পণ্যের কর্মক্ষমতা বিভিন্ন ইউনিট জুড়ে অসামঞ্জস্যপূর্ণ ছিল</t>
  </si>
  <si>
    <t>প্রথম দিকে ভালো পরে কিছু সমস্যা দেখা দিয়েছে</t>
  </si>
  <si>
    <t>হিমায়িত সামুদ্রিক খাবারে মাছের গন্ধ এবং রাবারি টেক্সচার ছিল যা নিম্নমানের নির্দেশ করে</t>
  </si>
  <si>
    <t>বেবি সাউন্ড মেশিনের ভলিউম কন্ট্রোল অনিয়মিত যার ফলে হঠাৎ উচ্চ শব্দ হয়</t>
  </si>
  <si>
    <t>এই গ্লাসটি দেখতে খুব সুন্দর এবং ব্যবহারে টেকসই</t>
  </si>
  <si>
    <t>এটি আমার নতুন প্রিয় বিস্কুট</t>
  </si>
  <si>
    <t>শুধু আমার চাহিদা পূরণ করে না</t>
  </si>
  <si>
    <t>প্যাকেজিং সাধারণ কার্ডবোর্ড বাক্সে</t>
  </si>
  <si>
    <t>সাইকেলের গিয়ার ঘন ঘন স্খলিত হয় গতি বজায় রাখা কঠিন করে তোলে</t>
  </si>
  <si>
    <t>সকল ধরনের ত্বকের জন্য উপযুক্ত এই বডি ওয়াশ</t>
  </si>
  <si>
    <t>বিউটি সোপটি ত্বকের প্রাকৃতিক উজ্জ্বলতা ফিরিয়ে আনে</t>
  </si>
  <si>
    <t>দেয়ালে বসে কি ধরনের জিনিস দিয়েছেন তা নিয়ে অনিশ্চয়তা রয়েছে</t>
  </si>
  <si>
    <t>আমি অত্যন্ত সন্তুষ্ট এই কমফোরটারটিতে</t>
  </si>
  <si>
    <t>পাওয়ার ব্যাঙ্কের ক্ষমতা সূচকটি সঠিক নয় ব্যাটারিটি শুধুমাত্র আংশিকভাবে চার্জ করার সময় সম্পূর্ণ চার্জ দেখায়</t>
  </si>
  <si>
    <t>বন্ধুরা লক্ষ্য করেছে তবে বিশেষ প্রতিক্রিয়া দেখায়নি</t>
  </si>
  <si>
    <t>স্পিকার উচ্চ ভলিউমে বিকৃত শব্দ উৎপন্ন করে স্বচ্ছতা এবং গভীরতার অভাব</t>
  </si>
  <si>
    <t>ব্রণ স্পট চিকিত্সা প্রয়োগের পরে পোড়া এবং দংশন ভালোর চেয়ে বেশি ক্ষতি ঘটায়</t>
  </si>
  <si>
    <t>আমি যা চেয়েছিলাম ঠিক তাই</t>
  </si>
  <si>
    <t>পারফেক্ট সাইজের পুঁতি কিছু অনিয়মিত আকারের</t>
  </si>
  <si>
    <t>ডেলিভারি দ্রুত পেয়েছি অনেক সুন্দর</t>
  </si>
  <si>
    <t>ব্রেসলেটটির মান খুবই ভালো এবং স্টাইলিশ</t>
  </si>
  <si>
    <t>বাড়ির অন্যান্য সাজসজ্জার সাথে সহজেই মিলিয়ে নেওয়া যায়</t>
  </si>
  <si>
    <t>পোর্টেবল প্রোজেক্টর ছবি দেখায় তবে রেজোলিউশন কম</t>
  </si>
  <si>
    <t>ব্যাটারি সারাদিন স্থায়ী হয় যেমন করেই ফোন চালাই না কেন</t>
  </si>
  <si>
    <t>ফ্যাব্রিকের মূল্যহীন গুণমান প্রকাশ পায় জোরহীন এবং দুর্দান্ত সামর্থ্যে কম</t>
  </si>
  <si>
    <t>একটি অদ্ভুত গন্ধ সহ একটি   পেয়েছি অত্যন্ত অফপুটিং</t>
  </si>
  <si>
    <t>লাক্সারি টাচ রয়েছে তবে অতিরিক্ত ব্যয়বহুল নয়</t>
  </si>
  <si>
    <t>এটি মেকআপের সমতা নিশ্চিত করে</t>
  </si>
  <si>
    <t>মেয়েটি তার পরীক্ষায় দারুণ ফল করেছে</t>
  </si>
  <si>
    <t>দুর্দান্ত নয়</t>
  </si>
  <si>
    <t>প্যাকেজিংটি বিভ্রান্তিকর ছিল পণ্যের বৈশিষ্ট্যগুলিকে অতিরঞ্জিত করে</t>
  </si>
  <si>
    <t>আইটেমটির চেহারা ছবিটি থেকে ভিন্ন ছিল ক্রেতাদের বিভ্রান্ত করে</t>
  </si>
  <si>
    <t>লেখকের ভাষা সাবলীল কিন্তু কাহিনীতে নতুনত্বের অভাব রয়েছে</t>
  </si>
  <si>
    <t>ক্যানভাস উপাদানে রাসায়নিকের তীব্র গন্ধ ছিল</t>
  </si>
  <si>
    <t>ব্যবহার করা যায় কিন্তু আমি এর জন্য আরও বেশি প্রত্যাশা করেছিলাম</t>
  </si>
  <si>
    <t>টুথব্রাশের হেডটি মসৃণভাবে পরিষ্কার করে</t>
  </si>
  <si>
    <t>ইনডোর ইউনিটের ডিজাইন খুব স্লিম এটি আমার ঘরের দেয়ালে সুন্দর মানিয়ে গেছে</t>
  </si>
  <si>
    <t>দামটি ঠিক আছে তবে এটি অসাধারণ কিছু নয়</t>
  </si>
  <si>
    <t>ক্রমাগত ক্র্যাশ এবং জমাট বাঁধার সাথে মোকাবিলা করা হতাশাজনক</t>
  </si>
  <si>
    <t>টুথপেস্টের দাম মধ্যম পর্যায়ের</t>
  </si>
  <si>
    <t>জুতো পরিষ্কার করার ব্রাশটি খুবই কার্যকর</t>
  </si>
  <si>
    <t>রেঞ্জ অব অপারেশন ভালো</t>
  </si>
  <si>
    <t>দুখজনক ক্রয় অস্থির নির্মাণ</t>
  </si>
  <si>
    <t>হতাশাজনক উপহার ময়লা দ্বারা ক্ষতিগ্রস্ত</t>
  </si>
  <si>
    <t>গরম হওয়ার পর শব্দ কমে যায়</t>
  </si>
  <si>
    <t>দুটি স্তর প্রয়োগ করতে হয়</t>
  </si>
  <si>
    <t>আইটেমটির সমাপ্তি রুক্ষ এবং অসম ছিল</t>
  </si>
  <si>
    <t>বইয়ের আলমারিটির দরজার চারপাশে থাকা রাবার সীল ধুলো ঢোকা প্রতিরোধ করে</t>
  </si>
  <si>
    <t>স্ক্রিনে ডেড পিক্সেল ছিল যা প্লেব্যাকের সময় লক্ষণীয় কালো দাগ তৈরি করে</t>
  </si>
  <si>
    <t>স্মার্ট মিররের টাচস্ক্রিন প্রতিক্রিয়াশীল নয় বৈশিষ্ট্যগুলি অ্যাক্সেস করতে পারে না৷</t>
  </si>
  <si>
    <t>টর্চ লাইটের দাম কিছুটা বেশি মনে হয়</t>
  </si>
  <si>
    <t>এটি সঠিকভাবে কাজ করছে না তবে কিছুটা কাজ করছে</t>
  </si>
  <si>
    <t>আমার দ্বিতীয় জুটি</t>
  </si>
  <si>
    <t>ঘাড় সেভার উন্নত করা যেতে পারে</t>
  </si>
  <si>
    <t>স্কুলের খেলার মাঠে নতুন সরঞ্জাম এসেছে</t>
  </si>
  <si>
    <t>কনসিলার সারা দিন অক্সিডাইজ করে ত্বকে কমলা হয়ে যায়</t>
  </si>
  <si>
    <t>ব্যাগের হ্যান্ডেলটি খুবই মজবুত</t>
  </si>
  <si>
    <t>প্রোডাক্ট সাধারণ</t>
  </si>
  <si>
    <t>নিয়মিত ব্যবহারে ক্ষীণ কব্জা সহজেই ভেঙে যায়</t>
  </si>
  <si>
    <t>গাড়ির সিট বেল্টটি নিরাপত্তার জন্য উপযুক্ত</t>
  </si>
  <si>
    <t>এটি ছোট শিশুদের জন্য খেলার উপযোগী নয় গিলতে পারে</t>
  </si>
  <si>
    <t>খেলনার জয়েন্টগুলি আলগা ছিল যার ফলে এটি ভেঙে পড়েছিল</t>
  </si>
  <si>
    <t>এটি প্রতিদিনের ব্যবহারের জন্য উপযুক্ত</t>
  </si>
  <si>
    <t>ব্লুটুথ কানেকশন খুব দ্রুত এবং নির্ভরযোগ্য কখনো বিচ্ছিন্ন হয় না</t>
  </si>
  <si>
    <t>এটি বিভিন্ন কৌশলে ব্যবহার করা যায়</t>
  </si>
  <si>
    <t>কিছুটা দরকারী কিছুটা খারাপ</t>
  </si>
  <si>
    <t>এই চা পান করে আমার শরীর ও মন তাজা হয়ে ওঠে</t>
  </si>
  <si>
    <t>এটি টেকসই</t>
  </si>
  <si>
    <t>এটা ভালো তবে আরও ভালো হতে পারত</t>
  </si>
  <si>
    <t>পোশাকের রূপকে ছবিতে এবং বাস্তবতায় অন্তর মিল নেই</t>
  </si>
  <si>
    <t>দুলগুলো আমার চেহারাকে পুরোপুরি বদলে দিয়েছে আমি এগুলো পরে নিজেকে আত্মবিশ্বাসী মনে করি</t>
  </si>
  <si>
    <t>ফ্যাব্রিকের টেক্সচার প্লাস্টিক এবং কৃত্রিম মনে হয় প্রত্যাশিত আরাম এবং কোমলতা প্রদান করতে ব্যর্থ হয়</t>
  </si>
  <si>
    <t>শর্টসটি ঠিক আছে</t>
  </si>
  <si>
    <t>নেটের সুতাগুলো মজবুত তবে সেটআপ করতে সময় লাগে</t>
  </si>
  <si>
    <t>পণ্য ঠিক আছে মোটামুটি</t>
  </si>
  <si>
    <t>ব্রেসলেটের জন্য স্ট্রেচেবল স্ট্রিংটি বেশ মজবুত</t>
  </si>
  <si>
    <t>রঙের গভীরতা যথেষ্ট হবে আশা করা যায়</t>
  </si>
  <si>
    <t>খেলনার পেইন্টটি সহজেই চিপ করে যাচ্ছে ফলে খালি প্লাস্টিক উন্মুক্ত হচ্ছে</t>
  </si>
  <si>
    <t>এর আগে অনেক স্পিকার ব্যবহার করেছি কিন্তু এটি সবচেয়ে ভালো</t>
  </si>
  <si>
    <t>ব্যবহার করার সময় মাঝে মাঝে ঝামেলা হয়</t>
  </si>
  <si>
    <t>ডিজিটাল নোট টেকার টেবলেটটি লেখা সংরক্ষণ করে কিন্তু স্ক্রিনের আকার ছোট</t>
  </si>
  <si>
    <t xml:space="preserve">  ডিজাইনে সামঞ্জস্যের অভাব রয়েছে অমিল নিদর্শন এবং seams সহ</t>
  </si>
  <si>
    <t>বৈদ্যুতিক এয়ার পাম্পের অগ্রভাগ সহজেই ভেঙ্গে যায় বাতাস বের করে</t>
  </si>
  <si>
    <t>আমার মাউন্টেন বাইকের জন্য পারফেক্ট</t>
  </si>
  <si>
    <t>পোশাকটি গ্রহণযোগ্য লেগেছে</t>
  </si>
  <si>
    <t>প্রতিটি পিসের কোণগুলো সুন্দরভাবে গোলাকৃতি করা যা নিরাপত্তা বাড়ায়</t>
  </si>
  <si>
    <t>ডিজাইনটি সুন্দর তবে স্ট্র্যাপ কিছুটা কঠিন মনে হয়েছে</t>
  </si>
  <si>
    <t xml:space="preserve">এমনকি অনেক ধোয়ার পরও এর রঙ একই রকম থাকে </t>
  </si>
  <si>
    <t>এই বডি ওয়াশ ব্যবহারে আপনি অনুভব করবেন প্রাণবন্ত</t>
  </si>
  <si>
    <t>একটি আবশ্যক আরও ভাল হতে পারে</t>
  </si>
  <si>
    <t>বক্সযুক্ত পাস্তা ছিল আঠালো এবং অতিরিক্ত রান্না করা একটি স্টার্চি অপরূপ স্বাদের সাথে</t>
  </si>
  <si>
    <t>দারুণ রাডার ডিটেক্টর</t>
  </si>
  <si>
    <t>স্পীকারগুলি ছোট সাউন্ড কোয়ালিটি তৈরি করে গভীরতা এবং সমৃদ্ধির অভাব</t>
  </si>
  <si>
    <t>এই ডিনার সেটের সাথে আসা ডেজার্ট প্লেটগুলি খুবই সুন্দর এগুলি আমার মিষ্টি পরিবেশনকে আরও আকর্ষণীয় করে তোলে</t>
  </si>
  <si>
    <t>বুকশেলফটির রঙ খুবই আকর্ষণীয়</t>
  </si>
  <si>
    <t>কাগজের পিছনে ব্র্যান্ডের নাম ছাপা আছে</t>
  </si>
  <si>
    <t>সারটি ফলন কিছুটা বৃদ্ধি করেছে তবে অনেকটা উন্নতি দেখা যায়নি</t>
  </si>
  <si>
    <t>এতে কার্যকরী এবং পরিষ্কার প্রান্ত রয়েছে</t>
  </si>
  <si>
    <t>চা সেটটি খারাপভাবে তৈরি করা হয়েছিল গ্লেজটিতে দৃশ্যমান ত্রুটি ছিল</t>
  </si>
  <si>
    <t>গহনা তৈরির জন্য উপযুক্ত কিছু টুকরো অনুপস্থিত</t>
  </si>
  <si>
    <t>নোংরা পুতুল উপভোগকে হ্রাস করে পুঙ্খানুপুঙ্খভাবে পরিষ্কার করা প্রয়োজন</t>
  </si>
  <si>
    <t>দাম কম কিন্তু মান সাধারণ</t>
  </si>
  <si>
    <t xml:space="preserve">  ক্লোজার মেকানিজম ক্ষীণ এবং নিরাপদে বেঁধে যায় না</t>
  </si>
  <si>
    <t>আইটেম নিরাপত্তা মান পূরণ করেনি</t>
  </si>
  <si>
    <t>এটি মেকআপ লুকের সামঞ্জস্য বাড়ায়</t>
  </si>
  <si>
    <t>টুথপেস্টের ফর্মুলা সাধারণ</t>
  </si>
  <si>
    <t>নিম্ন মানের জং ধরা স্ক্রু দূরে থাকুন</t>
  </si>
  <si>
    <t>লিপস্টিকের বুলেট ক্ষীণ এবং প্রয়োগের সময় সহজেই ভেঙে যায়</t>
  </si>
  <si>
    <t>বাক্সটিতে রঙের নাম লেখা আছে যা শিক্ষামূলক</t>
  </si>
  <si>
    <t>কফি মেশিনের ক্যারাফে ফুটো কাউন্টারটপে কফি ছড়িয়ে পড়ে</t>
  </si>
  <si>
    <t xml:space="preserve">  স্ক্রাব আমার ত্বককে জ্বালাতন করে এবং ছোট ছোট কাটার কারণ হয়ে দাঁড়ায়</t>
  </si>
  <si>
    <t>পোশাকটিতে একটি সস্তা   বেল্ট ছিল যা শুধুমাত্র একটি ব্যবহারের পরে ভেঙে যায় এটিকে অকেজো করে দেয়</t>
  </si>
  <si>
    <t>এটি কিছুটা ভালো</t>
  </si>
  <si>
    <t>নেতিবাচক শক্তি দূর করে কিনা নিশ্চিত নয়</t>
  </si>
  <si>
    <t>পুনব্যবহারযোগ্য জলের বোতলের ক্যাপটি ফাটল যার ফলে ছিটকে পড়ে এবং ফুটো হয়ে যায়</t>
  </si>
  <si>
    <t>বোতলটা পকেটে রাখা কিছুটা অস্বস্তিকর</t>
  </si>
  <si>
    <t>নতুন মোবাইলের ডিজাইন খুবই আধুনিক</t>
  </si>
  <si>
    <t>ফিটনেস ব্যান্ডের টাচস্ক্রিন ঠিক আছে তবে টেকসই নয়</t>
  </si>
  <si>
    <t>এই সারটি পরিবেশবান্ধব তবে ফলন আগের তুলনায় খুব বেশি বেড়ে যায়নি</t>
  </si>
  <si>
    <t>পেইন্টিং সেটে রঙের মিশ্রণের বিষয়ে যথেষ্ট তথ্য অন্তর্ভুক্ত ছিল না</t>
  </si>
  <si>
    <t xml:space="preserve"> পাওয়ার কর্ডটি খুব পুরু এবং নমনীয় ছিল যা আসবাবের পিছনে পথ করা কঠিন করে তুলেছিল</t>
  </si>
  <si>
    <t>এর স্বাদ এতই সমৃদ্ধ যে আমি কখনও দুধ বা চিনি যোগ করি না</t>
  </si>
  <si>
    <t>বিশাল নকশা খুব বেশি  জায়গা নিয়েছে</t>
  </si>
  <si>
    <t>ফ্যাব্রিক পাতলা এবং দেখতে মাধ্যমে</t>
  </si>
  <si>
    <t>সংযোগের সমস্যাগুলি এই পণ্যটিকে জর্জরিত করে এটিকে অবিশ্বস্ত করে তোলে</t>
  </si>
  <si>
    <t>সবাইকে এটি ব্যবহার করতে বলব</t>
  </si>
  <si>
    <t>প্রতিবার দেখলে নতুন সৌন্দর্য খুঁজে পাওয়া যায়</t>
  </si>
  <si>
    <t>গানের প্রতিটি সুর এত স্পষ্ট যে মনে হয় শিল্পীরা যেন সামনেই দাঁড়িয়ে গাইছেন</t>
  </si>
  <si>
    <t>চাসেটের টুকরোগুলো চিপ করে আঁচড়ে ফেলা হয়েছে দেখা যাচ্ছে জীর্ণ হয়ে গেছে</t>
  </si>
  <si>
    <t>বাচ্চারা ধরতে পারে তবে হাত থেকে পিছলে যেতে পারে</t>
  </si>
  <si>
    <t>আগের অর্ডারগুলি ভাল অবস্থায় এসেছে এই অভিজ্ঞতাকে অপ্রত্যাশিত করে তুলেছে</t>
  </si>
  <si>
    <t>উচ্চ ISO সেটিংসে অত্যধিক শব্দ চিত্রের গুণমানকে হ্রাস করে বিশেষ করে কম আলোর অবস্থায়</t>
  </si>
  <si>
    <t>খুবই টেকসই এবং দীর্ঘস্থায়ী পরিবারের সবার জন্য ব্যবহার উপযোগী</t>
  </si>
  <si>
    <t>শরীরের ধোয়ার সুগন্ধ খুব শক্তিশালী এবং কৃত্রিম ছিল আমার মাথা ব্যাথা করে</t>
  </si>
  <si>
    <t>ঈদের আগে অর্ডার করলে ভালো না হলে শুকনো প্লেডো আসতে পারে</t>
  </si>
  <si>
    <t>প্লেটের উপকরণ খুবই মানসম্পন্ন এবং টেকসই</t>
  </si>
  <si>
    <t>হ্যান্ডেলগুলোর ডিজাইন ও মান অত্যন্ত উচ্চমানের</t>
  </si>
  <si>
    <t>ঠোঁটের গ্লস আঠালো এবং চটচটে সারা দিন চুল এবং ধ্বংসাবশেষ আকর্ষণ করে</t>
  </si>
  <si>
    <t>পলিশ রিমুভার দিয়ে অপসারণ করা যায়</t>
  </si>
  <si>
    <t>দামের তুলনায় মান মোটামুটি</t>
  </si>
  <si>
    <t>অত্যন্ত বাঞ্ছনীয় অনেক ভাল দামে পেয়েছি</t>
  </si>
  <si>
    <t>কনসার্টের জন্য যথেষ্ট ভাল</t>
  </si>
  <si>
    <t>শেলফটির প্রতিটি স্তর খুবই মজবুত এবং টেকসই</t>
  </si>
  <si>
    <t>চুলের তেল আমার চুলকে চিকন করে তুলেছে এবং ওজন কমছে</t>
  </si>
  <si>
    <t>দরিদ্র প্যাকেজিং ক্ষতিগ্রস্থ বই হতাশাজনক বিতরণ</t>
  </si>
  <si>
    <t>এই সেটের সাথে আসা কাপগুলি চমৎকার এগুলি হাতে ধরা আরামদায়ক এবং গরম পানীয় পান করার জন্য নিখুঁত</t>
  </si>
  <si>
    <t>একটি মহান মূল্য জন্য প্রকৃত উচ্চ গতির চার্জার</t>
  </si>
  <si>
    <t>মাঝারি আকারের টর্চ লাইট</t>
  </si>
  <si>
    <t>বৈদ্যুতিক কেটলির হাতলটি আলগা ঢালার সময় অস্থির বোধ করে</t>
  </si>
  <si>
    <t xml:space="preserve">  হ্যান্ডলগুলি খারাপভাবে শক্তিশালী করা হয়েছে এবং মূল শরীর থেকে দূরে ছিঁড়তে শুরু করেছে</t>
  </si>
  <si>
    <t>টিভি ইউনিটে ক্যাবল ম্যানেজমেন্ট সিস্টেম আছে</t>
  </si>
  <si>
    <t>ভাল সুরক্ষা কভারেজ তবে নির্ভরযোগ্যতা কিছুটা সীমিত হতে পারে</t>
  </si>
  <si>
    <t>বিভিন্ন উৎসবে ঘর সাজানোর জন্য পারফেক্ট</t>
  </si>
  <si>
    <t>কাঠের ফিনিশিং অত্যন্ত সুন্দর ও মসৃণ</t>
  </si>
  <si>
    <t>সহজে পরিষ্কার করা যায় কিন্তু আঁচড় পড়ে সহজেই</t>
  </si>
  <si>
    <t>সেটের সাথে আসা স্টোরেজ ব্যাগটি খুবই সুবিধাজনক এটি বালিশগুলি পরিষ্কার ও সংগঠিত রাখতে সাহায্য করে</t>
  </si>
  <si>
    <t>পেইন্টব্রাশগুলি খুব শক্ত ছিল মিশ্রন কঠিন করে তুলেছিল</t>
  </si>
  <si>
    <t>পকেট লেজার ডিস্ট্যান্স মিটার দূরত্ব মাপে তবে সূর্যের আলোতে অস্পষ্ট হয়</t>
  </si>
  <si>
    <t>এই এসির ডিজাইন খুবই আধুনিক ও সুন্দর এটি আমার ঘরের সৌন্দর্য বাড়িয়েছে</t>
  </si>
  <si>
    <t>এটি সাধারণ প্যাডের সমান কার্যকর</t>
  </si>
  <si>
    <t>স্টাইলিশ পোশাক কিন্তু আরামদায়ক নয়</t>
  </si>
  <si>
    <t>ল্যাপটপের স্ক্রিন মাঝে মাঝে ঝিকিমিকি করছে যার ফলে চোখের চাপ পড়ছে</t>
  </si>
  <si>
    <t>প্যাকেজ করা সুশিটি শুকনো ছিল এবং স্বাদের অভাব ছিল তাজা সুশির মতো কিছুই স্বাদ পায়নি</t>
  </si>
  <si>
    <t>চায়ের পাতার আকার মাঝারি</t>
  </si>
  <si>
    <t>এটি আমার কাছে খুব ভাল একটি পণ্য</t>
  </si>
  <si>
    <t>সুস্বাদু তবে অনেক ঘন কিছুটা হালকা হলে ভালো হতো</t>
  </si>
  <si>
    <t>কাজ করে তবে খুব ভাল নয়</t>
  </si>
  <si>
    <t>সহজ তবে ব্যতিক্রমী নয়</t>
  </si>
  <si>
    <t xml:space="preserve">আমার অনেক অনেক অনেক ভাল লেগেছে তালপাখা </t>
  </si>
  <si>
    <t>গন্ধ দুর্বল এবং পাতলা ছিল এমনকি যখন পূর্ণ শক্তিতে তৈরি করা হয়েছিল</t>
  </si>
  <si>
    <t>আনন্দদায়ক অভিজ্ঞতা কিছু ছোটখাটো অসুবিধা হয়</t>
  </si>
  <si>
    <t>নতুন মোবাইলের ক্যামেরায় ছবি তুলতে অনেক ভালো লাগে</t>
  </si>
  <si>
    <t>দেখতে মোটামুটি তবে এতে বিশেষ কিছু নেই</t>
  </si>
  <si>
    <t>বেশ ভালো কিন্তু কিছু ক্ষেত্রে উন্নতি দরকার</t>
  </si>
  <si>
    <t>গন্ধটি একটি নির্দিষ্ট সময়ের মধ্যে উধাও হয়ে যায়</t>
  </si>
  <si>
    <t>দাম অনুযায়ী এই হেডফোনগুলি ভাল মানের তবে ত্রুটি মুক্ত নয়</t>
  </si>
  <si>
    <t xml:space="preserve">ব্যক্তিগত মতামত অনেক সুন্দর </t>
  </si>
  <si>
    <t>স্ক্রিন পরিষ্কার করে তবে কীবোর্ডে কম কার্যকর</t>
  </si>
  <si>
    <t>পোশাকটির কাটিং খুবই নিখুঁত</t>
  </si>
  <si>
    <t>চা সেটের নকশা ছিল অপ্রীতিকর এবং পুরানো</t>
  </si>
  <si>
    <t>সর্বনিম্ন ব্যবহারের পরে পরিধান এবং টিয়ার অগ্রহণযোগ্য</t>
  </si>
  <si>
    <t>মাঝে মাঝে কিছুটা সংগ্রাম করতে হয় তবে এটি ঠিক আছে</t>
  </si>
  <si>
    <t>সারটি সাশ্রয়ী কিন্তু ফলন তেমন আশানুরূপ ছিল না</t>
  </si>
  <si>
    <t>চুলে প্রাকৃতিক উজ্জ্বলতা ফিরিয়ে দেয় এই শ্যাম্পু</t>
  </si>
  <si>
    <t>নিজেকে দেখা যায় তবে অতি স্পষ্ট নয়</t>
  </si>
  <si>
    <t>বোতলটি মিলিলিটার ধারণক্ষমতা সম্পন্ন নীল রঙে</t>
  </si>
  <si>
    <t>ওয়ার্ডরোবের ভিতরে ট্রাউজার হ্যাঙ্গার আছে</t>
  </si>
  <si>
    <t>জোরালো আলোতে উপযুক্ত নাও হতে পারে</t>
  </si>
  <si>
    <t>বিছানার চাদরটি খুবই সুন্দরভাবে প্যাকেজিং করা হয়েছিল যা উপহারের জন্যও উপযুক্ত</t>
  </si>
  <si>
    <t>স্কুলের খেলার মাঠটি অনেক বড় এবং সুন্দর</t>
  </si>
  <si>
    <t>মোজা কিছুটা আরামদায়ক তবে অসাধারণ নয়</t>
  </si>
  <si>
    <t>এটি মেকআপের নিখুঁততা নিশ্চিত করে</t>
  </si>
  <si>
    <t>অর্থের মূল্য ঠিক আছে একটি সতর্কতা সহ</t>
  </si>
  <si>
    <t>সেরা জিনিসগুলি ছোট প্যাকেজগুলিতে আসে</t>
  </si>
  <si>
    <t>তাই স্মার্ট এবং সহজ কিন্তু সব রিং মাপ মাপসই নাও হতে পারে</t>
  </si>
  <si>
    <t>রাজমিস্ত্রির দেওয়ালে শার্পনার মাউন্ট করা যাচ্ছে না</t>
  </si>
  <si>
    <t>একটি স্ট্যান্ড অপশন অন্তর্ভুক্ত রয়েছে সাথে</t>
  </si>
  <si>
    <t>বইয়ের বাঁধাই খুব মজবুত এবং মানসম্পন্ন</t>
  </si>
  <si>
    <t>ত্রুটিপূর্ণ স্বয়ংক্রিয় শাটঅফ বৈশিষ্ট্য বিজ্ঞাপন হিসাবে নিযুক্ত হতে ব্যর্থ হয়েছে</t>
  </si>
  <si>
    <t>ত্বকের অসমতা দূর করে এই বডি ওয়াশ</t>
  </si>
  <si>
    <t>টিউবটি হাতে ধরা আরামদায়ক এবং নিয়ন্ত্রণ করা সহজ</t>
  </si>
  <si>
    <t>সাশ্রয়ী মূল্যের এবং প্রায় সামঞ্জস্যপূর্ণ কিন্তু বেশ নিখুঁত নয়</t>
  </si>
  <si>
    <t>মেকআপ কিটটির প্রতিটি আইটেম ব্যবহারে সহজ</t>
  </si>
  <si>
    <t>ব্যবহারের পর ধুয়ে শুকিয়ে রাখা উচিত হবে</t>
  </si>
  <si>
    <t>আমাদের স্কুলের খেলাধুলার সময় অনেক মজা হয়</t>
  </si>
  <si>
    <t>ক্ষীণ এবং খারাপভাবে তৈরি বোধ করে</t>
  </si>
  <si>
    <t xml:space="preserve">  স্প্রেতে একটি সিন্থেটিক কৃত্রিম গন্ধ রয়েছে যা অত্যধিক শক্তিশালী এবং মাথাব্যথা সৃষ্টি করে</t>
  </si>
  <si>
    <t>জুতোর ফিতাগুলো টেকসই তবে রঙ পছন্দ হয়নি</t>
  </si>
  <si>
    <t xml:space="preserve">    বাকলগুলি ক্ষীণ এবং ভাঙ্গার প্রবণ নিরাপত্তার সাথে আপস করে</t>
  </si>
  <si>
    <t>পাজল ম্যাটটি পাজল করতে সাহায্য করে তবে রোল করা কঠিন</t>
  </si>
  <si>
    <t>এই কানের দুলগুলো আমার সাজগোজের একটি অপরিহার্য অংশ হয়ে উঠেছে</t>
  </si>
  <si>
    <t>বিভ্রান্তিকর প্যাকেজিং শ্যাম্পু এবং কন্ডিশনার পরিবর্তে দুটি শ্যাম্পু পেয়েছি</t>
  </si>
  <si>
    <t xml:space="preserve"> ওয়্যারলেস সিগন্যাল আশেপাশের ইলেকট্রনিক ডিভাইসগুলি থেকে হস্তক্ষেপের প্রবণতা রয়েছে যার ফলে মাঝে মাঝে সংযোগ সমস্যা দেখা দেয়</t>
  </si>
  <si>
    <t>হ্যান্ডেলটি পিছলে যাওয়া প্রতিরোধের জন্য ডিজাইন করা হয়েছে</t>
  </si>
  <si>
    <t>ব্যাগের সেলাই মজবুত তবে জায়গা একটু কম</t>
  </si>
  <si>
    <t>একটি প্যাকেজে কিছু বৈচিত্র্য আছে কিন্তু বিকল্পের সংখ্যা সীমিত</t>
  </si>
  <si>
    <t>ব্যবহার করা কিছুটা সময়সাপেক্ষ হতে পারে</t>
  </si>
  <si>
    <t>গন্ধটি খুব মৃদু ছিল এমনকি দীর্ঘায়িত খাড়ার সাথেও সবেমাত্র বোঝা যায়</t>
  </si>
  <si>
    <t>দরিদ্রমানের উপকরণ সময়ের সাথে দ্রুত ক্ষয়প্রাপ্ত হয়</t>
  </si>
  <si>
    <t>ক্যাপটি আরামদায়ক তবে রোদ থেকে সুরক্ষা যথেষ্ট নয়</t>
  </si>
  <si>
    <t>আইটেম এর কার্যকারিতা অসঙ্গত ছিল</t>
  </si>
  <si>
    <t>প্রত্যাশার চেয়ে ছোট কিন্তু ভাল অনেক</t>
  </si>
  <si>
    <t>প্রতিটি ড্রয়ার ও ক্যাবিনেট মসৃণভাবে খোলে ও বন্ধ হয়</t>
  </si>
  <si>
    <t>প্রতিদিন দেখে দেখে ফুলের প্রতি ভালোবাসা বাড়ে</t>
  </si>
  <si>
    <t>শেলফটির ডিজাইন খুবই ফ্যাশনেবল এবং মডার্ন</t>
  </si>
  <si>
    <t>ইলেকট্রনিক স্নোরিং স্টপারটি নাক ডাকা বন্ধ করে তবে পরা অস্বস্তিকর</t>
  </si>
  <si>
    <t>মান গড়পড়তা</t>
  </si>
  <si>
    <t>চমৎকার ভিডিও কোয়ালিটি সব চাহিদা পূরণ নাও করতে পারে</t>
  </si>
  <si>
    <t>চালকের সব কিছুই ভাল কিন্তু তার আচরনে সমস্যা আছে</t>
  </si>
  <si>
    <t>শ্যাম্পুটি চুলকে অনেক কোমল ও নরম করে তোলে</t>
  </si>
  <si>
    <t>বুকশেলফটি আমার সমস্ত বই ও শোপিস ধারণ করতে পারছে</t>
  </si>
  <si>
    <t>মোড়ানো সহজ এবং আরামদায়ক</t>
  </si>
  <si>
    <t>অনুভূতি হয়েছে তবে বিশেষ কিছু নয়</t>
  </si>
  <si>
    <t xml:space="preserve">  পলিশ খুব ঘষিয়া তুলিয়া ফেলিতে সক্ষম এবং আমার ত্বক লাল এবং বিরক্ত বাকি</t>
  </si>
  <si>
    <t>ইলেকট্রনিক ওয়াইন এয়ারেটর পম্পটি ওয়াইন মিশ্রিত করে তবে আওয়াজ বেশি করে</t>
  </si>
  <si>
    <t>নতুন বইটির প্রতিটি অধ্যায় খুবই আকর্ষণীয়</t>
  </si>
  <si>
    <t xml:space="preserve"> অভ্যন্তরীণ আলো এলোমেলোভাবে জ্বলছে এবং বন্ধ করছে একটি তারের সমস্যা নির্দেশ করে</t>
  </si>
  <si>
    <t>সংগত হতাশা প্রত্যাশা পূরণ করতে ব্যর্থ</t>
  </si>
  <si>
    <t>ক্যানভাসের উপাদান ভিজলে কুঁচকানোর প্রবণতা ছিল</t>
  </si>
  <si>
    <t>সময়ের সাথে সাথে আরও আপন হয়ে ওঠে</t>
  </si>
  <si>
    <t>ঘুরানো যায় তবে খুব আস্তে ঘোরে</t>
  </si>
  <si>
    <t>সহজে ধুয়ে ফেলা যায় পরিষ্কার রাখা সহজ</t>
  </si>
  <si>
    <t>মোবাইলটির সফটওয়্যার খুবই সঠিকভাবে অপটিমাইজড</t>
  </si>
  <si>
    <t>উচ্চ মানের ডিজাইন</t>
  </si>
  <si>
    <t>টাঙানোর প্রক্রিয়া মোটামুটি সহজ</t>
  </si>
  <si>
    <t>প্রথম দিনটি ঠিক ছিল পরে কিছু সমস্যা দেখা দিয়েছে</t>
  </si>
  <si>
    <t>ক্যালকুলেটরের বাটনগুলো ছোট</t>
  </si>
  <si>
    <t>সৌরচালিত ফোন চার্জার অতিরিক্ত গরম ব্যবহার করা বিপজ্জনক</t>
  </si>
  <si>
    <t>লিকুইড আইলাইনারের একটি শুষ্ক ফর্মুলা রয়েছে যা প্রয়োগের সময় চোখের পাতা এড়িয়ে যায় এবং টান দেয়</t>
  </si>
  <si>
    <t xml:space="preserve"> বছর পর্যালোচনা থেকে  বলছি অনেক ভাল </t>
  </si>
  <si>
    <t>প্যাকেজিং ভাল সুরক্ষা প্রদান করে</t>
  </si>
  <si>
    <t>মোবাইলটির ডিসপ্লে এত উজ্জ্বল ও স্পষ্ট</t>
  </si>
  <si>
    <t>বাজারের সেরা গেমিং হেডসেট</t>
  </si>
  <si>
    <t>প্রত্যাশিত পণ্যের পরিবর্তে ক্রিম ভর্তি একটি বাক্স পেয়েছি</t>
  </si>
  <si>
    <t>এই বডি ওয়াশ ব্যবহারে আপনার ত্বক হবে আরও আকর্ষণীয়</t>
  </si>
  <si>
    <t>স্ট্যাক করা যায় তবে খুব মজবুত নয়</t>
  </si>
  <si>
    <t>এটা ভাল কাজ করে</t>
  </si>
  <si>
    <t>রোবটিক পোষা ফিডার জ্যাম খাবার ভিতরে আটকে যায়</t>
  </si>
  <si>
    <t>টাকার জন্য চমৎকার কয়েক দিন সপ্তাহ ধরে ব্যাটারি কিন্তু নিখুঁত নয়</t>
  </si>
  <si>
    <t>ব্রাশটি দাঁতের ফাঁকে ঢোকে</t>
  </si>
  <si>
    <t>এই ঘড়িটি ঘরের সৌন্দর্য অনেক বাড়িয়ে দিয়েছে</t>
  </si>
  <si>
    <t>ব্যাডমিন্টন ব্যাগ হালকা তবে চেইন দ্রুত নষ্ট হয়</t>
  </si>
  <si>
    <t>আইটেমটি বিজ্ঞাপন হিসাবে কাজ করেনি শিশুদের হতাশাজনক</t>
  </si>
  <si>
    <t>বইয়ের আলমারিটির দরজার হিঞ্জগুলো খুব শক্তিশালী</t>
  </si>
  <si>
    <t>মেকআপ ব্রাশ ব্যবহার করা সৃজনশীল</t>
  </si>
  <si>
    <t>চায়ের তলানি খুব বেশি হয় না</t>
  </si>
  <si>
    <t>দারুণ শার্পনার নয় মোটামুটি ঠিক</t>
  </si>
  <si>
    <t>মার্কিন যুক্তরাষ্ট্রে তৈরি মান সন্তোষজনক</t>
  </si>
  <si>
    <t>টুথপেস্টের কনসিস্টেন্সি মাঝারি</t>
  </si>
  <si>
    <t>দারুণ কেনা</t>
  </si>
  <si>
    <t>সামগ্রিকভাবে পণ্যের সাথে সন্তুষ্ট কিন্তু সাম্প্রতিক বিতরণ অভিজ্ঞতার সাথে অসন্তুষ্ট</t>
  </si>
  <si>
    <t xml:space="preserve">  মাপ অসঙ্গত ছিল কোমরটি খুব শক্ত এবং আবক্ষটি খুব ঢিলেঢালা ছিল</t>
  </si>
  <si>
    <t>সুন্দর রং</t>
  </si>
  <si>
    <t>প্রিসেট মোড কিছুটা সীমিত</t>
  </si>
  <si>
    <t>শোরগোল অপারেশন রান্নাঘরের শান্তি বিঘ্নিত</t>
  </si>
  <si>
    <t>ডিভাইসটির সেলফি ক্যামেরা অসাধারণ</t>
  </si>
  <si>
    <t>আইশ্যাডো প্রাইমার চর্বিযুক্ত এবং কয়েক ঘন্টার মধ্যে আইশ্যাডো ক্রিজ করে</t>
  </si>
  <si>
    <t>আমি বিশেষভাবে এই বালিশগুলির বায়ু প্রবাহ ব্যবস্থা পছন্দ করি এটি রাতে ঘামা কমিয়ে দেয়</t>
  </si>
  <si>
    <t>হেলমেট টেকসই কিন্তু বাতাস প্রবেশের সুবিধা কম</t>
  </si>
  <si>
    <t>বিশেষ করে দামের জন্য আশ্চর্যজনক  সব চাহিদা মেটাতে পারে না</t>
  </si>
  <si>
    <t>প্যাকেটে রোস্টারের তথ্য এবং কফির প্রোফাইল দেওয়া আছে</t>
  </si>
  <si>
    <t>সহজে মিশ্রণ করা যেতে পারে</t>
  </si>
  <si>
    <t>মোবাইলটির রেসপন্সিভনেস খুবই ভালো</t>
  </si>
  <si>
    <t>সুইচ ইচ্ছামত সাড়া দেয় এমন ভাবে বানানো হয়েছে</t>
  </si>
  <si>
    <t>স্বয়ংক্রিয় সাবান বিতরণকারীর ব্যাটারি কম্পার্টমেন্ট অ্যাক্সেস করা কঠিন অসুবিধাজনক</t>
  </si>
  <si>
    <t>অতিরিক্ত এবং খারাপভাবে তৈরি দূরে থাকুন</t>
  </si>
  <si>
    <t>স্মার্ট থার্মোস্ট্যাটের ওয়াইফাই সংযোগ অস্থির ঘন ঘন সংযোগ হারায়</t>
  </si>
  <si>
    <t>হেয়ার স্প্রেতে একটি শক্তিশালী রাসায়নিক গন্ধ ছিল যা অপ্রীতিকর ছিল</t>
  </si>
  <si>
    <t>সহজেই পরিবহন করা যায়</t>
  </si>
  <si>
    <t>ব্রাশের ব্রিসলগুলি নরম কিন্তু মজবুত চুলকে আঘাত না করেই জট ছাড়ায়</t>
  </si>
  <si>
    <t>জমির ফলন কিছুটা বৃদ্ধি পেয়েছে তবে আগের তুলনায় কোনও বড় পরিবর্তন দেখা যায়নি</t>
  </si>
  <si>
    <t>চাদরটি ধোয়া এবং রক্ষণাবেক্ষণ করা খুবই সহজ সহজেই মেশিনে ধোয়া যায় এবং দ্রুত শুকিয়ে যায়</t>
  </si>
  <si>
    <t>আইলাইনার সহজেই দাগ পড়ে প্রয়োগের কয়েক ঘণ্টার মধ্যেই র্যাকুন চোখ তৈরি করে</t>
  </si>
  <si>
    <t>অ্যাপের মাধ্যমে স্পিকার কন্ট্রোল করা খুব সহজ সব ফিচার হাতের মুঠোয়</t>
  </si>
  <si>
    <t>স্মার্ট থার্মোস্ট্যাটের সময়সূচী বৈশিষ্ট্য কাজ করে না তাপমাত্রা স্বয়ংক্রিয় করতে পারে না</t>
  </si>
  <si>
    <t>বার্ল্যাপের গুণগত মান সাধারণ</t>
  </si>
  <si>
    <t>নিয়মিত পরিষ্কার করা সত্ত্বেও স্নানের স্পঞ্জে ছাঁচ এবং চিতা রয়েছে</t>
  </si>
  <si>
    <t>চুলের মাস্কটি সঠিকভাবে ধুয়ে ফেলা হয়নি একটি ভারী অবশিষ্টাংশ যা আমার চুলকে ওজন করে ফেলেছিল</t>
  </si>
  <si>
    <t>রঙগুলি প্রদত্ত ছবির সাথে খুব মিল নেই</t>
  </si>
  <si>
    <t>ব্যবহারের পর কিছু সমস্যা দেখা দিতে পারে</t>
  </si>
  <si>
    <t>পোর্টেবল সাউনা টেন্টটি ঘাম ঝরানোর জন্য কার্যকর তবে এর সেটআপ প্রক্রিয়া তুলনামূলকভাবে জটিল</t>
  </si>
  <si>
    <t>স্নানের তেল টবে একটি পিচ্ছিল অবশিষ্টাংশ রেখেছিল একটি নিরাপত্তা বিপত্তি তৈরি করে</t>
  </si>
  <si>
    <t>এই মোমবাতির আলো খুব কোমল এবং আরামদায়ক</t>
  </si>
  <si>
    <t>এর নিরাপত্তা ফিচারগুলোও বেশ উন্নত</t>
  </si>
  <si>
    <t>প্যাকেজ করা ফলের কাপগুলির একটি সিরাপী স্বাদ ছিল এবং তাজাতা ছিল না</t>
  </si>
  <si>
    <t>আমার ত্বকের রঙের সাথে এই কানের দুলগুলো পারফেক্টভাবে মানানসই</t>
  </si>
  <si>
    <t>অনাকর্ষণীয় চেহারা রান্নাঘরে এটি একটি চক্ষুশূল করে তোলে</t>
  </si>
  <si>
    <t>ফ্যাব্রিক ঠিক আছে কিন্তু খুব নরম নয়</t>
  </si>
  <si>
    <t>মেয়েটি সবসময় তার বন্ধুকে সাহায্য করে</t>
  </si>
  <si>
    <t>বিস্কুট খেতে এত মজা আগে পাইনি</t>
  </si>
  <si>
    <t xml:space="preserve"> টার্নটেবল সমতল থাকে না যার ফলে ঘূর্ণনের সময় এটি নড়বড়ে হয়ে যায়</t>
  </si>
  <si>
    <t>ক্যানভাস ফ্রেমটি বিকৃত ছিল চূড়ান্ত ফলাফলকে প্রভাবিত করে</t>
  </si>
  <si>
    <t>এই ওয়েবসাইটটি দ্রুত এবং ব্যবহারবান্ধব</t>
  </si>
  <si>
    <t>সঠিক ব্যবহারে কর্মক্ষমতা কিছুটা ভাল হয়</t>
  </si>
  <si>
    <t>আলমারির ফিনিশিং খুবই সুন্দর এটি আমার ঘরের সৌন্দর্য বাড়িয়েছে</t>
  </si>
  <si>
    <t>নাইট শিফট প্রয়োজন ছিল</t>
  </si>
  <si>
    <t>সৌরচালিত ফোন চার্জারের সোলার প্যানেলগুলি ক্ষীণ ক্ষতির প্রবণ</t>
  </si>
  <si>
    <t>ট্রাকারদের জন্য দারুন জিপিএস</t>
  </si>
  <si>
    <t>পানিতে ব্যবহার করা যায় তবে রঙ ধুয়ে যায়</t>
  </si>
  <si>
    <t>স্নানের ট্রে টাব জুড়ে নিরাপদে ফিট হয়নি অনিশ্চিতভাবে টলমল করছে</t>
  </si>
  <si>
    <t>সম্পূর্ণ হতাশা রঙগুলি ক্যাপগুলির সাথে মেলে না আপনি আসলে কী ব্যবহার করছেন তা জানা অসম্ভব করে তোলে৷</t>
  </si>
  <si>
    <t>ভুল আকার কিন্তু দুর্দান্ত রঙমোটামুটি ঠিকনিখুঁত নয়</t>
  </si>
  <si>
    <t>রঙ আমার পছন্দের নয় তবে কাজ চলে</t>
  </si>
  <si>
    <t>এটি ব্যবহারের পরে ঠান্ডা হতে সময় প্রয়োজন</t>
  </si>
  <si>
    <t>দারাজে ডেলিভারি সার্ভিস খুব ভালো ডেলিভারি ম্যানও অনেক ভালো ছিল</t>
  </si>
  <si>
    <t>গরম রাখার ক্ষমতা মাঝারি</t>
  </si>
  <si>
    <t>ক্যানভাস উপাদানে একটি তৈলাক্ত অবশিষ্টাংশ ছিল যা পেইন্ট আনুগত্যকে প্রভাবিত করে</t>
  </si>
  <si>
    <t>রিসাইকেল বিনটির ব্যবহার সহজ এবং পরিবেশবান্ধব</t>
  </si>
  <si>
    <t>লিপস্টিকের টেক্সচার বাজে এটি পরতে অস্বস্তিকর করে তোলে</t>
  </si>
  <si>
    <t>মোবাইলটির ইউআই ব্যবহার সহজ ও ব্যবহারকারীবান্ধব</t>
  </si>
  <si>
    <t>যাদের বড় বক্ষ রয়েছে তাদের জন্য উপযুক্ত নয় কারণ পোশাকটি পর্যাপ্ত কভারেজ বা সমর্থন প্রদান করে না</t>
  </si>
  <si>
    <t>অনেক উজ্জ্বল রং কিন্তু বেশ বলিষ্ঠ</t>
  </si>
  <si>
    <t>নিখুঁত পণ্য সবাই চায়</t>
  </si>
  <si>
    <t>পিলো স্প্রেটি সুগন্ধ ছড়ায় তবে গন্ধ বেশিক্ষণ থাকে না</t>
  </si>
  <si>
    <t>পণ্যটি সিল ছাড়াই এসেছে প্রতিস্থাপনের জন্য ফেরত প্রয়োজন</t>
  </si>
  <si>
    <t>এই এয়ার কুলারটি কিনে আমি অত্যন্ত খুশি</t>
  </si>
  <si>
    <t>মজাদার  তবে সোনা কেনা ব্যয়বহুল</t>
  </si>
  <si>
    <t>দর্শকের মনোযোগ ধরে রাখতে সক্ষম</t>
  </si>
  <si>
    <t xml:space="preserve"> দাম অনুযায়ী মোটামুটি ভালো</t>
  </si>
  <si>
    <t>ঘুমের মাস্ক আলো ঠেকায় তবে নাকে চাপ দেয়</t>
  </si>
  <si>
    <t>বিভ্রান্তিকর বর্ণনা আমাকে ক্রয় নিয়ে হতাশ করেছে</t>
  </si>
  <si>
    <t>ময়শ্চারাইজিং এর কাজ করে এই বডি ওয়াশ</t>
  </si>
  <si>
    <t>এয়ার ফ্রায়ার একটি জ্বলন্ত গন্ধ নির্গত করে ব্যবহার করা অনিরাপদ</t>
  </si>
  <si>
    <t>গ্রাহক সেবা ছিল মোটামুটি গ্রহণযোগ্য</t>
  </si>
  <si>
    <t>সোফার ব্যাক কুশনগুলো সঠিক সাপোর্ট প্রদান করে</t>
  </si>
  <si>
    <t>ফুলটি বিভিন্ন ঋতুতে একই রকম সুন্দর দেখায়</t>
  </si>
  <si>
    <t>আমাদের বাগানে ফুলের সুবাস সবসময় থাকে</t>
  </si>
  <si>
    <t>খুশি হলাম যে এগুলিতে মাঝে মাঝে ত্রুটি থাকতে পারে</t>
  </si>
  <si>
    <t>তোয়ালে সাদা এবং মৌলিক</t>
  </si>
  <si>
    <t>পণ্যটির উপাদান সস্তা এবং সহজেই ক্ষতিগ্রস্ত হয়েছে</t>
  </si>
  <si>
    <t>দীর্ঘমেয়াদী সাজসজ্জার জন্য চমৎকার মূল্যের পণ্য</t>
  </si>
  <si>
    <t>অপর্যাপ্ত বায়ুচলাচল ভিতরে আর্দ্রতা তৈরি করে</t>
  </si>
  <si>
    <t xml:space="preserve">  ফ্যাব্রিক শুধুমাত্র একটি পরিধানের পরে পিলিং প্রবণ ছিল এর চেহারা হ্রাস করে</t>
  </si>
  <si>
    <t>পানীয়টি বেশ তাজা তবে চিনির পরিমাণ বেশি</t>
  </si>
  <si>
    <t>ত্বকের সেলুলাইট কমাতে সাহায্য করে এই বডি ওয়াশ</t>
  </si>
  <si>
    <t>শিশুটি প্রতিদিন নিয়মিত খেলতে যায়</t>
  </si>
  <si>
    <t>পানি ফুটিয়ে ব্যবহার করতে হয়</t>
  </si>
  <si>
    <t>পোশাকটিতে একটি শক্তিশালী রাসায়নিক গন্ধ ছিল যা ধোয়ার পরেও অব্যাহত ছিল যা নিম্নমানের রঞ্জক নির্দেশ করে</t>
  </si>
  <si>
    <t>পণ্যের কব্জা আলগা ছিল অস্থিরতা সৃষ্টি করেছিল</t>
  </si>
  <si>
    <t>প্যাকেজিংয়ের স্থায়িত্বের অভাব ছিল যা শিপিংয়ের সময় লিক হয়ে যায়</t>
  </si>
  <si>
    <t>নিখুঁত অবস্থার সঙ্গে পুরোপুরি সামঞ্জস্যপূর্ণ নয়</t>
  </si>
  <si>
    <t>ব্যবহার করার সময় হাতে ধরা ভালো লাগে কিন্ত অনেকটা আকারে বড়</t>
  </si>
  <si>
    <t xml:space="preserve"> বোতামগুলি স্পর্শ করার জন্য প্রতিক্রিয়াশীল নয় নিবন্ধনের জন্য একাধিক প্রেসের প্রয়োজন</t>
  </si>
  <si>
    <t>কফি মগটির ডিজাইন খুব আকর্ষণীয় এবং ব্যবহার আরামদায়ক</t>
  </si>
  <si>
    <t>ইউজার রিভিউ মিশ্র</t>
  </si>
  <si>
    <t>চমৎকার মানের ছবি</t>
  </si>
  <si>
    <t>পোশাক জন্য ব্যবহৃত উপাদান সস্তা এবং সহজে  স্ক্র্যাচেস এটি দ্রুত একটি জীর্ণ আউট চেহারা দেয়</t>
  </si>
  <si>
    <t>বিউটি সোপটি ত্বকের পিএইচ ব্যালান্স বজায় রাখে</t>
  </si>
  <si>
    <t>যেমনটা আশা করেছিলাম এটা তার চেয়েও অনেক ভালএটা শুধু দারাযের জন্য সম্ভবধন্যবাদ দারায</t>
  </si>
  <si>
    <t>একটি অত্যন্ত কার্যকর পণ্য</t>
  </si>
  <si>
    <t>স্ট্যাক করা যায় তবে উচ্চতায় অস্থির হয়ে যায়</t>
  </si>
  <si>
    <t xml:space="preserve"> অভ্যন্তরীণ আবরণ সময়ের সাথে সাথে ফ্লেক হয়ে যায় রঙের কণা দিয়ে খাদ্যকে দূষিত করে</t>
  </si>
  <si>
    <t>একটি ননস্টিক পৃষ্ঠের জন্য ঠিক আছে</t>
  </si>
  <si>
    <t>আমি লক্ষ্য করেছি যে এই পাত্রগুলি ব্যবহারের পরেও তাদের চকচকে ভাব ধরে রাখে ধোয়ার পরও এগুলি নতুনের মতোই দেখায়</t>
  </si>
  <si>
    <t>বিভিন্ন পেশার লোকের ছবি আছে তবে স্টিরিওটাইপ করা</t>
  </si>
  <si>
    <t>কফি মেশিনের জলাশয় লিক কাউন্টারে একটি জগাখিচুড়ি সৃষ্টি করে</t>
  </si>
  <si>
    <t>স্থায়িত্বের অভাব মূল্যের মূল্য নয়</t>
  </si>
  <si>
    <t>এটি বিভিন্ন আকারে পাওয়া যায় তবে ডিজাইনে বৈচিত্র্য নেই</t>
  </si>
  <si>
    <t>ওরাইমো সবসময় সেরা দেয় পণ্যের গুণমান দুর্দান্ত</t>
  </si>
  <si>
    <t xml:space="preserve"> বেজেলগুলি চিপিং এবং খোসা ছাড়ানোর প্রবণ ছিল যা সামগ্রিক নান্দনিকতা থেকে বিঘ্নিত হয়েছিল</t>
  </si>
  <si>
    <t>ভয়েস কমান্ড সাপোর্ট থাকায় হাত ব্যবহার না করেই স্পিকার নিয়ন্ত্রণ করতে পারি</t>
  </si>
  <si>
    <t>আইটেমটির কর্মক্ষমতা তার বিজ্ঞাপনী ক্ষমতার সাথে অসামঞ্জস্যপূর্ণ ছিল</t>
  </si>
  <si>
    <t>মেকআপ ব্রাশ ব্যবহার করা একটি দক্ষতা</t>
  </si>
  <si>
    <t>পানীয়টি মিষ্টি তবে খুব ঠাণ্ডা হলে সমস্যা হতে পারে</t>
  </si>
  <si>
    <t>শর্ট পাওয়ার কর্ড সীমাবদ্ধ বসানো বিকল্প</t>
  </si>
  <si>
    <t>নিয়মিত ব্যবহারের সাথেও ফ্রিজ বা ফ্লাইওয়ে নিয়ন্ত্রণে কার্যকারিতার অভাব</t>
  </si>
  <si>
    <t>সেটের সাথে আসা চামচ কাঁটাচামচ এবং ছুরিগুলি হাতে ধরতে খুব আরামদায়ক এগুলি ব্যবহার করা একটি আনন্দদায়ক অভিজ্ঞতা</t>
  </si>
  <si>
    <t>বাতাস খুবই দ্রুত ঠান্ডা হয়</t>
  </si>
  <si>
    <t>পোশাকের ফ্যাব্রিকটি চামড়ার বিরুদ্ধে সস্তা এবং অস্বস্তিকর অনুভূত হয়েছিল</t>
  </si>
  <si>
    <t>মূল্য কম কিন্তু দীর্ঘস্থায়ী ব্যবহারের জন্য উপযুক্ত নয়</t>
  </si>
  <si>
    <t>টিপটের সিরামিকটি পাতলা এবং ভঙ্গুর ছিল যা সহজেই ফাটল ধরার ঝুঁকিতে ছিল</t>
  </si>
  <si>
    <t>কাজ চলে তবে নিখুঁত নয়</t>
  </si>
  <si>
    <t>কাজ করে তবে অন্য ব্র্যান্ডও বেছে নিতে পারতাম</t>
  </si>
  <si>
    <t>এই বডি ওয়াশ ব্যবহারে আপনি অনুভব করবেন সতেজ</t>
  </si>
  <si>
    <t>সাইজিং সমস্যাগুলি অব্যাহত থাকে যা বারবার হতাশার দিকে পরিচালিত করে</t>
  </si>
  <si>
    <t>ফ্যাব্রিক ত্বকের বিরুদ্ধে স্ক্র্যাচি এবং ঘর্ষণকারী বোধ করে</t>
  </si>
  <si>
    <t>দামের সাথে মানের সামঞ্জস্য আছে বেশি ভালো না তেমন</t>
  </si>
  <si>
    <t>সিম্পলি ওয়ার্কস ভালো মান</t>
  </si>
  <si>
    <t>ভাল দাম মাঝারি মানের</t>
  </si>
  <si>
    <t>গাছের বৃদ্ধি সাধারণ হলেও সারটি বিশেষ কিছু উন্নতি আনে নি</t>
  </si>
  <si>
    <t>এই মধুটি ব্যবহার করার পর থেকে স্বাস্থ্য অনেক ভালো হয়েছে</t>
  </si>
  <si>
    <t>স্মার্ট ডোরবেলের অ্যাপ ফোনের ব্যাটারি নষ্ট করে খুব দ্রুত নিষ্কাশন করে</t>
  </si>
  <si>
    <t>দোলনার ফলে ফিরে এসে অত্যন্ত অসন্তুষ্ট হয়েছেন</t>
  </si>
  <si>
    <t>লোহার বাষ্প ফাংশন জল থুতু জামাকাপড় উপর জল দাগ কারণ</t>
  </si>
  <si>
    <t>দাম কম তবে মান নিম্নমানের</t>
  </si>
  <si>
    <t>কাপগুলি অসম রিম সহ খারাপ আকৃতির ছিল</t>
  </si>
  <si>
    <t>প্যাকেজিং আকর্ষণীয় এবং রঙগুলি সুন্দরভাবে সাজানো আছে</t>
  </si>
  <si>
    <t>প্যাডের মধ্যের অংশটি কার্যকরী</t>
  </si>
  <si>
    <t>আমি অনেক বেশি হতাশ এমন আশা করিনি</t>
  </si>
  <si>
    <t>বৈদ্যুতিক ফ্রাইং প্যানের হাতল খুব গরম হয়ে যায় সম্ভাব্য পোড়ার ঝুঁকি</t>
  </si>
  <si>
    <t>মেকআপ কিটটি সব ধরণের ত্বকের জন্য উপযোগী</t>
  </si>
  <si>
    <t>দামের জন্য দুর্দান্ত</t>
  </si>
  <si>
    <t>অতিরিক্ত চাবির রিং কখনও কখনও ভুল হয়</t>
  </si>
  <si>
    <t>পেনসিলটির ওজন খুবই হালকা দীর্ঘ সময় ধরে লেখার সময় হাত ব্যথা হয় না</t>
  </si>
  <si>
    <t>সময় দেখার জন্য চমৎকার</t>
  </si>
  <si>
    <t xml:space="preserve"> কন্ট্রোল প্যানেলের বোতামগুলি চাপলে আটকে থাকে এটি সেটিংস সামঞ্জস্য করা কঠিন করে তোলে</t>
  </si>
  <si>
    <t>নতুন বইয়ের প্রতিটি অধ্যায় খুবই আকর্ষণীয়</t>
  </si>
  <si>
    <t>সেটিং পাউডার ফটোতে সাদা ঢালাই ছেড়ে দেয় ত্বককে ভুতুড়ে দেখায়</t>
  </si>
  <si>
    <t>দুর্দান্ত পোর্টেবল স্ক্যানার যা ব্যবহার করা সহজ</t>
  </si>
  <si>
    <t>পণ্যটি দীর্ঘস্থায়ী হতে পারে কিন্তু এর কিছু সীমাবদ্ধতা রয়েছে</t>
  </si>
  <si>
    <t>বাহ্যিক পৃষ্ঠটি স্ক্র্যাচিং প্রবণ ক্ষতি প্রতিরোধ করার জন্য সূক্ষ্ম হ্যান্ডলিং প্রয়োজন</t>
  </si>
  <si>
    <t xml:space="preserve">অনেকটা পছন্দ হয়েছে </t>
  </si>
  <si>
    <t>কিছু গাছ ভালো হয়েছে তবে সারটি পুরোপুরি কার্যকরী ছিল না</t>
  </si>
  <si>
    <t>এই চা পান করে আমার দিন শুরু হয় চমৎকার ভাবে</t>
  </si>
  <si>
    <t>অতিরিক্ত পণ্যের অবশিষ্টাংশ বাম চুল ভারী এবং চর্বিযুক্ত বোধ করে</t>
  </si>
  <si>
    <t>স্বাস্থ্যকর উপাদান ব্যবহার করে তৈরি</t>
  </si>
  <si>
    <t>ত্বকের পোরগুলো পরিষ্কার করে এই বডি ওয়াশ</t>
  </si>
  <si>
    <t>ড্রিপ কফিতে ব্যবহার করলে গ্রহণযোগ্য ফলাফল দেয়</t>
  </si>
  <si>
    <t>কিছুটা সন্তোষজনক</t>
  </si>
  <si>
    <t>ডিজাইন চলার এবং কার্যক্ষমতার মৎসর্য পোশাকের চলার এবং কার্যক্ষমতার সীমাবদ্ধতা দেখায়</t>
  </si>
  <si>
    <t>মেকআপ স্পঞ্জ সহজেই ছিঁড়ে যায় মাত্র কয়েকবার ধোয়ার পরে এটি ব্যবহার করার অযোগ্য করে তোলে</t>
  </si>
  <si>
    <t>বাথটাব পিলোটি ব্যবহার করা যায় তবে দ্রুত ছত্রাক ধরে</t>
  </si>
  <si>
    <t>ক্যামেরার টাচস্ক্রিন ইন্টারফেস অপ্রতিক্রিয়াশীল এবং পিছিয়ে যাওয়ার প্রবণতা কাজকে ধীর করে দেয়</t>
  </si>
  <si>
    <t>ভয়েসসক্রিয় স্পিকার উচ্চারণ বুঝতে পারে না হতাশাজনক</t>
  </si>
  <si>
    <t>আমি এই সেটের রঙের স্থায়িত্ব পছন্দ করি অনেকবার ব্যবহার ও ধোয়ার পরেও এর রঙ ম্লান হয়নি</t>
  </si>
  <si>
    <t>এই ডিভাইসটির ব্যাটারি লাইফ অনেক দীর্ঘস্থায়ী</t>
  </si>
  <si>
    <t>কিছুটা পরিবর্তন এনেছে তবে কিছুটা অতিরিক্ত মূল্যায়িত মনে হয়েছে</t>
  </si>
  <si>
    <t>হেডফোনে শব্দ ঠিক আছে কিন্তু কান অনেকক্ষণ পরে ব্যথা করে</t>
  </si>
  <si>
    <t>এই কফি আমার দিনকে শুরু করে এক অসাধারণ অভিজ্ঞতা দিয়ে</t>
  </si>
  <si>
    <t xml:space="preserve"> ভবিষ্যতে আমি আরো প্রোডাক্ট অর্ডার দেবো এবং প্রোডাক্ট অনেক ভালো এবং যদি ভালোভাবে কাজ করে</t>
  </si>
  <si>
    <t>প্লাস্টিকের মান মোটামুটি</t>
  </si>
  <si>
    <t>মোবাইলটির ক্যামেরা খুবই উচ্চমানের</t>
  </si>
  <si>
    <t>হেয়ার সিরাম আমার চুলকে চর্বিযুক্ত বোধ করে এবং ওজন করে ফেলেছিল</t>
  </si>
  <si>
    <t>আমি সার্চ দিয়ে দেখলাম এক ঘন্টা দশ মিনিটেই মোবাইলের ব্যাটারি ফুল চার্জা হয়ে গেছে</t>
  </si>
  <si>
    <t>গ্রেট পণ্যচমৎকার পণ্যসহজ নিখুঁত এবং দ্রুত</t>
  </si>
  <si>
    <t>পুনব্যবহারযোগ্য তবে প্রতিবার ব্যবহারের পর রঙ ম্লান হয়</t>
  </si>
  <si>
    <t>গরম রাখে তবে মাঝে মাঝে অতিরিক্ত গরম হতে পারে</t>
  </si>
  <si>
    <t>ঘড়িটি খুবই নির্ভরযোগ্য</t>
  </si>
  <si>
    <t>আইটেমের আকার খুব বড় ছিল খুব বেশি জায়গা নিচ্ছিল</t>
  </si>
  <si>
    <t>শ্যাম্পুটি ব্যবহার করে চুল অনেক স্বাস্থ্যকর হয়ে গেছে</t>
  </si>
  <si>
    <t>বিনিয়োগের মূল্য রয়েছে সঞ্চয় প্রত্যাশা পূরণ করতে পারে না</t>
  </si>
  <si>
    <t>দারুণ মূল্য</t>
  </si>
  <si>
    <t>স্থায়িত্বের সমস্যা দ্রুত উপস্থিত হচ্ছে</t>
  </si>
  <si>
    <t>বইটি পড়ে অনেক কিছু শিখেছি</t>
  </si>
  <si>
    <t>চশমার কেসটি মজবুত এবং দেখতে স্টাইলিশ</t>
  </si>
  <si>
    <t>নকশা সুন্দর হলেও টেকসই নয় মনে হচ্ছে</t>
  </si>
  <si>
    <t>ব্যবহারযোগ্য তবে অতি আকর্ষণীয় নয়</t>
  </si>
  <si>
    <t>গলফ ক্লাবের ডিজাইন সুন্দর তবে আয়রন ভারী</t>
  </si>
  <si>
    <t xml:space="preserve"> দরজা নিরাপদে আটকে যায় না যার ফলে এটি অপ্রত্যাশিতভাবে খুলে যায়</t>
  </si>
  <si>
    <t>দীর্ঘস্থায়ী এবং টেকসই</t>
  </si>
  <si>
    <t xml:space="preserve">দুর্বল স্থায়িত্ব এবং নির্মাণ </t>
  </si>
  <si>
    <t>কাজ করেনি নির্ভরযোগ্যতার বিষয়ে উদ্বেগ থাকতে পারে</t>
  </si>
  <si>
    <t>ল্যাপটপের ডিসপ্লেতে অসম ব্যাকলাইটিং রয়েছে যার ফলে উজ্জ্বলতা এবং অন্ধকারের প্যাচ রয়েছে</t>
  </si>
  <si>
    <t>এটি ইলেকট্রনিক্সের যেকোনো অংশে ব্যবহার করা যায়</t>
  </si>
  <si>
    <t>বাইরে ব্যবহার করার জন্য পানি প্রতিরোধী বৃষ্টিতে ভিজলেও কোনো সমস্যা হয় না</t>
  </si>
  <si>
    <t>ওয়াশ আমার ত্বক শুকিয়ে গেছে এবং এটিকে টানটান অনুভব করেছে</t>
  </si>
  <si>
    <t>ঘড়িটির ব্যাটারি পরিবর্তন করা সহজ</t>
  </si>
  <si>
    <t>একটি অদ্ভুত গন্ধ সহ একটি   পেয়েছি যা খারাপ স্টোরেজ নির্দেশ করে</t>
  </si>
  <si>
    <t>মাইক্রোওয়েভ পপকর্নের রাসায়নিক স্বাদ এবং বাসি টেক্সচার ছিল তাজা পপড কর্নের সুগন্ধ থেকে অনেক দূরে</t>
  </si>
  <si>
    <t>প্লেটগুলো সাধারণ আকারের না বড় না ছোট</t>
  </si>
  <si>
    <t>ঘরে শান্ত পরিবেশ তৈরি করতে সহায়ক</t>
  </si>
  <si>
    <t>টেবিলটি খুবই মজবুত এবং সহজে স্থানান্তর করা যায়</t>
  </si>
  <si>
    <t>ব্যবহারের পর সঠিকভাবে সংরক্ষণ করতে হয়</t>
  </si>
  <si>
    <t>কার্ল ক্রিম সংজ্ঞার প্রতিশ্রুতি দিয়েছে কিন্তু আমার কার্লগুলিকে ফ্রিজি এবং অনির্ধারিত দেখাচ্ছে</t>
  </si>
  <si>
    <t>প্রতি চুমুকে আমি অনুভব করি এর জটিল স্বাদের বৈচিত্র্য</t>
  </si>
  <si>
    <t>আমি গরম কফি ঢেলে দিলে কফি মেকারের ক্যারাফে ভেঙে যায় একটা বিশৃঙ্খলা তৈরি হয়</t>
  </si>
  <si>
    <t>ডাইনিং টেবিল হিসেবেও ব্যবহারযোগ্য হতে পারে</t>
  </si>
  <si>
    <t>রঙ প্রাণবন্ত তবে টেকসই নয়</t>
  </si>
  <si>
    <t>আমি লক্ষ্য করেছি যে এই পাত্রগুলি দাগ প্রতিরোধী এমনকি টমেটো সস বা কারি খাওয়ার পরেও এগুলি সহজেই পরিষ্কার হয়ে যায়</t>
  </si>
  <si>
    <t>গ্রাফাইটের মান খুব ভালো তাই সহজেই লেখা যায় এবং লেখার সময় কোন চাপ প্রয়োগ করতে হয় না</t>
  </si>
  <si>
    <t>মূল্য অনুপাতে ভালো</t>
  </si>
  <si>
    <t>প্রিপ্যাকেজ করা ডেলি মিটগুলি পাতলা ছিল এবং একটি অপ্রস্তুত গন্ধ ছিল যা নষ্ট হওয়ার ইঙ্গিত দেয়</t>
  </si>
  <si>
    <t>এর প্যাকেজিং খুবই সুন্দর এবং হাইজেনিক যা ব্যবহার করার সময় মনকে শান্ত রাখে</t>
  </si>
  <si>
    <t>ডিজিটাল হেয়ার কালার মিক্সারটি রঙ তৈরি করে কিন্তু ফর্মুলা সীমিত</t>
  </si>
  <si>
    <t>দ্রুত শুকিয়ে যায়</t>
  </si>
  <si>
    <t xml:space="preserve">ক্যামেরা সবদিক থেকে পারফেক্ট চার্জার দিক থেকে ভালো এক কথায় ভালো আছে </t>
  </si>
  <si>
    <t>শিল্পীর দক্ষতা এবং সৃজনশীলতা আমাকে মুগ্ধ করেছে</t>
  </si>
  <si>
    <t>ভালো লাগলো</t>
  </si>
  <si>
    <t>চাদরটি পরিবেশবান্ধব এবং উচ্চমানের কাঁচামাল দিয়ে তৈরি</t>
  </si>
  <si>
    <t>বিউটি সোপটির ফ্রেশ সুগন্ধি সারাদিন থাকে</t>
  </si>
  <si>
    <t xml:space="preserve">মিক্সারটি ভাল কাজ করে তবে কিছু ফল বা সবজি মিশ্রিত করতে মাঝে মাঝে সমস্যা হয় </t>
  </si>
  <si>
    <t>প্রত্যাশার চেয়ে অনেক ছোট যা সমস্ত প্রয়োজন অনুসারে উপযুক্ত নাও হতে পারে</t>
  </si>
  <si>
    <t>বিছানার ফ্রেমের পা অসমান যার ফলে বিছানা টলমল করে এবং অস্থির বোধ করে</t>
  </si>
  <si>
    <t>বিউটি সোপটি ত্বককে হাইড্রেটেড রাখে</t>
  </si>
  <si>
    <t>প্যাকেটের উপর উৎপাদন এবং মেয়াদ উত্তীর্ণের তারিখ লেখা আছে</t>
  </si>
  <si>
    <t>প্যাডটি খুবই নরম এবং কোমল যা ব্যবহারের সময় আরামদায়ক অনুভূতি প্রদান করে</t>
  </si>
  <si>
    <t>এই এয়ার কন্ডিশনারের শক্তিশালী কুলিং ক্ষমতা আমাকে মুগ্ধ করেছে মাত্র কয়েক মিনিটেই আমার পুরো ঘর ঠান্ডা হয়ে যায়</t>
  </si>
  <si>
    <t>অপারেশন চলাকালীন ইউনিট থেকে অপ্রীতিকর গন্ধ নির্গত হয়</t>
  </si>
  <si>
    <t>আমার যা প্রয়োজন তার জন্য নিখুঁত কিছুটা</t>
  </si>
  <si>
    <t>যত্নের নির্দেশাবলী যত্ন সহকারে অনুসরণ করা সত্ত্বেও গয়নাটির ধাতুটি দ্রুত কলঙ্কিত হয়ে যায়</t>
  </si>
  <si>
    <t>টর্চ লাইটের গ্রিপ কিছুটা স্লিপারি</t>
  </si>
  <si>
    <t>রঙ বন্ধ সস্তা দেখায় হতাশ</t>
  </si>
  <si>
    <t>ওয়ালপেপারের ডিজাইন ঘরের পরিবেশকে একেবারে বদলে দিয়েছে</t>
  </si>
  <si>
    <t>ডেলিভারিটাও তাড়াতাড়ি পেয়েছিডেলিভারি ম্যান ও ভালো ছিল সবাইকে ধন্যবাদ</t>
  </si>
  <si>
    <t>আইটেমটির নির্মাণ অপ্রতুল এবং অবিশ্বস্ত অনুভূত</t>
  </si>
  <si>
    <t>এই চেয়ারটি ব্যবহার করা খুবই আরামদায়ক</t>
  </si>
  <si>
    <t>গাছের রং ভাল ছিল তবে ফলনের তুলনায় কম হয়ে গেছে</t>
  </si>
  <si>
    <t>প্যাকেজিংটি দুর্বল ছিল যার ফলে পেইন্টটি ফুটো হয়ে গিয়েছিল</t>
  </si>
  <si>
    <t>মোবাইলটির ফেস আইডি অত্যন্ত সঠিক ও দ্রুত</t>
  </si>
  <si>
    <t>প্যাকেজিংটিতে অত্যধিক বন্ধন এবং বন্ধন রয়েছে যা অপসারণ করা ক্লান্তিকর</t>
  </si>
  <si>
    <t>প্রসবের সময় খোলা কন্টেইনার দূষণ ঝুঁকিপূর্ণ</t>
  </si>
  <si>
    <t>এই ফ্যানটি খুবই শান্ত এবং দ্রুত ঠান্ডা প্রদান করে</t>
  </si>
  <si>
    <t>ফ্যাব্রিক মজবুত তবে ব্যতিক্রমী কিছু নয়</t>
  </si>
  <si>
    <t>পোশাকের ফিনিসটি সময়ের সাথে সাথে বিবর্ণ এবং বিবর্ণ হওয়ার প্রবণতা এর নান্দনিক আবেদনকে হ্রাস করে</t>
  </si>
  <si>
    <t>ম্যাটেরিয়াল ভালো তবে সাইজ সমস্যা হয়েছে</t>
  </si>
  <si>
    <t>এই রঙের বাক্সটিতে অনেক বৈচিত্র্যপূর্ণ রঙ আছে যা আমার সৃজনশীলতাকে উৎসাহিত করে</t>
  </si>
  <si>
    <t>দাম মধ্যম পর্যায়ের কিন্তু মান তেমন ভালো নয়</t>
  </si>
  <si>
    <t>গাড়ির জানালার রোদ প্রতিরোধকারীটি কার্যকর</t>
  </si>
  <si>
    <t>টেকসই এবং দীর্ঘস্থায়ী</t>
  </si>
  <si>
    <t>শার্পনার গড় মানের</t>
  </si>
  <si>
    <t>সুন্দর কিন্তু মানের দিক থেকে গড়পড়তা</t>
  </si>
  <si>
    <t>ফোনটির চার্জিং স্পিড অনেক দ্রুত</t>
  </si>
  <si>
    <t>কফিটি একটি তিক্ত এবং তীব্র আফটারটেস্ট ছিল পান করা অপ্রীতিকর</t>
  </si>
  <si>
    <t>পোর্টেবল কফি মেকারটি লিক করে আর কফি গ্রাউন্ড ছড়িয়ে পড়ে</t>
  </si>
  <si>
    <t>কিছুটা সময় নিয়ে ঠিকভাবে কাজ করতে শিখতে হবে</t>
  </si>
  <si>
    <t>ফ্রিজটি একটি দুর্গন্ধ নির্গত করে যা পরিষ্কার করার বিভিন্ন প্রচেষ্টা সত্ত্বেও অব্যাহত থাকে</t>
  </si>
  <si>
    <t>খেলা শেষে প্লেডো পরিষ্কার করা সহজ তবে কিছু ক্ষেত্রে কার্পেটে লেগে থাকে</t>
  </si>
  <si>
    <t>ফ্যাব্রিকটি পাতলা এবং শক্ত</t>
  </si>
  <si>
    <t xml:space="preserve">যেমন চেয়েছিলাম ঠিক তেমনই </t>
  </si>
  <si>
    <t>স্ক্যানার ভালো কাজ করে তবে রেজোলিউশন কম</t>
  </si>
  <si>
    <t>চিত্রে প্রাণবন্ততা নেই হতাশাজনক</t>
  </si>
  <si>
    <t>নির্মাণের উন্নতির সুযোগ রয়েছে</t>
  </si>
  <si>
    <t>হ্যান্ডেলটি পর্যাপ্ত লম্বা এবং ব্যবহার উপযোগী</t>
  </si>
  <si>
    <t xml:space="preserve">ডিজিটাল  হিরো জিনিশটিকেও হার মানায় এটি </t>
  </si>
  <si>
    <t>বাটারটা ভালো তবে ঘরে তৈরি বাটারের মতো নয়</t>
  </si>
  <si>
    <t>পোশাকটি প্রত্যাশার চেয়ে অনেক ছোট ছিল এটি আনুষ্ঠানিক অনুষ্ঠানের জন্য পরিধানযোগ্য নয়</t>
  </si>
  <si>
    <t>একেবারে নিখুঁত</t>
  </si>
  <si>
    <t>বিদ্যুৎ সাশ্রয়ী মোডে এই এসি চালানো খুবই সাশ্রয়ী আমার বিদ্যুতের বিল অনেকটাই কমে গেছে</t>
  </si>
  <si>
    <t>স্পিকার বিকৃত শব্দ উৎপন্ন করে যা কলের সময় শুনতে অসুবিধা হয়</t>
  </si>
  <si>
    <t>এটি প্রাকৃতিক অ্যান্টিঅক্সিডেন্ট সমৃদ্ধ</t>
  </si>
  <si>
    <t>এটি ভালবাসুন তবে কিছু সমস্যা রয়েছে</t>
  </si>
  <si>
    <t>ক্যামেরার   ভারী এবং ভারী এটি দীর্ঘ সময়ের জন্য বহন করা কষ্টকর করে তোলে</t>
  </si>
  <si>
    <t>ধোয়ার পর দ্রুত শুকিয়ে যায়</t>
  </si>
  <si>
    <t>লেবুর স্বাদ বেশ মিষ্টি তবে কিছুটা অস্বাভাবিক</t>
  </si>
  <si>
    <t>ঘরের সাজসজ্জার জন্য এই পেইন্টিংটি দারুণ</t>
  </si>
  <si>
    <t>আমরা এটি পছন্দ করেছি আবার কিনব তবে সবার জন্য উপযুক্ত নয়</t>
  </si>
  <si>
    <t>ইনস্টলেশন পরিষেবা উপলব্ধ</t>
  </si>
  <si>
    <t>ওয়্যারলেস ইয়ারফোনের চার্জ বেশ দীর্ঘস্থায়ী</t>
  </si>
  <si>
    <t>জ্যাকেট ঠিক আছে কয়েকটি ত্রুটি ছাড়া</t>
  </si>
  <si>
    <t>সহজে ভাঁজ করা যায় তবে আবার খোলা কঠিন</t>
  </si>
  <si>
    <t>হস্তনির্মিত আইটেমটি বিস্তারিতভাবে মনোযোগ সহকারে প্রদর্শন করে কিন্তু কার্যকারিতার অভাব ছিল</t>
  </si>
  <si>
    <t>ব্যবহারের পর ঠান্ডা হলে পুনরায় গরম করা যায়</t>
  </si>
  <si>
    <t>আলমারির পিছনের দেওয়ালটি সুন্দরভাবে ফিনিশ করা যা এটিকে দেওয়াল থেকে দূরে রাখতে সাহায্য করে</t>
  </si>
  <si>
    <t>একটি ভাল দাম জন্য একটি ভাল কাজ করে</t>
  </si>
  <si>
    <t>রিপ এবং অশ্রু সঙ্গে একটি পোশাক প্রাপ্ত একেবারে অগ্রহণযোগ্য</t>
  </si>
  <si>
    <t>উপহারের জন্য দারুণ নয়</t>
  </si>
  <si>
    <t>গাড়ির এয়ার ফ্রেশনারের গন্ধ দ্রুত ম্লান হয়ে যায় একটি বাসি গন্ধ রেখে যায়</t>
  </si>
  <si>
    <t>সাবপার উপস্থাপনা দ্বারা মুগ্ধ নয়</t>
  </si>
  <si>
    <t>ছোট আকারের হওয়ায় যেকোনো ব্যাগে সহজেই রাখা যায়</t>
  </si>
  <si>
    <t>বিভিন্ন গ্রহনক্ষত্রের ছবি আছে কিন্তু রঙ বাস্তবসম্মত নয়</t>
  </si>
  <si>
    <t>কেনাকাটা খুব একটা ভালো নয়</t>
  </si>
  <si>
    <t>হতাশাজনক গুণমান ক্রয় এড়িয়ে চলুন</t>
  </si>
  <si>
    <t>ভালো কেনাকাটা</t>
  </si>
  <si>
    <t>শ্যাম্পুর সুগন্ধি দীর্ঘক্ষণ থাকে</t>
  </si>
  <si>
    <t>পণ্যটি ভালো তবে ইনস্টলেশনে সময় লাগে</t>
  </si>
  <si>
    <t>পরার পরে শরীরের সাথে ভালোভাবে মানিয়ে যায়</t>
  </si>
  <si>
    <t>সার্ভিং বাটি আছে কিন্তু আকার ছোট</t>
  </si>
  <si>
    <t>সারটি সাধারণত ভাল তবে ফলন বৃদ্ধি সেভাবে চোখে পড়েনি</t>
  </si>
  <si>
    <t>বুকশেলফটি যে কোনো আবহাওয়ায় স্থায়ী</t>
  </si>
  <si>
    <t>সস্তা চেহারা অতিরিক্ত দামের পণ্য</t>
  </si>
  <si>
    <t>আমি বিশেষভাবে এই বালিশগুলির শীতল অনুভূতি পছন্দ করি এটি আমাকে গভীর ঘুমে সাহায্য করে</t>
  </si>
  <si>
    <t>এটি খুব দ্রুত ও স্থায়ী প্রদর্শন করে</t>
  </si>
  <si>
    <t>বিশেষ করে আশ্চর্যজনক ভাল মানের নয়</t>
  </si>
  <si>
    <t>ভেন্ট ব্লেডগুলির সাথে সংযুক্ত হুকটি খুব ছোট অন্যথায় এটি একটি চমৎকার পণ্য</t>
  </si>
  <si>
    <t>গুণমান কম পড়ে মূল্য ট্যাগের মূল্য নয়</t>
  </si>
  <si>
    <t>প্রতিফলন মোটামুটি স্পষ্ট</t>
  </si>
  <si>
    <t>ত্বকের রঙের সাথে মানানসই</t>
  </si>
  <si>
    <t>মান ভালো তবে উন্নতির সুযোগ রয়েছে</t>
  </si>
  <si>
    <t>অ্যান্টিফ্রিজ সিরাম আমার চুলকে চর্বিযুক্ত এবং অপ্রস্তুত দেখাচ্ছে ফ্রিজের উপর কোন নিয়ন্ত্রণ নেই</t>
  </si>
  <si>
    <t>প্রতিদিন বিকেলে এটি খেতে চাই</t>
  </si>
  <si>
    <t>সুস্বাদু তবে অতিরিক্ত মিষ্টি</t>
  </si>
  <si>
    <t>সেলাই যাচাই করা হয়েছে</t>
  </si>
  <si>
    <t>কোয়ালিটি ভালো চাইলে নিতে পারেন  দামটা কমালে ভালো হইতো ধন্যবাদ</t>
  </si>
  <si>
    <t>দারুণ উপহার</t>
  </si>
  <si>
    <t>পুতুলটি দেখতে খুবই সুন্দর এবং আকর্ষণীয় এর বড় বড় চোখ আর মিষ্টি হাসি আমার মেয়েকে মুগ্ধ করেছে</t>
  </si>
  <si>
    <t>চেয়ারগুলোর সিট কুশন রিমুভেবল ও সহজে পরিষ্কার করা যায়</t>
  </si>
  <si>
    <t>ফ্যাব্রিক রুক্ষ এবং ঘষিয়া তুলিয়া ফেলিতে সক্ষম বর্ধিত সময়কালের জন্য পরিধান করা হলে চাপা এবং অস্বস্তি সৃষ্টি করে</t>
  </si>
  <si>
    <t>অনলাইনে পন্য সামগ্রি খুজে পাওয়া যায়</t>
  </si>
  <si>
    <t>রোবট বারটেন্ডার অসামঞ্জস্যপূর্ণভাবে পানীয় মিশ্রিত করে ককটেল নষ্ট করে</t>
  </si>
  <si>
    <t>চার্জারের তারের নিরোধক পাতলা এবং পরার প্রবণ নীচের তারগুলি উন্মুক্ত করে</t>
  </si>
  <si>
    <t xml:space="preserve">  স্প্রে আমার সংবেদনশীল ত্বককে জ্বালাতন করে এবং লালভাব সৃষ্টি করে</t>
  </si>
  <si>
    <t>সংযোগ প্রচেষ্টার প্রয়োজন হতে পারে</t>
  </si>
  <si>
    <t>ফ্রেমের রঙ স্বাভাবিক</t>
  </si>
  <si>
    <t>আকারটি সাধারণত ঠিক আছে তবে কিছু পরিবর্তন হতে পারে</t>
  </si>
  <si>
    <t>মেকআপ ব্রাশ ব্যবহার করা মজাদার</t>
  </si>
  <si>
    <t>আরামদায়ক তবে ব্যতিক্রমী নয়</t>
  </si>
  <si>
    <t>আমার ঘুমের গুণগত মান বেড়ে গেছে</t>
  </si>
  <si>
    <t>সেটের সাথে আসা ওয়ারেন্টি নীতি খুবই গ্রাহকবান্ধব এটি আমাকে নিশ্চিন্ত করে</t>
  </si>
  <si>
    <t>দাম অনুযায়ী পানীয়টি ভালো তবে স্বাদে কিছুটা সমস্যা</t>
  </si>
  <si>
    <t>পণ্যটি একটি যুক্তিসঙ্গত মূল্যে বিভিন্ন বৈশিষ্ট্য সরবরাহ করে যদিও কিছু আইটেম উচ্চ মান পূরণ নাও করতে পারে</t>
  </si>
  <si>
    <t>বাক্সটিতে কিছু অপ্রচলিত রঙও আছে যা আমার পছন্দের</t>
  </si>
  <si>
    <t>লিভইন কন্ডিশনারটি আমার চুলকে ভারী এবং ওজন কমিয়েছে</t>
  </si>
  <si>
    <t>বইটি সংগ্রহে রাখার মতো কিন্তু পুনরায় পড়ার আগ্রহ জাগায় না</t>
  </si>
  <si>
    <t>পানিতে ভাসে তবে কিছু পানি ঢুকে যেতে পারে</t>
  </si>
  <si>
    <t>অ্যাঙ্কার ইউএসবি সি চার্জার কেবল  প্যাক  ফুট   পারফরম্যান্সঅসাধারণ একটি প্রোডাক্ট আমি খুবই আনন্দিত</t>
  </si>
  <si>
    <t xml:space="preserve"> ওয়ারেন্টি কভারেজ ছিল সীমিত ব্যবহারকারীদের ত্রুটির বিরুদ্ধে অরক্ষিত রেখেছিল</t>
  </si>
  <si>
    <t>এই রেডিওতে গান শুনতে অনেক ভালো লাগে</t>
  </si>
  <si>
    <t>বোতলের উষ্ণতা গরম হতে অনেক বেশি সময় নেয় যার ফলে অভিভাবকদের অসুবিধা হয</t>
  </si>
  <si>
    <t>পণ্য এবং সমর্থনে অসন্তুষ্ট</t>
  </si>
  <si>
    <t>এটি একটি হালকা ক্রিম আভা আছে</t>
  </si>
  <si>
    <t>ম্যাকাফি টোটাল প্রোটেকশন সফ্টওয়্যারটি অ্যান্টিভাইরাস সুরক্ষার জন্য একটি নির্ভরযোগ্য পছন্দ বলে মনে হয়েছিল তবে এটি একটি রিসোর্স হগ হিসাবে পরিণত হয়েছে যা আমার সিস্টেমকে উল্লেখযোগ্যভাবে ধীর করে দিয়েছে এছাড়াও ক্রমাগত পপআপ এবং বিজ্ঞপ্তিগুলি বিরক্তিকর</t>
  </si>
  <si>
    <t>চিত্রে প্রাণবন্ততার অভাব রয়েছে এবং শ্রোতাদের জড়িত করতে ব্যর্থ হয়</t>
  </si>
  <si>
    <t>ত্বকের প্রাকৃতিক সুরক্ষা বাড়ায় এই বডি ওয়াশ</t>
  </si>
  <si>
    <t>দুলগুলো আমার আত্মবিশ্বাস বাড়িয়ে দেয়</t>
  </si>
  <si>
    <t>দরিদ্র মানের জন্য অতিরিক্ত মূল্য</t>
  </si>
  <si>
    <t>কেনাকাটা যেমন ছিল তেমনই ছিল</t>
  </si>
  <si>
    <t>লিভইন কন্ডিশনারটি আমার চুলকে ওজন করে এবং এটিকে সমতল দেখায়</t>
  </si>
  <si>
    <t>চায় ধাতব আফটারটেস্ট ছিল সম্ভবত নিম্নমানের জলের কারণে</t>
  </si>
  <si>
    <t>মান মোটামুটি আরও ভাল হতে পারত</t>
  </si>
  <si>
    <t>আশ্চর্যজনক রঙ ভাণ্ডার কিন্তু মান গড়</t>
  </si>
  <si>
    <t>কম্প্রেসরের ওয়ারেন্টি সুবিধা আমাকে নিশ্চিন্ত করেছে এটি দীর্ঘমেয়াদী বিনিয়োগের জন্য নিরাপদ পছন্দ</t>
  </si>
  <si>
    <t>ঘন ঘন ব্যবহার ফ্যাব্রিক অবস্থা প্রভাবিত করতে পারে</t>
  </si>
  <si>
    <t>পণ্যটি অসঙ্গত ছিল নির্ভরযোগ্যতার অভাব ছিল</t>
  </si>
  <si>
    <t>পোশাকটি একটি নির্দিষ্ট দৈর্ঘ্য হিসাবে বিজ্ঞাপিত হয়েছিল তবে এটি ব্যক্তিগতভাবে উল্লেখযোগ্যভাবে ছোট ছিল</t>
  </si>
  <si>
    <t>শিশুটি তার দাদার সাথে সবসময় হাঁটতে যায়</t>
  </si>
  <si>
    <t>কাপগুলির ধারালো প্রান্ত ছিল যা একটি নিরাপত্তা বিপত্তি তৈরি করে</t>
  </si>
  <si>
    <t>এতে ব্যবহৃত উপাদানগুলোর মান বেশ ভালো</t>
  </si>
  <si>
    <t>ওয়াটার কুলারের পানি ফিল্টারিং সিস্টেম বেশ কার্যকর</t>
  </si>
  <si>
    <t>উন্নতির কোনো বিকল্প নেই</t>
  </si>
  <si>
    <t>স্ট্যাক করা যায় তবে নিচের গুলো চাপে বিকৃত হয়</t>
  </si>
  <si>
    <t>বাচ্চাদের জন্য এই খেলনাটি অনেক নিরাপদ</t>
  </si>
  <si>
    <t>মোটামুটি ভালো তবে কিছু ক্ষেত্রে উন্নতির প্রয়োজন</t>
  </si>
  <si>
    <t>বেঞ্চ প্রেসের আকার ঠিকঠাক তবে পরিষ্কার করা সহজ নয়</t>
  </si>
  <si>
    <t>ব্যবহারে স্ক্র্যাচ পড়তে পারে</t>
  </si>
  <si>
    <t>পারফরম্যান্স কনসিস্টেন্ট</t>
  </si>
  <si>
    <t>এই আংটির ডিজাইন অত্যন্ত মডার্ন এবং বিশেষ</t>
  </si>
  <si>
    <t>নতুন রান্নাঘরের সেটআপটি অনেক সুবিধাজনক</t>
  </si>
  <si>
    <t>মেয়েটি প্রতিদিন সকালে দৌড়াতে যায়</t>
  </si>
  <si>
    <t>কুইল্ট ব্যাকিংয়ের জন্য উপযুক্ত আরও কিছু বিকল্প রয়েছে</t>
  </si>
  <si>
    <t>ডিসপ্লে কোয়ালিটি খুব ভালো ভিডিও এবং ছবি দেখার অভিজ্ঞতা অসাধারণ উচ্চ রেজোলিউশনের স্ক্রিনে সবকিছু আরও জীবন্ত লাগে</t>
  </si>
  <si>
    <t xml:space="preserve">  অভ্যন্তরীণ আস্তরণটি সহজেই ছিঁড়ে যায় ভিতরের প্যাডিংটি উন্মুক্ত করে দেয়</t>
  </si>
  <si>
    <t>চেয়ারটির নকশা সুন্দর এবং সঠিকভাবে শরীরকে সমর্থন করে</t>
  </si>
  <si>
    <t>সারটি মাঝারি মানের ছিল তবে ফলন প্রত্যাশার মতো ছিল না</t>
  </si>
  <si>
    <t>মেকআপ কিটটির ডিজাইন অত্যন্ত আকর্ষণীয়</t>
  </si>
  <si>
    <t>রঙটা অনেকক্ষণ উজ্জ্বল থাকে</t>
  </si>
  <si>
    <t>বাচ্চাদের খেলনাগুলির জন্য শেলফটি যথেষ্ট বড়</t>
  </si>
  <si>
    <t>কাজ করে তবে অসাধারণ কিছু নয়</t>
  </si>
  <si>
    <t>পোর্টেবল পাওয়ার ব্যাঙ্কে চার্জ থাকে না প্রয়োজনের সময় অকেজো</t>
  </si>
  <si>
    <t>বাতাসে একটু ঝাপসা হয়ে যায়</t>
  </si>
  <si>
    <t>পণ্য ধারক ক্ষতিগ্রস্ত এবং লিক আগত</t>
  </si>
  <si>
    <t>স্নানের সল্টের প্যাকেজিং ছিল ক্ষীণ এবং সহজেই ছিঁড়ে যায় পণ্যটি সর্বত্র ছড়িয়ে পড়ে</t>
  </si>
  <si>
    <t xml:space="preserve">  ক্রিম খুব পুরু ছিল এবং চিরতরে ঘষতে লাগলো</t>
  </si>
  <si>
    <t>এটি মোটামুটি ঠিক</t>
  </si>
  <si>
    <t>প্রতি চুমুকে আমি অনুভব করি এর পিছনের ঐতিহ্য ও কারিগরি</t>
  </si>
  <si>
    <t>গল্পের মোড়গুলো চমৎকার ছিল</t>
  </si>
  <si>
    <t>কফির একটি তিক্ত আফটারটেস্ট ছিল যা অপ্রীতিকরভাবে দীর্ঘায়িত ছিল</t>
  </si>
  <si>
    <t>ভালো কাজ করে  প্রোডাক্টটি</t>
  </si>
  <si>
    <t xml:space="preserve"> টি খারাপভাবে রেখাযুক্ত ছিল যার ফলে এটি নির্দিষ্ট আলোতে দেখা যায়</t>
  </si>
  <si>
    <t>ফ্যাব্রিকের দৃঢ়তা দীর্ঘ সময় ধরে পরতে অস্বস্তিকর করে তোলে</t>
  </si>
  <si>
    <t>চায়ের প্রকার ব্ল্যাক টি</t>
  </si>
  <si>
    <t>দুর্দান্ত পারফরম্যান্স এবং বিল্ড কোয়ালিটি প্রোডাক্টটা অনেক ভালো কম প্রাইজে একদম ঠিক আছে</t>
  </si>
  <si>
    <t>এটি বৈধ সঠিকভাবে বর্ণিত মহান মান</t>
  </si>
  <si>
    <t>মধুটি শরীরের শক্তি বৃদ্ধি করে</t>
  </si>
  <si>
    <t>ম্যাডিসি পেইন্টিং ক্যানভাস প্যানেল প্যাক এক্স মোটামুটি ঠিক তবে এর সম্পর্কে বাড়িয়ে বলার কিছু নেই</t>
  </si>
  <si>
    <t>বাচ্চারা ছুড়ে মারলে এটি দূরে যায় না</t>
  </si>
  <si>
    <t>লাইটটি ঘরে একদম সঠিক পরিমাণে আলো ছড়ায়</t>
  </si>
  <si>
    <t>প্রাকপ্যাকেজ করা সালাদ ড্রেসিং খুব তৈলাক্ত ছিল এবং একটি অদ্ভুত আফটারটেস্ট ছিল</t>
  </si>
  <si>
    <t>রঙগুলি খুব উজ্জ্বল এবং সমৃদ্ধ কাগজে দারুণভাবে ফুটে ওঠে</t>
  </si>
  <si>
    <t>অস্বস্তিকর ফ্যাব্রিক যা সীমাবদ্ধ এবং শক্ত মনে হয়</t>
  </si>
  <si>
    <t>শিরোনাম গোপনীয়তা সুরক্ষায় একটি পরিবর্তনকারী নির্ভরযোগ্যতা সম্পর্কে পরিষ্কার ধারণা নেই</t>
  </si>
  <si>
    <t>ফলন সামান্য বৃদ্ধি পেলেও সারটির গুণগত মান আরো ভালো হতে পারত</t>
  </si>
  <si>
    <t>খুললেই একটা মিষ্টি সুবাস ছড়িয়ে পড়ে যা খাবার আগ্রহকে দ্বিগুণ বাড়িয়ে দেয়</t>
  </si>
  <si>
    <t>এই কম্বলটি শীতে খুব আরাম দেয়</t>
  </si>
  <si>
    <t>গন্ধটি বাসি ছিল তাজা তৈরি করা চায়ের সুগন্ধি নোটের অভাব ছিল</t>
  </si>
  <si>
    <t>সীমিত লেন্স বিকল্পগুলি বিভিন্ন শুটিং পরিস্থিতিতে সৃজনশীল নমনীয়তা এবং বহুমুখিতাকে সীমাবদ্ধ করে</t>
  </si>
  <si>
    <t>আগে সস্তা ব্রাশ ব্যবহার করা হয়েছে</t>
  </si>
  <si>
    <t>সেটিং পাউডার ফটোতে সাদা স্তর তৈরি করে যা ত্বককে অতিরিক্ত উজ্জ্বল এবং ভুতুড়ে দেখায়</t>
  </si>
  <si>
    <t>রাতে আলোর ব্যবস্থা থাকলে ভালো হতো</t>
  </si>
  <si>
    <t>ঘর বড় দেখায় তবে অতিরিক্ত নয়</t>
  </si>
  <si>
    <t>মধুটি ঠান্ডা এবং ইনফ্লুয়েঞ্জা প্রতিরোধে সহায়ক</t>
  </si>
  <si>
    <t>দাঁত ওঠার সময় কামড়ানো যায় তবে শক্ত</t>
  </si>
  <si>
    <t>চায়ের ঢাকনাটি খুব ভারী ছিল পাত্রটি ভারসাম্য বন্ধ করে দিচ্ছিল</t>
  </si>
  <si>
    <t>সহজে বহন করা যায় কিন্তু কোনো ক্যারি ব্যাগ নেই</t>
  </si>
  <si>
    <t>তারা আলো নির্গত করে কিছু অন্যদের চেয়ে বেশি</t>
  </si>
  <si>
    <t>ঠোঁট স্ক্রাব খুব ঘষিয়া তুলিয়া ফেলিতে সক্ষম এবং ঠোঁট মসৃণ এবং নরম করার পরিবর্তে জ্বালা সৃষ্টি করে</t>
  </si>
  <si>
    <t>কথায় বলে বুঝানো যাবে না প্রোডাক্টটা খুবই ভালো অনেক দিন ইউজ করার পরে বুঝেছি</t>
  </si>
  <si>
    <t>পণ্যের কর্মক্ষমতা শিল্প মান নিচে ছিল</t>
  </si>
  <si>
    <t xml:space="preserve">  চার্জ এক ঘন্টা তে  পার্সেন্ট যায় ডেলিভারি ম্যানটা অনেক ভাল ছিল ধন্যবাদ </t>
  </si>
  <si>
    <t>ফিট কিছুটা পরিবর্তন হতে পারে</t>
  </si>
  <si>
    <t>ফিলিং মোটামুটি ঠিক অসাধারণ নয়</t>
  </si>
  <si>
    <t>বইটি পড়ে সময় খুব দ্রুত কেটে গেছে</t>
  </si>
  <si>
    <t>এটি প্রত্যাশা অনুযায়ী কাজ করতে পারে</t>
  </si>
  <si>
    <t>আমি প্রত্যাশিত চেয়ে ভাল কিন্তু কিছু টুকরা অনুপস্থিত</t>
  </si>
  <si>
    <t>প্যাকেজিং ফ্ল্যাটপ্যাক ছিল</t>
  </si>
  <si>
    <t>চুলের প্রাকৃতিক উজ্জ্বলতা বাড়াতে সহায়ক এই শ্যাম্পু</t>
  </si>
  <si>
    <t>ফার্নিচারগুলোর প্যাকেজিং অত্যন্ত নিরাপদ ও পরিবেশবান্ধব</t>
  </si>
  <si>
    <t>দামের তুলনায় পণ্যটি সন্তোষজনক</t>
  </si>
  <si>
    <t>কিটটির প্রতিটি প্রোডাক্ট ত্বকে ময়েশ্চারাইজিং প্রভাব ফেলে</t>
  </si>
  <si>
    <t>ফ্যাব্রিক অস্বস্তিকর এবং সীমাবদ্ধ বোধ করে চলাচলে বাধা দেয়</t>
  </si>
  <si>
    <t>ইবাইকের জন্য পারফেক্ট ট্যাগ</t>
  </si>
  <si>
    <t>ফাউন্ডেশনটি দ্রুত জারিত হয় প্রয়োগের পরে বেশ কয়েকটি শেড গাঢ় হয়ে যায়</t>
  </si>
  <si>
    <t>সুপার কারুকাজ আফসোসজনক ক্রয়</t>
  </si>
  <si>
    <t>চমৎকার পণ্য শালীন পণ্য অসামান্য নয়</t>
  </si>
  <si>
    <t>ত্বকের পুনর্নবীকরণ ত্বরান্বিত করে এই বডি ওয়াশ</t>
  </si>
  <si>
    <t>প্রতিটি পিসের নির্মাণ কৌশল অত্যন্ত শক্তিশালী ও টেকসই</t>
  </si>
  <si>
    <t>বিশাল নকশা রান্নাঘরে অত্যধিক স্থান নেয়</t>
  </si>
  <si>
    <t>সৌরচালিত আউটডোর স্পিকার সম্পূর্ণ চার্জ হয় না কম ব্যাটারি</t>
  </si>
  <si>
    <t>শিশুদের সৃজনশীলতা বাড়ায় যদিও সীমিত উপায়ে</t>
  </si>
  <si>
    <t>সুগন্ধটি দুর্বল এবং সমতল ছিল এতে কোনো জটিলতা বা সমৃদ্ধি ছিল না</t>
  </si>
  <si>
    <t>কফি টেবিলের উচ্চতা বসে কফি পান করার জন্য পারফেক্ট</t>
  </si>
  <si>
    <t>বাচ্চাদের ব্যস্ত রাখে তবে এটি খুব টেকসই নয়</t>
  </si>
  <si>
    <t>ফ্যাশনের জন্য ভালো তবে রঙ পছন্দ হয়নি</t>
  </si>
  <si>
    <t>স্বয়ংক্রিয় সাবান বিতরণকারীর সেন্সরটি খুব সংবেদনশীল এলোমেলোভাবে সাবান বিতরণ করে</t>
  </si>
  <si>
    <t>স্নানের লবণগুলি আমার ত্বকে একটি অস্বস্তিকর অবশিষ্টাংশ রেখে গেছে অস্বস্তি বোধ করছে</t>
  </si>
  <si>
    <t xml:space="preserve">ডেল এর তা অনেক ভাল হয়েছে </t>
  </si>
  <si>
    <t>দরকারী তবে খুব বলিষ্ঠ নয়</t>
  </si>
  <si>
    <t>পুনব্যবহারযোগ্য ডিমের কন্টেইনার ভালো</t>
  </si>
  <si>
    <t>সাজসজ্জার সাথে মানায় তবে অসাধারণভাবে নয়</t>
  </si>
  <si>
    <t>পলিশটি খুবই ঘষামাজা করছে এবং এটি আমার ত্বকে জ্বালাভাব সৃষ্টি করছে</t>
  </si>
  <si>
    <t xml:space="preserve"> তবে ব্যবহারিক সুবিধা নিয়ে ভালো কিছুটা আরো উন্নতি হওয়া প্রয়োজন</t>
  </si>
  <si>
    <t>ব্লেন্ডার কাজ করে তবে একটু আওয়াজ বেশি</t>
  </si>
  <si>
    <t>পেইন্টটিতে একটি জলীয় ধারাবাহিকতা ছিল কভারেজের অভাব ছিল</t>
  </si>
  <si>
    <t>ফ্রিজে পর্যাপ্ত নিরোধক নেই যার ফলে এটি আর্দ্র অবস্থায় অতিরিক্ত ঘামে</t>
  </si>
  <si>
    <t>পৃষ্ঠটি আঠালো হয়ে ওঠে ময়লা এবং ময়লা আকৃষ্ট করে</t>
  </si>
  <si>
    <t>চেয়ারগুলোর সাথে অতিরিক্ত কুশন কভার দেওয়া আছে</t>
  </si>
  <si>
    <t>শিশুটি তার নতুন সাইকেল চালাতে অনেক ভালোবাসে</t>
  </si>
  <si>
    <t>ওজন একটু বেশি মনে হয়</t>
  </si>
  <si>
    <t>র্যাক ফুট শুকানোর জন্য দুর্দান্ত নয়</t>
  </si>
  <si>
    <t>হেডফোনের কানের কুশন অল্প সময়ের পরে খোসা ছাড়িয়ে যায় অস্বস্তিকর প্লাস্টিক উন্মুক্ত করে</t>
  </si>
  <si>
    <t>বাড়ির মূল্য বাড়াতে পারে তবে নিশ্চিত নয়</t>
  </si>
  <si>
    <t>ব্যবহারের সময় অতিরিক্ত শব্দ হয় না</t>
  </si>
  <si>
    <t>সামান্য সুন্দরী কিন্তু সব ব্যবহারযোগ্য নয়</t>
  </si>
  <si>
    <t>আমার কাছে অনেক ভালো লেগেছে জিনিসটা</t>
  </si>
  <si>
    <t>মেনু ইন্টারফেস সাড়া দিতে ধীর ছিল যার ফলে হতাশাজনক বিলম্ব হয়েছে</t>
  </si>
  <si>
    <t>প্রোডাক্টটির গুণমান অসাধারণ আমি খুবই সন্তুষ্ট ল্যাপটপটির পারফরম্যান্স একদম প্রিমিয়াম যা আমার সব ধরনের কাজের জন্য উপযুক্ত</t>
  </si>
  <si>
    <t>মুখে দীর্ঘক্ষণ ফ্রেশ অনুভূতি দেয়</t>
  </si>
  <si>
    <t>মজবুত কাঠামোর কারণে তীব্র বাতাসেও ছাতা উল্টে যায় না</t>
  </si>
  <si>
    <t>পোশাক আরামদায়ক তবে ফিনিশিং উন্নতি দরকার</t>
  </si>
  <si>
    <t>গুণগত মান মোটামুটি হবে</t>
  </si>
  <si>
    <t>সাউন্ড কোয়ালিটি এ এক নাম্বার কিছু ব্যবহারকারী সমস্যার কথা জানিয়েছেন</t>
  </si>
  <si>
    <t xml:space="preserve">  সামঞ্জস্যযোগ্য স্ট্র্যাপগুলি জায়গায় থাকে না এবং ক্রমাগত আলগা হয়</t>
  </si>
  <si>
    <t>ওপেন প্যাকেজ পণ্য টেম্পারিং নিয়ে উদ্বেগ</t>
  </si>
  <si>
    <t>প্লাস্টিকের ফুলটি সহজেই অন্য পাত্রে স্থানান্তর করা যায়</t>
  </si>
  <si>
    <t>ব্যবহার করা যায় তবে এটি আকর্ষণীয় নয়</t>
  </si>
  <si>
    <t>হালকা ওজনের কিন্তু কিছুটা ভঙ্গুর মনে হয়</t>
  </si>
  <si>
    <t>মপটি দিয়ে কাজ করার সময় হাত ভেজে না</t>
  </si>
  <si>
    <t>সব সময়ের মতো জেবিএলের গুণমান তবে কিছু সমস্যা রয়েছে</t>
  </si>
  <si>
    <t>ছাঁচ বা চিপচিনির ইঙ্গিত সহ সুগন্ধটি বন্ধ ছিল</t>
  </si>
  <si>
    <t>পাওয়ার কনজাম্পশন বেশি</t>
  </si>
  <si>
    <t>ফাঁসির জন্য যথাযথ তবে ভারী জিনিসগুলি নিরাপদে রাখা কঠিন হতে পারে</t>
  </si>
  <si>
    <t>প্যাডিং অপর্যাপ্ত ভিতরে আইটেম সামান্য সুরক্ষা প্রস্তাব</t>
  </si>
  <si>
    <t>বাচ্চারা গড়িয়ে নিয়ে যেতে পারে তবে সোজা লাইনে যায় না</t>
  </si>
  <si>
    <t>মাস্কারার ব্রাশ এলোমেলো থাকার কারণে দোররাগুলো একসঙ্গে লেগে যাচ্ছে</t>
  </si>
  <si>
    <t>নয়েজ বাতিলকরণ এবং বৈশিষ্ট্য  অসামান্য নয়</t>
  </si>
  <si>
    <t>খাবার গরম করতে প্রত্যাশার চেয়ে বেশি সময় লাগে খুব কার্যকর নয়</t>
  </si>
  <si>
    <t>ফোনের ক্যামেরার গুণমান খারাপ এমনকি ভাল আলোকিত অবস্থায়ও দানাদার এবং ঝাপসা ফটো তৈরি করে</t>
  </si>
  <si>
    <t>সারটি ব্যবহার করার পর কিছু ফলন বেড়েছে তবে খুব বেশি কোনো পরিবর্তন দেখা যায়নি</t>
  </si>
  <si>
    <t>দীর্ঘমেয়াদী ব্যবহারের পর প্রকৃত গুণাগুণ জানা যাবে</t>
  </si>
  <si>
    <t>ত্বকের রং উজ্জ্বল করে এই বডি ওয়াশ</t>
  </si>
  <si>
    <t>এই চা আমার দিনকে শেষ করে এক অসাধারণ অভিজ্ঞতা দিয়ে</t>
  </si>
  <si>
    <t>শীতল তবে ব্যতিক্রমী নয়</t>
  </si>
  <si>
    <t>পোশাকের নকশাটি পুরানো এবং অপ্রস্তুত পরিধানকারীর   আকৃতি বা শৈলীর পরিপূরক হতে ব্যর্থ</t>
  </si>
  <si>
    <t>বিভিন্ন কানের দুল ব্যাকের দুর্দান্ত সেট কিছু কম দরকারী</t>
  </si>
  <si>
    <t>বাসায় সবাই এটা খেতে খুব পছন্দ করে</t>
  </si>
  <si>
    <t>আমি এই বালিশ সেটের উচ্চমানের জিপার ব্যবস্থা পছন্দ করি এটি সহজেই খোলে ও বন্ধ হয়</t>
  </si>
  <si>
    <t>চায়ের একটি কাঠের স্বাদ ছিল যা অনুপযুক্ত বার্ধক্য বা প্রক্রিয়াকরণের পরামর্শ দেয়</t>
  </si>
  <si>
    <t>শালীন সংকোচনের মোজা অসামান্য নয়</t>
  </si>
  <si>
    <t>পোকামাকড়ের আক্রমণের ভয় নেই সবসময় নিরাপদ</t>
  </si>
  <si>
    <t>দাম অনুযায়ী পণ্যের মান ঠিক আছে</t>
  </si>
  <si>
    <t xml:space="preserve">  সিরাম ব্রণ মধ্যে ভেঙ্গে আমাকে আউট কারণ</t>
  </si>
  <si>
    <t>সহজে পরিষ্কার করা যায় কিন্তু শুকাতে সময় লাগে</t>
  </si>
  <si>
    <t>ভ্যাকুয়াম ক্লিনারটি ধুলো পরিষ্কার করতে দারুণ কাজ করে</t>
  </si>
  <si>
    <t>স্টিলসিরিজ এপেক্স প্রো টি কে এল হাইপারএক্স ম্যাগনেটিক গেমিং কীবোর্ড কাগজে দুর্দান্ত দেখায় কিন্তু বাস্তবে বিল্ড কোয়ালিটি কম</t>
  </si>
  <si>
    <t>স্থায়িত্ব আড়ম্বরহীন হতে পারে</t>
  </si>
  <si>
    <t>ভ্রু পেন্সিলটি খুব মোমযুক্ত যার ফলে ভ্রুগুলি অস্বাভাবিক এবং রূঢ় চেহারার হয়</t>
  </si>
  <si>
    <t>ধাক্কা দিলে নড়ে কিন্তু খুব দূরে যায় না</t>
  </si>
  <si>
    <t xml:space="preserve">     দরজার কব্জা জোরে চিৎকার করে বিরক্তির কারণ হয় এবং ঘরে শান্তি ব্যাহত হয়</t>
  </si>
  <si>
    <t>প্যাকেজিং সাধারণ হলেও কার্যকর</t>
  </si>
  <si>
    <t>টুথপেস্টটি ফ্রেশ ব্রেথ দেয় তবে এর ফ্লেভার অনেকের কাছে একটু তীব্র মনে হতে পারে</t>
  </si>
  <si>
    <t>শ্যাম্পুর সুগন্ধি সারাদিন ধরে থাকে</t>
  </si>
  <si>
    <t>গুণগত মান যথেষ্ট তবে আমি বেশি সন্তুষ্ট নই</t>
  </si>
  <si>
    <t>পণ্যটি সুন্দর তবে কিছু ঘাটতি থাকতে পারে</t>
  </si>
  <si>
    <t>রিপ্লেসমেন্ট ইয়ারিংস ভালো তবে কিছু সহজে হারিয়ে যেতে পারে</t>
  </si>
  <si>
    <t>ওয়ার্ডরোবের দরজাগুলো নিশব্দে ও মসৃণভাবে খোলে</t>
  </si>
  <si>
    <t>শ্যাম্পুর ব্যবহার চুলকে অনেক শক্তিশালী করে তোলে</t>
  </si>
  <si>
    <t>আইটেমটির ওজন খুব হালকা ছিল বোধগম্য নয়</t>
  </si>
  <si>
    <t>মধুটি রক্ত সঞ্চালন বাড়াতে সাহায্য করে</t>
  </si>
  <si>
    <t xml:space="preserve">আম্র বোনের জন্য নিয়েছি অনেক ভাল </t>
  </si>
  <si>
    <t>সস্তা দেখতে ভাল ধরে না</t>
  </si>
  <si>
    <t>ঘরের জানালা থেকে খুব সুন্দর দৃশ্য দেখা যায়</t>
  </si>
  <si>
    <t>মেয়েটি প্রতিদিন নিয়মিত ছবি আঁকে</t>
  </si>
  <si>
    <t>অ্যাসিডিটি মাঝারি খুব বেশি টক নয়</t>
  </si>
  <si>
    <t>অভ্যন্তরীণ পরিষ্কার করা কঠিন ব্যাকটেরিয়া এবং ছাঁচ</t>
  </si>
  <si>
    <t xml:space="preserve"> দরজার কব্জাটি আলগা এবং অস্থির বোধ করে যা নিরাপত্তার বিষয়ে উদ্বেগ বাড়ায়</t>
  </si>
  <si>
    <t>কেকের গন্ধ অনেক মিষ্টি এবং মনমুগ্ধকর</t>
  </si>
  <si>
    <t>রানিং ওয়াচের ফিচার ভালো কিন্তু ঘড়ি ভারী</t>
  </si>
  <si>
    <t>তাপমাত্রা নিয়ন্ত্রণের কোনো ব্যবস্থা নেই</t>
  </si>
  <si>
    <t>সস্তা বিরক্ত করবেন না</t>
  </si>
  <si>
    <t>আধুনিক এবং স্টাইলিশ লুক</t>
  </si>
  <si>
    <t>বড় ঘরে কার্যকর নয়</t>
  </si>
  <si>
    <t>মেকআপ রিমুভার চোখকে দংশন করে</t>
  </si>
  <si>
    <t>ফোনের স্বতউজ্জ্বলতা বৈশিষ্ট্যটি অবিশ্বস্ত প্রায়শই অনুপযুক্তভাবে উজ্জ্বলতার মাত্রা সামঞ্জস্য করে</t>
  </si>
  <si>
    <t>পেইন্টব্রাশের হ্যান্ডেলগুলি খুব ছোট ছিল ব্যবহার করা অস্বস্তিকর ছিল</t>
  </si>
  <si>
    <t>ফুলের সুগন্ধের অভাব থাকলেও চোখের তৃপ্তি দেয়</t>
  </si>
  <si>
    <t>মেকআপ চেক করার জন্য ব্যবহার করা যায়</t>
  </si>
  <si>
    <t>বালিশগুলির ভেতরের উপাদান এমনভাবে বিন্যস্ত যে এগুলি কখনও পিণ্ড আকারে পরিণত হয় না</t>
  </si>
  <si>
    <t>শিশুর ডায়াপারের আঠালো ট্যাবগুলি ভালভাবে লেগে থাকে না যার ফলে ঘন ঘন ফুটো হয়</t>
  </si>
  <si>
    <t xml:space="preserve"> কেউ কেউ আলাদা নির্বাচন পছন্দ করতে পারে</t>
  </si>
  <si>
    <t>সহজেই পরিষ্কার করা যায় ময়লা জমে না</t>
  </si>
  <si>
    <t>উপহার দেওয়া অনুশোচনা ময়লা দ্বারা কলঙ্কিত</t>
  </si>
  <si>
    <t>শীতের তীব্রতা থেকে দারুণ কাজ করে</t>
  </si>
  <si>
    <t>শুকনো হতে সময় লাগে না তাই ঘরে ফিরে সহজেই রাখা যায়</t>
  </si>
  <si>
    <t>কাঁটাচামচযুক্ত খরগোশ যা ধারাবাহিক সমস্যার সৃষ্টি করে</t>
  </si>
  <si>
    <t>মেকআপ পাউচটির আকার ভ্রমণের জন্য উপযুক্ত</t>
  </si>
  <si>
    <t>মটরশুটি আকার এবং আকৃতিতে অসামঞ্জস্যপূর্ণ ছিল যা চোলাইয়ের সামঞ্জস্যকে প্রভাবিত করে</t>
  </si>
  <si>
    <t xml:space="preserve">একেবারে আশ্চর্যজনক করে দেয় সবাইকে </t>
  </si>
  <si>
    <t>ওজন ঠিক আছে তবে ঋতু অনুযায়ী পরিবর্তন হয় না</t>
  </si>
  <si>
    <t>জিওফেন্সিং অন্তর্ভুক্ত</t>
  </si>
  <si>
    <t>ময়েশ্চারাইজার একটি চর্বিযুক্ত অবশিষ্টাংশ ছেড়ে দেয় এটি দিনের বেলা পরিধানের জন্য অনুপযুক্ত করে তোলে</t>
  </si>
  <si>
    <t xml:space="preserve"> পর্দায় একটি লক্ষণীয় নীল আভা ছিল বিকৃত রঙের সঠিকতা</t>
  </si>
  <si>
    <t>অ্যাঙ্কার ইউএসবিসি চার্জার কেবল  ভঙ্গুর ঝাপসা হওয়ার প্রবণ</t>
  </si>
  <si>
    <t>এর মধ্যে একটি রহস্য এবং সৌন্দর্য লুকিয়ে আছে</t>
  </si>
  <si>
    <t>প্যাকেজিংটি সঠিকভাবে সিল করা হয়নি চা তার সতেজতা হারাতে দেয়</t>
  </si>
  <si>
    <t>এটি ব্যবহারে আমি সত্যিই সন্তুষ্ট</t>
  </si>
  <si>
    <t>পুরো চিত্রকর্মটি একটি গল্প বলছে</t>
  </si>
  <si>
    <t>আগের সংস্করণের তুলনায় গুণমান নিয়ে হতাশা</t>
  </si>
  <si>
    <t>ইনভার্টার টেকনোলজি বিদ্যুৎ খরচ কমিয়েছে এখন আর বিল দেখে ভয় পাই না</t>
  </si>
  <si>
    <t>অত্যধিক টাইট সীল এটি খোলা চ্যালেঞ্জিং করে তোলে</t>
  </si>
  <si>
    <t>ভারী জিনিস রাখলে বেঁকে যাওয়ার সম্ভাবনা আছে</t>
  </si>
  <si>
    <t>এটি মেকআপের সৌন্দর্য বর্ধন করে</t>
  </si>
  <si>
    <t>এটি অত্যন্ত প্রাকৃতিক এবং ভালো পারফর্মেন্স দেয়</t>
  </si>
  <si>
    <t>কিটটির প্রতিটি প্রোডাক্ট অত্যন্ত উচ্চমানের</t>
  </si>
  <si>
    <t>প্রত্যাশার তুলনায় সীমিত কার্যকারিতা</t>
  </si>
  <si>
    <t>এটি কাগজে ওয়াটারমার্ক থাকা দরকার</t>
  </si>
  <si>
    <t>ফসলের বৃদ্ধির জন্য ভালো তবে দাম কিছুটা বেশি</t>
  </si>
  <si>
    <t>এই বডি ওয়াশ ব্যবহারে আপনার ত্বক হবে নরম</t>
  </si>
  <si>
    <t>ভ্রু পেন্সিলের টিপ সহজেই ভেঙে যায় এটি সুনির্দিষ্ট স্ট্রোক অর্জন করা চ্যালেঞ্জিং করে তোলে</t>
  </si>
  <si>
    <t>পুতুলটির সাথে আসা অতিরিক্ত পোশাক ও আনুষাঙ্গিক জিনিসগুলি খেলার অভিজ্ঞতাকে আরও সমৃদ্ধ করেছে</t>
  </si>
  <si>
    <t>কখনও কখনও এটি ছাড়া বাইরে যাই</t>
  </si>
  <si>
    <t>অনুভূত হয় না এটি কিছু সমস্যা সহ পুনর্ব্যবহারযোগ্য প্লাস্টিক</t>
  </si>
  <si>
    <t>হাইলাইটার একটি মসৃণ উজ্জ্বল আভা প্রদানের পরিবর্তে ত্বকের টেক্সচারের উপর জোর দেয়</t>
  </si>
  <si>
    <t xml:space="preserve">  ফ্যাব্রিক ভারী এবং কষ্টকর বোধ করে পরিধানকারীর ওজন কমে যায় এবং অস্বস্তি সৃষ্টি করে</t>
  </si>
  <si>
    <t>পরিষ্কার করা কঠিন কোণগুলি খাদ্যের অবশিষ্টাংশ এবং ছাঁচকে আটকে রাখে</t>
  </si>
  <si>
    <t>কাঁধের স্ট্র্যাপগুলি সামঞ্জস্যযোগ্য নয় এটি বিভিন্ন ধরণের   জন্য পরতে অস্বস্তিকর করে তোলে</t>
  </si>
  <si>
    <t xml:space="preserve">  ক্রিম এর খারাপ মানের জন্য খুব ব্যয়বহুল ছিল</t>
  </si>
  <si>
    <t>এর বিল্ড কোয়ালিটিও বেশ ভালো</t>
  </si>
  <si>
    <t>কুইল্টিংয়ের জন্য ব্যবহৃত তবে মান কিছুটা সাধারণ</t>
  </si>
  <si>
    <t>রঙটা সব পোশাকের সাথে মানায়</t>
  </si>
  <si>
    <t xml:space="preserve"> ইয়ারপিসগুলি ছোট কানের ব্যবহারকারীদের জন্য অস্বস্তিকর দীর্ঘক্ষণ পরার সময় চাপ এবং অস্বস্তি সৃষ্টি করে</t>
  </si>
  <si>
    <t>পুতুলের পোশাক খুব সুন্দর এবং সহজেই খোলাপরা করা যায় যা আমার মেয়েকে আনন্দ দেয়</t>
  </si>
  <si>
    <t>ব্যবহার করা যায় কিন্তু কোনো অতিরিক্ত বৈশিষ্ট্য নেই</t>
  </si>
  <si>
    <t>কানেক্টেড খুব দ্রুত হয় ধন্যবাদ</t>
  </si>
  <si>
    <t>গন্ধ সহনীয় ছিল</t>
  </si>
  <si>
    <t>এই বোতলটির ব্যবহার করা খুবই সহজ এবং এটি আমার দৈনন্দিন জীবনে অত্যন্ত গুরুত্বপূর্ণ হয়ে উঠেছে</t>
  </si>
  <si>
    <t>ব্রাশের বৃষ্টিগুলি নরম লেগেছে</t>
  </si>
  <si>
    <t>শ্যাম্পুটি চুলের উজ্জ্বলতা বাড়িয়ে দিয়েছে</t>
  </si>
  <si>
    <t>চা পাতাগুলি খুব পুরানো ছিল মানসম্পন্ন চায়ের সতেজতা এবং প্রাণবন্ততার অভাব ছিল</t>
  </si>
  <si>
    <t>শক্তিশালী চুম্বক</t>
  </si>
  <si>
    <t xml:space="preserve">রাবার পেন্সিলগুলি তীক্ষ্ণ করার ক্ষেত্রে  কার্যকর হতে পারে কিছুটা </t>
  </si>
  <si>
    <t>ভিতরে মরিচা বিকশিত জল দূষিত</t>
  </si>
  <si>
    <t>বাহ্যিক পৃষ্ঠ সহজেই স্ক্র্যাচ করে এটির চেহারা থেকে বিঘ্নিত হয়</t>
  </si>
  <si>
    <t>বিভিন্ন প্রাণীর আকৃতি আছে তবে খুব রিয়েলিস্টিক নয়</t>
  </si>
  <si>
    <t xml:space="preserve"> স্বয়ংক্রিয়ঘোরানো বৈশিষ্ট্যটি অনিয়মিত কখনও কখনও স্ক্রিনটি ভুলভাবে ঘোরে বা একেবারে ঘোরাতে ব্যর্থ হয়</t>
  </si>
  <si>
    <t>এই কম্বলটা দিয়ে ঘুমানো সত্যিই আনন্দদায়ক</t>
  </si>
  <si>
    <t>মাটির জন্য ভালো তবে সারটির ফলন কিছুটা কম হয়েছে</t>
  </si>
  <si>
    <t>কিছু টুকরো কম টেকসই আবার দামও কম</t>
  </si>
  <si>
    <t>ব্রাশগুলি খুব নরম ছিল নির্ভুলতার অভাব ছিল</t>
  </si>
  <si>
    <t>আমার ঘরকে খুব আরামদায়ক করে তুলেছে</t>
  </si>
  <si>
    <t>অটোফোকাস শিকার একটি সাধারণ সমস্যা যার ফলে শট মিস এবং হতাশা দেখা দেয়</t>
  </si>
  <si>
    <t>কফিটি খুব অম্লীয় ছিল যার ফলে পেটে অস্বস্তি হচ্ছিল</t>
  </si>
  <si>
    <t>স্মার্টওয়াচের ব্যাটারি দ্রুত নিশেষ হয়ে যায় ঘন ঘন রিচার্জ করতে হয়</t>
  </si>
  <si>
    <t>সস্তা পাতলা ফ্যাব্রিক যা সহজেই কুঁচকে যায় এবং স্থায়িত্বের অভাব হয়</t>
  </si>
  <si>
    <t>আমার এটা মোটামোটি লাগছে</t>
  </si>
  <si>
    <t>খুব উন্নত খুব সুন্দর</t>
  </si>
  <si>
    <t>চামচকাঁটাছুরির হাতল সরু যা ধরতে কঠিন হতে পারে</t>
  </si>
  <si>
    <t>মাঝারি মাত্রার নিশ্চয়ই</t>
  </si>
  <si>
    <t>ক্লাসিক এবং আধুনিক স্টাইলের সমন্বয়</t>
  </si>
  <si>
    <t>কভারটি খুব সুন্দর এবং পরিষ্কার ম্যাচিং দেয় আমি সর্বাধিক মানের কভারটি পেলাম এই দামে ধন্যবাদ দারাজ</t>
  </si>
  <si>
    <t>সামগ্রিকভাবে ঠিক আছে কিন্তু ফ্যাব্রিক একটু শক্ত</t>
  </si>
  <si>
    <t>যা প্রয়োজন ছিল তার জন্য যথেষ্ট</t>
  </si>
  <si>
    <t>বহনযোগ্য কিন্তু হ্যান্ডেল আরও শক্ত হতে পারত</t>
  </si>
  <si>
    <t>প্যাকেজিং বিস্তারিত মনোযোগ অভাব সঙ্গে হতাশ</t>
  </si>
  <si>
    <t>বোতলজাত সস অত্যধিক মিষ্টি ছিল এবং বাড়িতে তৈরি স্বাদের জটিলতার অভাব ছিল</t>
  </si>
  <si>
    <t>ঘরের অন্যান্য আসবাবপত্রের সৌন্দর্য বাড়িয়ে দেয়</t>
  </si>
  <si>
    <t>এটি খুব মানসম্মত ও জনপ্রিয়</t>
  </si>
  <si>
    <t>দামের সাথে মানের সামঞ্জস্য আছে তবে উচ্চমানের নয়</t>
  </si>
  <si>
    <t>ড্রেসিং টেবিলের সাথে ম্যাচিং স্টুল দেওয়া আছে</t>
  </si>
  <si>
    <t>এই কুলারটি আমার প্রত্যাশা পূরণ করেছে</t>
  </si>
  <si>
    <t>ব্যবহার করা কিছুটা সহজ</t>
  </si>
  <si>
    <t>অত্যন্ত সন্তুষ্ট</t>
  </si>
  <si>
    <t>এটি প্লাস্টিকের বডি</t>
  </si>
  <si>
    <t xml:space="preserve"> স্ট্যান্ডের সমাবেশ প্রয়োজন কিন্তু অন্তর্ভুক্ত নির্দেশাবলী অস্পষ্ট এবং অসম্পূর্ণ ছিল</t>
  </si>
  <si>
    <t>মোবাইলটির ভিডিও প্লেব্যাক পারফরম্যান্স অত্যন্ত মসৃণ</t>
  </si>
  <si>
    <t>সেল ফোন হোল্ডার অনেক ভাল</t>
  </si>
  <si>
    <t>কোল্ড প্রেস টেক্সচার হট প্রেস নয়</t>
  </si>
  <si>
    <t>হাত ধোয়ার পরে আইটেমটি কিছুটা বিবর্ণ হতে পারে</t>
  </si>
  <si>
    <t>ত্বকের রক্ত সঞ্চালন বাড়ায় এই বডি ওয়াশ</t>
  </si>
  <si>
    <t>স্টিকি নোটগুলো কাজে লাগে তবে রঙ বেশিদিন ধরে না</t>
  </si>
  <si>
    <t>কমফোর্টারটি দীর্ঘস্থায়ী</t>
  </si>
  <si>
    <t>প্রাইস টু পারফরম্যান্স রেশিও ভালো কিন্তু কারেন্ট অনেক অপচয় হয়</t>
  </si>
  <si>
    <t>চায়ের গুণমান দেখে মনে হয় এটি বিশেষ যত্নে বাছাই করা</t>
  </si>
  <si>
    <t>শীতল তবে সব ব্যবহারের জন্য উপযুক্ত নয়</t>
  </si>
  <si>
    <t>কাঠের কাজের শার্পনারটি কিছুটা সন্তোষজনকভাবে কাজ করে</t>
  </si>
  <si>
    <t>ব্যাকপ্যাকের সেলাই খুলে গেছে যার ফলে স্ট্র্যাপগুলো বিচ্ছিন্ন হয়ে গেছে</t>
  </si>
  <si>
    <t>কিছু প্রান্ত ফাইল করতে হয়েছিল</t>
  </si>
  <si>
    <t>ঠোঁট বামটি খুব পুরু এবং মোমযুক্ত কোন প্রকৃত হাইড্রেশন প্রদান না করেই ঠোঁটে বসে থাকে</t>
  </si>
  <si>
    <t>স্মার্ট পানির বোতল ফুটো   জিনিসপত্র নষ্ট</t>
  </si>
  <si>
    <t>বহন জন্য ভাল পণ্য</t>
  </si>
  <si>
    <t>একটি পাখা এর কার্যকারিতা বৃদ্ধি করতে সক্ষম</t>
  </si>
  <si>
    <t>ত্বকের ইরিটেশন কমায় এই বডি ওয়াশ</t>
  </si>
  <si>
    <t>বডি স্ক্রাবের দানাগুলি খুব বড় এবং ঘষিয়া তুলিয়া ফেলিতে সক্ষম যা ত্বকে মাইক্রোটিয়ার সৃষ্টি করে</t>
  </si>
  <si>
    <t>টেক্সচারাইজিং স্প্রে আমার চুলকে আঠালো এবং ম্যাটেড ভলিউমের অভাব অনুভব করে</t>
  </si>
  <si>
    <t>খুব খারাপ নয় আবার খুব ভালোও নয়</t>
  </si>
  <si>
    <t>মেয়েটি সবসময় তার প্রজেক্টের কাজ নিয়ে ব্যস্ত থাকে</t>
  </si>
  <si>
    <t>ব্রাশটি সহজেই পরিষ্কার করা যায় যা স্বাস্থ্যকর ব্যবহারের জন্য আবশ্যক</t>
  </si>
  <si>
    <t>গ্রেট ভ্যালু প্লাস টুকরো</t>
  </si>
  <si>
    <t>ঘড়ির চাবুকটি অপ্রত্যাশিতভাবে ভেঙে গেছে ঘড়িটি পরিধানের অযোগ্য</t>
  </si>
  <si>
    <t>একত্রিত করা বা সঠিকভাবে সেট আপ করা কঠিন</t>
  </si>
  <si>
    <t>এটি ব্যবহার করা যায় তবে এতে বিশেষ বৈশিষ্ট্য নেই</t>
  </si>
  <si>
    <t>এটি ব্যহার করার পর আমার শীতের রাতগুলো আরও আনন্দময় হয়েছে</t>
  </si>
  <si>
    <t>পকেট আকারের ভয়েস রেকর্ডার অডিও সঞ্চয় করে যদিও সঞ্চয়স্থান সীমিত</t>
  </si>
  <si>
    <t>এই শ্যাম্পুটি চুলের আর্দ্রতা ধরে রাখে</t>
  </si>
  <si>
    <t>হস্তনির্মিত পণ্যটির একটি অনন্য কবজ ছিল কিন্তু অসামঞ্জস্যপূর্ণ গুণমানে ভুগছিল প্রতিটি টুকরো পরবর্তী থেকে উল্লেখযোগ্যভাবে আলাদা</t>
  </si>
  <si>
    <t>খাদ্য প্রসেসরের ব্লেডগুলি দ্রুত নিস্তেজ হয়ে পড়ে যা কাটার দক্ষতার সাথে আপস করে</t>
  </si>
  <si>
    <t>দামের তুলনায় পরিমাণ ভালো প্যাকেটে অনেকগুলি বিস্কুট আছে</t>
  </si>
  <si>
    <t xml:space="preserve"> পাওয়ার কর্ডটি খুব ছোট রান্নাঘরে বসানোর বিকল্পগুলিকে সীমিত করে</t>
  </si>
  <si>
    <t>শিপিংয়ের সময় স্নানের তেলের বোতল ফুটো হয়ে যায় প্যাকেজের অন্যান্য আইটেমগুলি নষ্ট করে</t>
  </si>
  <si>
    <t>স্টাইল আরাম এবং শব্দের একটি নিখুঁত মিশ্রণ  একটি পাঁচ তারকা আনন্দ</t>
  </si>
  <si>
    <t>ডিজিটাল ফ্যাব্রিক পেইন্ট গানটি কাপড়ে রং করে তবে নোজল বন্ধ হয়ে যায়</t>
  </si>
  <si>
    <t>হ্যান্ডেলটি এমনভাবে ডিজাইন করা হয়েছে যাতে এটি সহজেই খুলে ফেলা সম্ভব</t>
  </si>
  <si>
    <t>ক্যানভাস উপাদানে একটি তীব্র রাসায়নিক গন্ধ ছিল</t>
  </si>
  <si>
    <t>প্রতিদিনের ব্যবহারের জন্য এই পেনসিলটি খুবই উপযুক্ত এটি দীর্ঘস্থায়ী এবং সাশ্রয়ী</t>
  </si>
  <si>
    <t>দাম অনুযায়ী কাজ করে তবে তেমন কিছুই নয়</t>
  </si>
  <si>
    <t>বুকশেলফটি খুবই সহজে অ্যাসেম্বল করা যায়</t>
  </si>
  <si>
    <t>ক্যানভাস উপাদানটিতে   মতো টেক্সচার ছিল যা পেইন্ট শোষণকে প্রভাবিত করে</t>
  </si>
  <si>
    <t>কয়েক ঘন্টা পর পর পরিবর্তন করতে হয়</t>
  </si>
  <si>
    <t>স্পর্শ নরম নয়</t>
  </si>
  <si>
    <t>এটি একটু পাতলা তবে আরও মজবুত হতে পারত</t>
  </si>
  <si>
    <t>জুতোর নকশা ভালো কিন্তু দৌড়ানোর সময় স্লিপ করে</t>
  </si>
  <si>
    <t>চুল পড়ার সমস্যা অনেকটাই কমে গেছে এই শ্যাম্পুর ব্যবহার করে</t>
  </si>
  <si>
    <t>স্বাস্থ্যকর উপাদান ব্যবহার করা হয়েছে যা আমার কাছে গুরুত্বপূর্ণ</t>
  </si>
  <si>
    <t>অফলাইন স্টোরে পাওয়া যাবে</t>
  </si>
  <si>
    <t>কাজ করে</t>
  </si>
  <si>
    <t>ফিল্টার পরিষ্কার করা প্রয়োজন</t>
  </si>
  <si>
    <t>গুণমান খুব ভালো এবং পরিষ্কার করা সহজ</t>
  </si>
  <si>
    <t>বইটি পড়ে অনেক নতুন জ্ঞান অর্জন করেছি</t>
  </si>
  <si>
    <t>এই ফ্লাশটি দ্রুত এবং নিশব্দে কাজ করে</t>
  </si>
  <si>
    <t>অতিরিক্ত প্লাস্টিক এবং অপ্রয়োজনীয় উপকরণ সহ প্যাকেজিংটি অযথা ছিল</t>
  </si>
  <si>
    <t>এটি কাপড় ঝুলাতে পারে তবে ভারী কাপড়ের ক্ষেত্রে সমস্যা হয়</t>
  </si>
  <si>
    <t>ভাঁজ করা যায়</t>
  </si>
  <si>
    <t>কখনো কখনো আলো জ্বলে না</t>
  </si>
  <si>
    <t>এটি ভেজা ও শুকনো উভয় চুলেই ব্যবহার করা যায়</t>
  </si>
  <si>
    <t xml:space="preserve"> বায়ুচলাচল ব্যবস্থা অপর্যাপ্ত যার ফলে এটি বর্ধিত ব্যবহারের সময় অতিরিক্ত গরম হয়ে যায়</t>
  </si>
  <si>
    <t>ভেজা অবস্থায় পানি কিছুটা গড়িয়ে পড়তে পারে</t>
  </si>
  <si>
    <t>রাতে হাঁটার সময় এটি ব্যবহারযোগ্য</t>
  </si>
  <si>
    <t>রঙ সূর্যালোকের সংস্পর্শে আসার পরে দ্রুত বিবর্ণ হয়ে যায় মাত্র কয়েক সপ্তাহ ব্যবহারের পরে এটিকে জীর্ণ এবং পুরানো দেখায়</t>
  </si>
  <si>
    <t>রিপেয়ার সার্ভিস একটি বিকল্প</t>
  </si>
  <si>
    <t>ঘড়িটির হাতগুলি খুবই স্পষ্ট</t>
  </si>
  <si>
    <t>ডাইনিং টেবিলের পা প্রশস্ত যা স্থিরতা প্রদান করে</t>
  </si>
  <si>
    <t>মপটি দিয়ে কাজ করতে খুব বেশি শক্তি লাগে না</t>
  </si>
  <si>
    <t>প্রচুর টুল রয়েছে গুণগত মান আরও ভালো হতে পারে</t>
  </si>
  <si>
    <t>বক্সযুক্ত তাত্ক্ষণিক ম্যাশড আলু একটি গুঁড়া স্বাদ ছিল এবং বাড়িতে তৈরি ক্রিমিনেসের অভাব ছিল</t>
  </si>
  <si>
    <t>প্রয়োজন মেটায় তবে সেরা নয়</t>
  </si>
  <si>
    <t>সারটি সাশ্রয়ী হলেও ফলনের পরিমাণ খুব বেশি বাড়েনি</t>
  </si>
  <si>
    <t>এখন পর্যন্ত যে কাজটি করছে</t>
  </si>
  <si>
    <t>ফ্যাব্রিকটির মান গড় এবং এটি কিছুটা সময়ের মধ্যে পরিধানযোগ্য হতে পারে</t>
  </si>
  <si>
    <t>রঙ নিরপেক্ষ যা কিছু ক্ষেত্রে একঘেয়ে লাগতে পারে</t>
  </si>
  <si>
    <t>মূল্যের সাথে মানের কিছু সম্পর্ক আছে</t>
  </si>
  <si>
    <t>খাবার গরম রাখে কিন্তু বেশিক্ষণ নয়</t>
  </si>
  <si>
    <t>ভালো স্বাদ তবে একটু বেশি ঠাণ্ডা লাগছে</t>
  </si>
  <si>
    <t>মোবাইলটির ইউআই অনেক ব্যবহারকারীবান্ধব</t>
  </si>
  <si>
    <t>গ্যালাক্সি ইয়ারবাডগুলি কিছু সমস্যা থাকতে পারে তবে সাধারণত ভালো কাজ করে</t>
  </si>
  <si>
    <t>গ্রাহক সেবা ভালো তবে কিছু সমস্যা এখনো সমাধান হয়নি</t>
  </si>
  <si>
    <t>মাইক্রোসফট  পার্সোনাল  বৈশিষ্ট্যগুলি পেওয়ালের পিছনে লক করা একটি স্ক্যামের মতো মনে হয়</t>
  </si>
  <si>
    <t xml:space="preserve"> কাস্টমাইজেশন বিকল্পগুলি ব্যবহারকারীর তাদের পছন্দ অনুসারে সেটিংস তৈরি করার ক্ষমতাকে সীমাবদ্ধ করে</t>
  </si>
  <si>
    <t>টেবিলের আকার মাঝারি সেন্টিমিটার লম্বা</t>
  </si>
  <si>
    <t>গুণের অভাব রয়েছে</t>
  </si>
  <si>
    <t>বাড়ির যেকোনো কোণে মানানসই</t>
  </si>
  <si>
    <t>এটি বাড়িকে আকর্ষণীয় করে তবে নাটকীয়ভাবে নয়</t>
  </si>
  <si>
    <t>সোফাটি বসার জন্য খুব আরামদায়ক এবং নরম</t>
  </si>
  <si>
    <t>এটি সহজেই মসৃণ হয়</t>
  </si>
  <si>
    <t>টুথব্রাশ জীবাণুমুক্ত করে তবে চার্জ কম টেকে</t>
  </si>
  <si>
    <t>কাপগুলিতে ধারালো প্রান্ত ছিল যা আমার হাত আঁচড়েছিল</t>
  </si>
  <si>
    <t>ভালো মানএত ভাল কাজ করেছি যে আমি দ্বিতীয়টি কিনেছি</t>
  </si>
  <si>
    <t>নকশা দৈনন্দিন পরিধানের জন্য অবাস্তব এবং অস্বস্তিকর</t>
  </si>
  <si>
    <t>প্রসবের সময় সীলমুক্ত পাত্র গ্রহণযোগ্য নয়</t>
  </si>
  <si>
    <t>ল্যাপটপটির ডিজাইন একদম প্রিমিয়াম দেখতে অনেক সুন্দর পাতলা এবং হালকা ডিজাইনটি বহন করতে অনেক সহজ</t>
  </si>
  <si>
    <t xml:space="preserve"> কম্পার্টমেন্টগুলো খারাপভাবে ডিজাইন করা হয়েছে যার ফলে জিনিসপত্র গুছিয়ে রাখা কঠিন</t>
  </si>
  <si>
    <t>বিভিন্ন আকারে পাওয়া যায় তবে সবগুলো দেখতে একই রকম</t>
  </si>
  <si>
    <t>তুচ্ছ এবং অতিরিক্ত দাম ক্রেতা সাবধান</t>
  </si>
  <si>
    <t>খুব মিষ্টি তবে কিছুটা তরল হয়ে গেছে</t>
  </si>
  <si>
    <t xml:space="preserve">  স্প্রে আমাকে ফুসকুড়ি দিয়েছে এবং আমার ত্বকে চুলকানি করেছে</t>
  </si>
  <si>
    <t>শিশুটি তার নতুন বই নিয়ে অনেক খুশি</t>
  </si>
  <si>
    <t>দোদুল্যমান এবং হতাশাজনক প্রস্তাবিত নয়</t>
  </si>
  <si>
    <t>পণ্যটি নির্ভরযোগ্য মনে হচ্ছে না</t>
  </si>
  <si>
    <t>বিজ্ঞাপন হিসাবে কাজ করে ভাল মান</t>
  </si>
  <si>
    <t>আইটেম এর নকশা বিবেচনার অভাব ছিল</t>
  </si>
  <si>
    <t>এর ক্রিস্পিনেস আর মিষ্টি লবণের মিশ্রণ এক কথায় অসাধারণ</t>
  </si>
  <si>
    <t xml:space="preserve"> বাইরের পৃষ্ঠ স্পর্শে গরম হয়ে যায় বিশেষ করে শিশুদের জন্য পোড়ার ঝুঁকি তৈরি করে</t>
  </si>
  <si>
    <t>কফির টক স্বাদ ছিল যা আন্ডার রোস্টিং নির্দেশ করে</t>
  </si>
  <si>
    <t>ঘরের পরিবেশকে ঠাণ্ডা রাখতে ফ্যানটি অসাধারণ কাজ করে</t>
  </si>
  <si>
    <t>শব্দের গুণমানের উপর ভিত্তি করে একটি হেডসেট যার স্থায়িত্ব বেশি</t>
  </si>
  <si>
    <t>মোবাইলটির ব্যাটারি স্ট্যান্ডবাই টাইম অনেক দীর্ঘ</t>
  </si>
  <si>
    <t>স্মার্ট ডোরবেলের মোশন সেন্সর গতিবিধি অবিশ্বস্ত নিরাপত্তা সনাক্ত করে না</t>
  </si>
  <si>
    <t>খেলনার কব্জা দুর্বল ছিল স্ন্যাপিং প্রবণ ছিল</t>
  </si>
  <si>
    <t>বৈদ্যুতিক লন মাওয়ারের ব্লেডগুলি দ্রুত নিস্তেজ হয়ে যায় অকার্যকর কাটা হয়</t>
  </si>
  <si>
    <t>প্রতিচ্ছবি দেখা যায় তবে খুব স্পষ্ট নয়</t>
  </si>
  <si>
    <t>আলমারির লক সিস্টেম খুব নির্ভরযোগ্য আমার মূল্যবান বইগুলো সুরক্ষিত</t>
  </si>
  <si>
    <t>গাছের বৃদ্ধি ভাল হলেও ফলন তেমন আশানুরূপ ছিল না</t>
  </si>
  <si>
    <t>একেবারে পারফেক্ট ভাজা হয়েছে মুখে দেওয়ার সাথে সাথে একধরনের সুন্দর স্ন্যাপিং সাউন্ড শুনতে পাই</t>
  </si>
  <si>
    <t>এগুলো খুব কমই কাজ করে</t>
  </si>
  <si>
    <t>তারবিহীন ডোরবেল ক্যামেরা কিছু চাহিদা পূরণ করতে পারে তবে সব নয়</t>
  </si>
  <si>
    <t>স্বয়ংক্রিয় কফি প্রস্তুতকারকের ক্যারাফে হ্যান্ডেলটি ক্ষীণ ভঙ্গুর বোধ করে</t>
  </si>
  <si>
    <t>অতিরিক্ত সময় ভিজালে তিক্ত হয়ে যেতে পারে</t>
  </si>
  <si>
    <t>তীক্ষ্ণতা বৃদ্ধির গতি অপেক্ষাকৃত কম</t>
  </si>
  <si>
    <t>এই কাজগুলার জন্য টেকনিক্যাল সাপোর্ট প্রয়োজন</t>
  </si>
  <si>
    <t>ত্বকের স্বাস্থ্যকর চমক আনে এই বডি ওয়াশ</t>
  </si>
  <si>
    <t>গুণমান ঠিক আছে তবে অসাধারণ নয় স্থায়িত্ব গড়</t>
  </si>
  <si>
    <t xml:space="preserve">  কাঁধের স্ট্র্যাপগুলি অস্বস্তিকর এবং ত্বকে খনন করে অস্বস্তি সৃষ্টি করে</t>
  </si>
  <si>
    <t>আমার চুল থেকে স্ট্যাটিক ইলেকট্রিসিটি দূর করতে সাহায্য করে</t>
  </si>
  <si>
    <t>রুচিসম্মত এবং আধুনিক লুক</t>
  </si>
  <si>
    <t>ফ্যানটির ব্যবহার খুব সহজ এবং প্রভাবশালী</t>
  </si>
  <si>
    <t>ওজন ঠিকই আছে তবে ঋতু অনুযায়ী মানানসই নয়</t>
  </si>
  <si>
    <t>এই স্পিকার কেনার পর থেকে টিভি দেখার অভিজ্ঞতা সম্পূর্ণ বদলে গেছে</t>
  </si>
  <si>
    <t>বিস্কুটটা খেতে মোটামুটি বিশেষ কিছু মনে হলো না</t>
  </si>
  <si>
    <t>এটি প্রাকৃতিকভাবে তাজা এবং বিশুদ্ধ</t>
  </si>
  <si>
    <t>উজ্জ্বলতা সামঞ্জস্য করার বিকল্প নেই</t>
  </si>
  <si>
    <t>ফ্যাব্রিক ক্ষীণ এবং ভঙ্গুর স্থায়িত্বের অভাব অনুভব করে</t>
  </si>
  <si>
    <t>শালীন মানের তবে পারফেক্ট নয়</t>
  </si>
  <si>
    <t>ক্রমাগত ময়লা সমস্যা সমাধান প্রয়োজন</t>
  </si>
  <si>
    <t>হেডফোনের ফিটিং ভালো এবং মানও ভালো কিন্তু কিছু সমস্যা আছে</t>
  </si>
  <si>
    <t>নতুন বইটির প্রতিটি গল্প অনেক মজার</t>
  </si>
  <si>
    <t>ডিজাইন কিছুটা সাধারণ</t>
  </si>
  <si>
    <t>সমস্ত ধাতব ব্যাক প্রতিস্থাপিত হয়েছে তবে কিছু সহজে হারিয়ে যায়</t>
  </si>
  <si>
    <t>ঘড়িটির ডিজাইন অত্যন্ত আকর্ষণীয়</t>
  </si>
  <si>
    <t xml:space="preserve"> নির্মাণ সামগ্রীগুলি সহজেই স্ক্র্যাচ করে সময়ের সাথে সাথে এটির উপস্থিতি হ্রাস পায়</t>
  </si>
  <si>
    <t>হেডফোনের মান ভালো এবং কিছু ব্যবহারকারী অন্যান্য বিকল্প বেছে নিয়েছেন</t>
  </si>
  <si>
    <t>ছাতাটি হালকা এবং সহজেই বহনযোগ্য</t>
  </si>
  <si>
    <t>পারফিউমের সুগন্ধ অনেক দীর্ঘস্থায়ী</t>
  </si>
  <si>
    <t>উচ্চ মানের নাম ব্রান্ড গুণমান ভালো মানএত ভাল কাজ করেছি যে আমি দ্বিতীয়টি কিনেছিঅসাধারণ একটি প্রোডাক্ট আমি খুবই আনন্দিত</t>
  </si>
  <si>
    <t xml:space="preserve"> দরজার সীলটি ছাঁচের বৃদ্ধির প্রবণতা ঘন ঘন পরিষ্কার এবং রক্ষণাবেক্ষণের প্রয়োজন</t>
  </si>
  <si>
    <t>ডায়াল পড়তে সুবিধা হবে আশা করা যায়</t>
  </si>
  <si>
    <t>টিপ ওভার সুইচ সেনসিটিভ</t>
  </si>
  <si>
    <t>ব্রাশের হ্যান্ডেলে স্লিপ প্রতিরোধী প্যাটার্ন রয়েছে</t>
  </si>
  <si>
    <t>একটি অত্যন্ত কার্যকর এয়ার কুলার</t>
  </si>
  <si>
    <t>ভাল কাজ করে</t>
  </si>
  <si>
    <t>খুবই সুস্বাদু এবং মানসম্মত একটি পণ্য</t>
  </si>
  <si>
    <t>নরম এবং কোমল স্পর্শ পায়ে দিতে ভালো লাগে</t>
  </si>
  <si>
    <t>চুলের গোড়া মজবুত রাখতে এই শ্যাম্পুটি দারুণ কাজ করে</t>
  </si>
  <si>
    <t>সারটি মোটামুটি ভালো হলেও বিশেষ কোনো পরিবর্তন হয়নি</t>
  </si>
  <si>
    <t>ঘনিষ্ঠভাবে পরিদর্শন করার পরে সেলাইটি ঢালু এবং বেমানান দেখায় যা দুর্বল কারুকার্য নির্দেশ করে</t>
  </si>
  <si>
    <t>এর ব্যবহার কিছুটা সীমিত</t>
  </si>
  <si>
    <t>আকার ঠিক আছে কিন্তু বিশেষ কোনো বৈশিষ্ট্য নেই</t>
  </si>
  <si>
    <t>স্বজ্ঞাত ইন্টারফেস এটি পরিচালনা করা চ্যালেঞ্জিং করেছে</t>
  </si>
  <si>
    <t>ডিজাইন সুন্দর কিন্তু সেলাই উন্নত নয়</t>
  </si>
  <si>
    <t>ঘরের বায়ুप্রবাহ ভালো রাখতে সাহায্য করে</t>
  </si>
  <si>
    <t>সেটের দাম তার মানের তুলনায় খুবই যুক্তিসঙ্গত এটি একটি দারুণ মূল্যের বিনিময়ে পাওয়া গেছে</t>
  </si>
  <si>
    <t>স্নানের লবণের সুগন্ধ খুব শক্তিশালী এবং কৃত্রিম ছিল আমার ত্বকে দীর্ঘায়িত ছিল</t>
  </si>
  <si>
    <t>সার্ভিং ডিশ নেই যা অসুবিধা হতে পারে</t>
  </si>
  <si>
    <t>বিউটি সোপটি দীর্ঘস্থায়ী সুগন্ধি প্রদান করে</t>
  </si>
  <si>
    <t>কাপড়টি উচ্চমানের এবং টেকসই</t>
  </si>
  <si>
    <t>শ্যাম্পুর ব্যবহার চুলের শুষ্কতা কমায়</t>
  </si>
  <si>
    <t>আইল্যাশ কার্লার চোখের পাতা চিমটি করে ব্যবহারের সময় অস্বস্তি সৃষ্টি করে</t>
  </si>
  <si>
    <t>কম্প্রেসার অত্যধিক তাপ উত্পাদন করে এর দীর্ঘায়ু সম্পর্কে উদ্বেগ বাড়ায়</t>
  </si>
  <si>
    <t>গহনাগুলির পাথরগুলি ন্যূনতম পরিধানের পরে পড়ে গিয়েছিল কুৎসিত ফাঁক রেখে এবং এর সামগ্রিক আবেদনকে হ্রাস করে</t>
  </si>
  <si>
    <t>এই ওয়াচের ডিজাইন অনেক স্টাইলিশ</t>
  </si>
  <si>
    <t>এটি একটি জ্যাকেট যা কিছু ত্রুটির সাথে রয়েছে</t>
  </si>
  <si>
    <t>কফির গুণমান দেখে মনে হয় এটি বিশেষ যত্নে তৈরি করা হয়েছে</t>
  </si>
  <si>
    <t>প্যাকেজিংটি ক্ষীণ এবং ছিঁড়ে যাওয়ার প্রবণ ছিল</t>
  </si>
  <si>
    <t>সুপার দ্রুত ডেলিভারি</t>
  </si>
  <si>
    <t>নির্দেশগুলি অস্পষ্ট এবং অনুসরণ করা কঠিন ছিল</t>
  </si>
  <si>
    <t>এটি মেকআপের গুণমান উন্নত করে</t>
  </si>
  <si>
    <t>ব্যবহারের সময় কোনো অতিরিক্ত শব্দ হয় না</t>
  </si>
  <si>
    <t>মানসম্মত উপস্থাপনা তাকে আকৃষ্ট করতে পারেনি</t>
  </si>
  <si>
    <t>কাপড়টি শ্বাসপ্রশ্বাস নেয় যা আরামদায়ক এবং ঠান্ডা অনুভূতি প্রদান করে</t>
  </si>
  <si>
    <t xml:space="preserve">গ্রেট পণ্যখুব সুন্দরসেরা </t>
  </si>
  <si>
    <t>আমি লক্ষ্য করেছি যে এই বালিশগুলি কোনও অস্বাভাবিক গন্ধ ছাড়ে না এটি একটি স্বাস্থ্যকর ঘুমের পরিবেশ তৈরি করে</t>
  </si>
  <si>
    <t>সুগন্ধ ছিল অপ্রস্তুত অস্থিরতার ইঙ্গিত সহ</t>
  </si>
  <si>
    <t>লাইটওয়েট যা মাঝে মাঝে অপ্রয়োজনীয় বোধ করতে পারে</t>
  </si>
  <si>
    <t>চার্জারের ফোল্ডিং প্রংগুলি জায়গায় লক থাকে না প্রায়শই অপ্রত্যাশিতভাবে খুলে যায়</t>
  </si>
  <si>
    <t>যেকোনো ঋতুতে পরার উপযোগী</t>
  </si>
  <si>
    <t>পরিবেশবান্ধব পণ্যটি স্থায়িত্বের কথা বলেছে তবে এটির অত্যধিক প্যাকেজিং এবং উত্পাদন প্রক্রিয়ার কারণে একটি উল্লেখযোগ্য কার্বন পদচিহ্ন রেখে গেছে</t>
  </si>
  <si>
    <t>ভালোবাসা যায় না</t>
  </si>
  <si>
    <t>উষ্ণ আবহাওয়ায় একটুখানি স্বস্তি দেয়</t>
  </si>
  <si>
    <t>দেখলেই মন ভালো হয়ে যায়</t>
  </si>
  <si>
    <t>স্বাদ ভালো তবে একটু বেশি চিনি</t>
  </si>
  <si>
    <t xml:space="preserve">সহজ অনেক ভাল </t>
  </si>
  <si>
    <t>রঙ সাদা যা সহজেই ময়লা দেখা যায়</t>
  </si>
  <si>
    <t>মূল্য সাশ্রয়ী কিন্তু উচ্চমানের প্রতীয়মান হয় না</t>
  </si>
  <si>
    <t>পুরো সেটটির সাথে ওয়ারেন্টি কার্ড দেওয়া আছে</t>
  </si>
  <si>
    <t>দুর্দান্ত পারফরম্যান্স এবং বিল্ড কোয়ালিটি</t>
  </si>
  <si>
    <t>ঘড়িটি অত্যন্ত নির্ভরযোগ্য</t>
  </si>
  <si>
    <t>চাকরিতে তেমন সাহায্য করেনি</t>
  </si>
  <si>
    <t>অতিথিরা বিশেষ মন্তব্য করেনি</t>
  </si>
  <si>
    <t>ইউভি নির্বীজনকারী সূক্ষ্ম জিনিসগুলিকে ক্ষতি করে অকার্যকর জীবাণুমুক্ত করে</t>
  </si>
  <si>
    <t>জুতার জন্য ব্যবহৃত উপাদান সহজে ছিঁড়ে যায় এবং স্থায়িত্বের ক্ষেত্রে আপস করে</t>
  </si>
  <si>
    <t>রঙটা প্রাণবন্ত তবে স্টিচিং টেকসই নয়</t>
  </si>
  <si>
    <t>বিরক্তিকর এবং পুনরাবৃত্তিমূলক নিস্তেজ রং অকল্পনীয় চিত্র</t>
  </si>
  <si>
    <t>সহজ সেট আপ</t>
  </si>
  <si>
    <t>বিভিন্ন রঙে উপলব্ধ</t>
  </si>
  <si>
    <t>মেয়েটি তার প্রজেক্টে পূর্ণ নম্বর পেয়েছে</t>
  </si>
  <si>
    <t>দাম অনুযায়ী আশা ছিল আরও বেশি</t>
  </si>
  <si>
    <t>বৈদ্যুতিক বাইকের সিট অস্বস্তিকর রাইডের সময় অস্বস্তি সৃষ্টি করে</t>
  </si>
  <si>
    <t>বৈদ্যুতিক স্কুটারের ব্রেকগুলি খুব সংবেদনশীল হঠাৎ স্টপগুলি ঝাঁকুনি দিচ্ছে৷</t>
  </si>
  <si>
    <t>অতিরিক্ত বাল্ক তৈরি না করে আমার মানিব্যাগে নিরাপদে ফিট করার জন্য যথেষ্ট পাতলা</t>
  </si>
  <si>
    <t>দুর্দান্ত অ্যান্ড্রয়েড ট্যাবলেট</t>
  </si>
  <si>
    <t>নকশা সাধারণ অসাধারণ নয়</t>
  </si>
  <si>
    <t>রঙ ধরে রাখে কিন্তু উজ্জ্বলতা কম</t>
  </si>
  <si>
    <t>মিনিফ্রিজ পানীয় ঠান্ডা করে না স্থানের অপচয়</t>
  </si>
  <si>
    <t>রাতে গরম রাখে তবে দিনের বেলায় একটু গরম লাগে</t>
  </si>
  <si>
    <t>টিনজাত টুনা মাছের গন্ধ ছিল এবং অত্যধিক নোনতা স্বাদযুক্ত যা নিম্নমানের নির্দেশ করে</t>
  </si>
  <si>
    <t>প্রথম দিকে ভালো তবে দীর্ঘমেয়াদী ব্যবহারে সমস্যা হতে পারে</t>
  </si>
  <si>
    <t>ডিভাইসটির কনেক্টিভিটি অপশন খুবই উন্নত</t>
  </si>
  <si>
    <t>বইটি আমাকে এক নতুন দৃষ্টিভঙ্গি দিয়েছে</t>
  </si>
  <si>
    <t>এন্টিএজিং গুণসম্পন্ন এই বডি ওয়াশ</t>
  </si>
  <si>
    <t>ল্যাম্পটির আলো পুরো ঘরে সুন্দরভাবে ছড়িয়ে পড়ে</t>
  </si>
  <si>
    <t>ব্লাশ পাউডারটি খুব নিছক দৃশ্যমান রঙের জন্য একাধিক স্তর প্রয়োজন</t>
  </si>
  <si>
    <t xml:space="preserve"> গ্রাফিক্স কার্ডটি কম শক্তিসম্পন্ন আধুনিক গেমস এবং গ্রাফিক্সনিবিড় অ্যাপ্লিকেশনগুলি পরিচালনা করতে লড়াই করে</t>
  </si>
  <si>
    <t>এটি কার্যকরী তবে কিছু ক্ষেত্রে সীমাবদ্ধ হতে পারে</t>
  </si>
  <si>
    <t>সারটি কাজে এসেছে তবে ফলন আরো বেশি হওয়া উচিত ছিল</t>
  </si>
  <si>
    <t>এটি অনেক দিন ধরে ব্যবহার করেছি এখনো সমস্যা ছাড়াই চলছে</t>
  </si>
  <si>
    <t>সকালসন্ধ্যা সবসময় সমানভাবে আকর্ষণীয়</t>
  </si>
  <si>
    <t>প্যাকেজিংও বেশ আকর্ষণীয়</t>
  </si>
  <si>
    <t>কাদাযুক্ত খাদ এবং মাফড হাই সহ ইয়ারফোনগুলির সাউন্ড কোয়ালিটি খারাপ যার ফলে শোনার অভিজ্ঞতা অসন্তুষ্ট হয়</t>
  </si>
  <si>
    <t>মাল্টিফাংশনাল গ্যাজেটটি আমার জীবনকে সহজ করার প্রতিশ্রুতি দিয়েছিল কিন্তু এর বিভ্রান্তিকর নিয়ন্ত্রণগুলির সাথে জিনিসগুলিকে আরও জটিল করে তুলেছে</t>
  </si>
  <si>
    <t>উৎপত্তি দক্ষিণ আমেরিকার সম্ভবত ব্রাজিল থেকে</t>
  </si>
  <si>
    <t>কম দামে এত ভালো ল্যাপটপ আশা করিনি খুব খুশি আমি একেবারে মুগ্ধ হয়েছি</t>
  </si>
  <si>
    <t>ধীরে ধীরে ময়লা জমে যেতে পারে</t>
  </si>
  <si>
    <t>মেকআপ কিটটির ফাউন্ডেশন ত্বকে মসৃণ ফিনিশ দেয়</t>
  </si>
  <si>
    <t>মাপ একদম ঠিকঠাক বিছানায় চাদরটি ফিট করে কোন জায়গায় জমাট বাঁধে না</t>
  </si>
  <si>
    <t>মেকআপ কিটটির আকার খুবই কমপ্যাক্ট</t>
  </si>
  <si>
    <t>এর স্বাদ আমাকে মনে করিয়ে দেয় সকালের সূর্যোদয়ের কথা</t>
  </si>
  <si>
    <t>পরিষ্কার করা তুলনামূলকভাবে সহজ</t>
  </si>
  <si>
    <t>চশমার ফ্রেমটি খুব মজবুত এবং লাইটওয়েট</t>
  </si>
  <si>
    <t>কথা বলা যায় সুন্দর ভাবে একদম ক্লিয়ার সাউন্ড</t>
  </si>
  <si>
    <t>মিষ্টি কম তবে কিছুটা তীব্র হতে পারতো</t>
  </si>
  <si>
    <t>ফ্যাব্রিকটি খুব পাতলা এবং শক্ত</t>
  </si>
  <si>
    <t>সূত্রে শঙ্কু এর কারণে চুলে রসালো অবশিষ্টাংশ অবশিষ্ট থাকে যা চুলকে অপরিষ্কার এবং ভারী দেখায়</t>
  </si>
  <si>
    <t>কনট্যুর পাউডারটি খুব গরমটোনড এটি ত্বকে কমলা দেখায়</t>
  </si>
  <si>
    <t>বিউটি সোপটি ত্বকের তেলতেলে ভাব কমায়</t>
  </si>
  <si>
    <t>ভাল ছোট ক্যামেরা ধীর  অ্যাপ্লিকেশন</t>
  </si>
  <si>
    <t>ঘরের সৌন্দর্য বাড়ায় তবে নাটকীয়ভাবে নয়</t>
  </si>
  <si>
    <t>বাক্সযুক্ত স্টাফিং মিশ্রণে একটি মসৃণ টেক্সচার এবং কৃত্রিম গন্ধ ছিল বাড়িতে তৈরি স্টাফিং থেকে অনেক দূরে</t>
  </si>
  <si>
    <t>সীল ছাড়াই প্রাপ্ত পণ্যের নিরাপত্তা অনিশ্চিত</t>
  </si>
  <si>
    <t>সীমিত ব্যাটারির ক্ষমতার জন্য বর্ধিত শুটিং সেশনের জন্য একাধিক অতিরিক্ত জিনিসপত্র বহন করা প্রয়োজন</t>
  </si>
  <si>
    <t>এটি স্থায়িত্বের অভাব হতে পারে</t>
  </si>
  <si>
    <t>অনেক ব্যবহার করার পর এটি এখনও ভাল কাজ করছে</t>
  </si>
  <si>
    <t>হিটিং ক্যাপাসিটি যথেষ্ট</t>
  </si>
  <si>
    <t>খাবার সংরক্ষণের জন্য ব্যবহার করা যায় তবে সম্পূর্ণ বায়ুরোধী নয়</t>
  </si>
  <si>
    <t>ব্যবহার করা যায় কিন্তু দীর্ঘস্থায়ী হবে কিনা সন্দেহ আছে</t>
  </si>
  <si>
    <t xml:space="preserve">কিছুটা শব্দ করে চলতে থাকে তবে তাপমাত্রা কমানোর ক্ষেত্রে খারাপ নয় </t>
  </si>
  <si>
    <t>বিস্কুটগুলি সঠিক আকারের  একবারে মুখে দেওয়ার পক্ষে পারফেক্ট</t>
  </si>
  <si>
    <t>পানীয়টা অনেক মিষ্টি তবে চিনির পরিমাণ একটু বেশি</t>
  </si>
  <si>
    <t>পারফেক্ট  কোয়ালিটি</t>
  </si>
  <si>
    <t>পরিবেশের তাপমাত্রা পরিবর্তনে প্রভাবিত হয় না</t>
  </si>
  <si>
    <t>দেখলেই মনে হয় একটি জীবন্ত দৃশ্য দেখছি</t>
  </si>
  <si>
    <t xml:space="preserve"> পাওয়ার কর্ড ফেটে গেছে এবং ক্ষতিগ্রস্থ হয়েছে এটি একটি নিরাপত্তা বিপত্তি তৈরি করেছে</t>
  </si>
  <si>
    <t>এটি সর্বদা পানীয় ছিটানো বন্ধ নাও করতে পারে এবং আইপ্যাড ব্যবহার করা চ্যালেঞ্জিং হতে পারে</t>
  </si>
  <si>
    <t>পাতলা দেয়াল পাত্রে ফাটল প্রবণ করে তোলে</t>
  </si>
  <si>
    <t>পানীয়টা সাধারণ তবে গন্ধ ভালো</t>
  </si>
  <si>
    <t>দাঁত তোলার খেলনার উপাদান খুব শক্ত যা দম বন্ধ হওয়ার ঝুঁকি তৈরি করে</t>
  </si>
  <si>
    <t>ব্যতিক্রমী কর্মক্ষমতা এবং ক্ষমতাগ্রেট পণ্যখুব সুন্দর</t>
  </si>
  <si>
    <t xml:space="preserve">  একটি অদ্ভুত নকশা ছিল যা অনলাইন ফটোগুলির মতো কিছুই দেখায়নি যা হতাশার দিকে পরিচালিত করেছিল</t>
  </si>
  <si>
    <t>ফ্যাব্রিক কিছুটা গড়পড়তা</t>
  </si>
  <si>
    <t>হেয়ার মাস্ক চুলের ওজন কমিয়ে দেয় এবং এটিকে পুষ্ট ও পুনরুজ্জীবিত করার পরিবর্তে লোম এবং চর্বিযুক্ত বোধ করে</t>
  </si>
  <si>
    <t>মিষ্টি ঠিক তবে চিনির পরিমাণ একটু বেশি মনে হয়েছে</t>
  </si>
  <si>
    <t>ঘরের মুড উন্নত করে তবে অতিরিক্ত নয়</t>
  </si>
  <si>
    <t>এই বডি ওয়াশ ব্যবহারে আপনি অনুভব করবেন আত্মতুষ্টি</t>
  </si>
  <si>
    <t>আউটডোর তারযুক্ত নিরাপত্তা ক্যামেরার একটি পর্যালোচনাতে সীমিত নির্ভরযোগ্যতা থাকতে পারে</t>
  </si>
  <si>
    <t>এই সেটটি আমার ঘরের সম্পূর্ণ চেহারা বদলে দিয়েছে</t>
  </si>
  <si>
    <t>প্যাকেজিং খোলা কঠিন ছিল প্রাপ্তবয়স্কদের সহায়তা প্রয়োজন</t>
  </si>
  <si>
    <t>অনেক দামি পোশাক মনে হয় পরলে</t>
  </si>
  <si>
    <t>ওয়্যারলেস ইয়ার ক্লিনারটি কান পরিষ্কার করে তবে ক্যামেরার মান নিম্ন</t>
  </si>
  <si>
    <t>ওরাইমো সবসময় সেরা দেয় পণ্যের গুণমান দুর্দান্ত  বাক্সের নিচে শুধুমাত্র একটি সিল ছিল উপরেও একটি সিল থাকা ভালো</t>
  </si>
  <si>
    <t>এক্সফোলিয়েটিং স্ক্রাবটিতে বড় দাগযুক্ত কণা থাকে যা ত্বকের পৃষ্ঠকে আঁচড়ে ফেলে এবং ক্ষতি করে</t>
  </si>
  <si>
    <t>গদি মাঝখানে ঝুলে যায় একটি অস্বস্তিকর ডুব তৈরি করে যা ঘুমের গুণমানকে প্রভাবিত করে</t>
  </si>
  <si>
    <t>নকশাটি আধুনিক এবং আকর্ষণীয়</t>
  </si>
  <si>
    <t>এনার্জি এফিসিয়েন্ট হওয়ায় বিদ্যুৎ বিল বেশি বাড়ে না</t>
  </si>
  <si>
    <t>পাওয়ার ব্যাঙ্কের চার্জিং তারের সংযোগকারীটি খারাপভাবে ডিজাইন করা হয়েছে বারবার ব্যবহার করলে সহজেই ভেঙে যায়</t>
  </si>
  <si>
    <t>বৈদ্যুতিক টুথব্রাশ এক সপ্তাহ পরে কাজ করা বন্ধ করে দিয়েছে প্রতিস্থাপন করা হয়নি</t>
  </si>
  <si>
    <t xml:space="preserve"> তারের দৈর্ঘ্য খুবই ছোট যা চলাচলকে সীমাবদ্ধ করে এবং পকেটে বা ব্যাগে থাকা ডিভাইসের সাথে কানেক্ট করার সময় কানে চাপ সৃষ্টি করে</t>
  </si>
  <si>
    <t>বেবি চেঞ্জিং প্যাডের উপরিভাগ খুব পিচ্ছিল বাচ্চাকে জায়গায় রাখা কঠিন করে তোলে</t>
  </si>
  <si>
    <t>যেকোনো দেয়ালে সহজে ঝোলানো যায়</t>
  </si>
  <si>
    <t>স্মার্ট পোস্চার করেক্টরটি ভঙ্গি সংশোধন করে তবে পরা অস্বস্তিকর</t>
  </si>
  <si>
    <t>বাক্সযুক্ত ম্যাক এবং পনিরের একটি পাউডারি টেক্সচার ছিল এবং পনিরের স্বাদের অভাব ছিল</t>
  </si>
  <si>
    <t xml:space="preserve"> কন্ট্রোল প্যানেল ঘন ঘন ত্রুটি কোড প্রদর্শন করে রান্নার সেশন ব্যাহত করে</t>
  </si>
  <si>
    <t>স্মার্ট চার্জিং প্রযুক্তি আমার ডিভাইসকে সুরক্ষিত রাখে</t>
  </si>
  <si>
    <t>আপনি যা প্রদান করেছেন তার জন্য ঠিক আছে তবে সেরা মানের নয়</t>
  </si>
  <si>
    <t>প্রতিবার ব্যবহারের পর ঝেড়ে নেওয়া উচিত</t>
  </si>
  <si>
    <t>ঘরের বিভিন্ন কোণে রেখে নতুন লুক দেওয়া যায়</t>
  </si>
  <si>
    <t>ঠিক আছে মনে হচ্ছে বিশেষ কিছু নয়</t>
  </si>
  <si>
    <t>কার্যকারিতা কিছুটা সীমিত হতে পারে</t>
  </si>
  <si>
    <t>তরল আইলাইনার সারা দিন ফ্লেক করে গালে কালো দাগ ফেলে</t>
  </si>
  <si>
    <t>একটু সস্তা অনুভূতি কিন্তু ভাল কাজ করে</t>
  </si>
  <si>
    <t>ছেলেটি খুব দ্রুত সাঁতার শিখেছে</t>
  </si>
  <si>
    <t>অত্যন্ত নির্ভরযোগ্য একটি পণ্য</t>
  </si>
  <si>
    <t xml:space="preserve"> আমি প্রতিদিন এটি ব্যবহার করি </t>
  </si>
  <si>
    <t>হালকা ওজনের কিন্তু এর কারণে ভঙ্গুর মনে হয়</t>
  </si>
  <si>
    <t>ব্রাশের ব্রিসলগুলো নরম এবং দাঁতের জন্য নিরাপদ</t>
  </si>
  <si>
    <t>অনুষ্ঠানের জন্য পারফেক্ট চয়েস</t>
  </si>
  <si>
    <t>মুগ্ধতা কিছু ততটা মনোমুগ্ধকর নয়</t>
  </si>
  <si>
    <t>ফ্যাব্রিকের দৃঢ়তা নড়াচড়া করা কঠিন করে তোলে   স্বাভাবিক নড়াচড়া সীমাবদ্ধ করে এবং অস্বস্তি সৃষ্টি করে</t>
  </si>
  <si>
    <t>হেয়ার মাস্ক ক্ষতিগ্রস্থ চুল মেরামত করার দাবি অনুযায়ী বাঁচেনি</t>
  </si>
  <si>
    <t>পেইন্টিং সেটে যথেষ্ট মিশ্রণ প্যালেট অন্তর্ভুক্ত ছিল না</t>
  </si>
  <si>
    <t>মগের হাতলটি কয়েকটি ব্যবহারের পরেই ভেঙে যায় এটি ধরে রাখা অসম্ভব করে তোলে</t>
  </si>
  <si>
    <t>ফ্রিজের ঠাণ্ডা রাখার ক্ষমতা চমৎকার</t>
  </si>
  <si>
    <t>দয়া করে গোলাপী চকচকে ফ্যাব্রিক ফিরিয়ে আনুন</t>
  </si>
  <si>
    <t>ব্যাস অত্যন্ত শক্তিশালী কিন্তু কখনোই অতিরিক্ত মনে হয় না সুন্দর ভারসাম্য বজায় রাখে</t>
  </si>
  <si>
    <t>টপের প্রান্তগুলি সামান্য মোড়ানো</t>
  </si>
  <si>
    <t>সাউন্ড কোয়ালিটি খারাপ ছিল ধাক্কাধাক্কি সংলাপ এবং কোন খাদ ছিল না</t>
  </si>
  <si>
    <t>বিজ্ঞাপিত গন্ধের সামান্য ঘ্রাণ সহ সুগন্ধটি ম্লান ছিল</t>
  </si>
  <si>
    <t>ক্যামেরার শরীরে এরগনোমিক গ্রিপ নেই</t>
  </si>
  <si>
    <t>এই সারটি ব্যবহার করার পর মাটির স্বাস্থ্য কিছুটা উন্নত হয়েছে তবে দীর্ঘস্থায়ী ফল পেতে আরও সময় লাগবে</t>
  </si>
  <si>
    <t>প্যাকেজিং সুন্দর তবে খেতে ভালো লাগে না</t>
  </si>
  <si>
    <t>অন্য ইলেকট্রনিক্সেও ব্যবহার করা যায়</t>
  </si>
  <si>
    <t>ত্বকের স্বাস্থ্য ও সৌন্দর্য উন্নত করে এই বডি ওয়াশ</t>
  </si>
  <si>
    <t>কারুশিল্পের জন্য বেশ ভালো তবে আরও উন্নতির সুযোগ আছে</t>
  </si>
  <si>
    <t>চুলের গোড়া মজবুত করে এই শ্যাম্পুটি</t>
  </si>
  <si>
    <t xml:space="preserve">
রঙের অমিল সস্তা চেহারা</t>
  </si>
  <si>
    <t>পরিষ্কার করার সময় সাবধান থাকতে হয়</t>
  </si>
  <si>
    <t>গুণমান কম পড়ে খরচের মূল্য নয়</t>
  </si>
  <si>
    <t>বিভিন্ন টেক্সচার আছে তবে সব একই রকম অনুভূত হয়</t>
  </si>
  <si>
    <t>প্যাকেটে নিদিষ্ট সংখ্যক প্যাড থাকে</t>
  </si>
  <si>
    <t>এটি একটি গড় পোশাক</t>
  </si>
  <si>
    <t>পোশাকের লুক সুন্দর তবে মাপটা ঠিক হয়নি</t>
  </si>
  <si>
    <t>কুইল্টারটি তুলা দিয়ে তৈরি নয় যা বেশ হতাশাজনক</t>
  </si>
  <si>
    <t>রোবোটিক ভ্যাকুয়াম দাগ মিস করে অসম্পূর্ণ পরিষ্কার করে</t>
  </si>
  <si>
    <t>পোশাকটি প্রাপ্তির সময় অনেকগুলি দোষ উপস্থিত যা গুণমান নিয়ন্ত্রণ নির্দেশ করে</t>
  </si>
  <si>
    <t>শব্দের মাত্রা গ্রহণযোগ্য মনে হয়</t>
  </si>
  <si>
    <t>শ্যাম্পুর সুগন্ধি বেশ লোভনীয়</t>
  </si>
  <si>
    <t>রঙটা অনেকদিন একই থাকে</t>
  </si>
  <si>
    <t>ভালো কাজ করে না কিন্তু দেখতে সুন্দর</t>
  </si>
  <si>
    <t>বইয়ের আলমারিটির রঙ সময়ের সাথে সাথে আরও সুন্দর হয়ে উঠবে</t>
  </si>
  <si>
    <t xml:space="preserve">  স্ক্রাবটি খুব রুক্ষ ছিল এবং আমার ত্বককে বিরক্ত করেছিল</t>
  </si>
  <si>
    <t xml:space="preserve">দুর্দান্ত জ্বালানী কাঠের ব্যাগ  </t>
  </si>
  <si>
    <t>ডিজাইন পছন্দ করতে হবে</t>
  </si>
  <si>
    <t>ক্ষতিগ্রস্থ বোতল লিক পণ্য প্রাপ্ত একটি অগোছালো এবং অপব্যয় অভিজ্ঞতা তৈরি</t>
  </si>
  <si>
    <t>পণ্যের মান সন্তোষজনক কিন্তু সাম্প্রতিক ডেলিভারি প্রতিরক্ষামূলক সীল ছাড়াই এসেছে</t>
  </si>
  <si>
    <t>ব্যাটারির স্থায়িত্ব বেশ ভালো দীর্ঘক্ষণ চার্জ ধরে রাখে</t>
  </si>
  <si>
    <t>দাম অনুযায়ী দুর্দান্ত ছোট ক্যামেরা দারুণ কাজ করে</t>
  </si>
  <si>
    <t>ঘড়িটি স্থাপন করা খুবই সহজ</t>
  </si>
  <si>
    <t>মনে হলো এতে ব্যবহৃত উপাদানগুলো বেশ মানসম্মত</t>
  </si>
  <si>
    <t>পিকনিক ব্যাস্কেটটি ব্যবহার করা যায় তবে এটি তুলনামূলকভাবে ভারী</t>
  </si>
  <si>
    <t>প্যাকেজিংটি এমনভাবে ডিজাইন করা হয়েছে যাতে এটি খোলা সহজ হয়</t>
  </si>
  <si>
    <t>আঙ্গুলের পুতুল অপর্যাপ্ত কমনীয়তা নেই</t>
  </si>
  <si>
    <t>নোটপ্যাড আঁকা মোটামুটি</t>
  </si>
  <si>
    <t>শ্যাম্পুর সুগন্ধি খুব মনোমুগ্ধকর</t>
  </si>
  <si>
    <t>এর শোষণ ক্ষমতা মধ্যম মানের</t>
  </si>
  <si>
    <t xml:space="preserve"> কানেক্টেড খুব দ্রুত হয় ধন্যবাদ গ্রেট অডিও কর্ড ব্যাটারি লাস্ট সময় খুব ভালো</t>
  </si>
  <si>
    <t>ব্যবহার করা যায় কিন্তু বিশেষ অভিজ্ঞতা দেয় না</t>
  </si>
  <si>
    <t>ফর্মুলাটি দ্রুত শুকায় কোনো স্মিয়ারিং হয় না</t>
  </si>
  <si>
    <t>টুথপেস্টের টিউব সহজে খোলা যেতে পারে</t>
  </si>
  <si>
    <t>পোর্টেবল ব্লুটুথ স্পিকার কম ভলিউম আছে সবেমাত্র শ্রবণযোগ্য</t>
  </si>
  <si>
    <t>শিশুটি নতুন খেলনা পেয়ে খুব আনন্দিত</t>
  </si>
  <si>
    <t>স্বাদ মন্দ না তবে কিছুটা কৃত্রিম গন্ধ অনুভব হয়েছে</t>
  </si>
  <si>
    <t>ল্যাপটপের স্ক্রিনের রেজোলিউশন বেশ স্পষ্ট</t>
  </si>
  <si>
    <t>অপ্রতিরোধ্য ভিজ্যুয়াল প্রাণবন্ততার অভাব</t>
  </si>
  <si>
    <t>অবশ্যই নরম নয় বিজ্ঞাপন হিসাবে</t>
  </si>
  <si>
    <t>কাপড়টি নরম এবং মসৃণ</t>
  </si>
  <si>
    <t>উত্পাদিত বরফের কিউবগুলি আদর্শ আকারের চেয়ে ছোট পানীয়গুলিতে দ্রুত গলে যায়</t>
  </si>
  <si>
    <t>পণ্যের বর্ণনা সম্ভবত এর বৈশিষ্ট্যগুলিকে পুরোপুরি উপস্থাপন করে না</t>
  </si>
  <si>
    <t>এই বডি ওয়াশ ব্যবহারে আপনি অনুভব করবেন সম্পূর্ণ</t>
  </si>
  <si>
    <t>কিছু উন্নতির সম্ভাবনা আছে</t>
  </si>
  <si>
    <t>তাপমাত্রা নিয়ন্ত্রণ অত্যধিক সংবেদনশীল যার ফলে দুর্ঘটনাজনিত সমন্বয় ঘটে</t>
  </si>
  <si>
    <t>নখের আকৃতি কোনো কিছু বুঝায় না</t>
  </si>
  <si>
    <t>পোশাক টেকসই তবে রঙ পছন্দ হয়নি</t>
  </si>
  <si>
    <t>নতুন সাইকেলটি চালাতে অনেক সহজ এবং আরামদায়ক</t>
  </si>
  <si>
    <t>এটি পরিচালনার জন্য প্রয়োজনীয় গুরুত্বপূর্ণ তথ্য</t>
  </si>
  <si>
    <t>কনট্যুর প্যালেটের ছায়াগুলি কর্দমাক্ত এবং নির্বিঘ্নে মিশ্রিত করা কঠিন</t>
  </si>
  <si>
    <t>চায়ের একটি পোড়া স্বাদ ছিল যা অতিরিক্ত ভাজা বা অনুপযুক্ত প্রস্তুতির ইঙ্গিত দেয়</t>
  </si>
  <si>
    <t>বিভিন্ন মহাদেশের ম্যাপ আছে তবে খুব সরলীকৃত</t>
  </si>
  <si>
    <t>শিশুর বিজ্ঞান শেখাতে সাহায্য করে তবে সাধারণ বিষয়ে</t>
  </si>
  <si>
    <t>মধুটি গরম পানিতে মিশিয়ে খাওয়া ভাল</t>
  </si>
  <si>
    <t>শিশুটি তার খেলার সময় অনেক মজা করে</t>
  </si>
  <si>
    <t xml:space="preserve">ঠিক আছে  দুর্দান্ত </t>
  </si>
  <si>
    <t>ডিশ র্যাকটি কাজে লাগে কিন্তু জায়গা বেশি নেয়</t>
  </si>
  <si>
    <t>গরম রাখার ক্ষমতা সাধারণ</t>
  </si>
  <si>
    <t>ভিতরের তাকগুলি সামঞ্জস্যযোগ্য নয় স্টোরেজের জন্য কাস্টমাইজেশন বিকল্পগুলিকে সীমিত করে</t>
  </si>
  <si>
    <t>স্বাদ ভালো কিন্তু এতে স্যাকারিন আছে যা কিছুটা অস্বাভাবিক</t>
  </si>
  <si>
    <t>সুগন্ধি বডি ওয়াশ আপনার ত্বককে করবে মোহময়</t>
  </si>
  <si>
    <t>সহজে স্ট্যাক করা যায় তবে উচ্চতায় অস্থির হয়</t>
  </si>
  <si>
    <t>স্থায়িত্বের দাবি থাকা সত্ত্বেও স্মার্টফোনের স্ক্রিন সামান্য ড্রপ থেকে ফাটল</t>
  </si>
  <si>
    <t>ল্যাটে আর্টের জন্য উপযুক্ত কিন্তু পারফরম্যান্স ভিন্ন হতে পারে</t>
  </si>
  <si>
    <t>গরম রাখে তবে অতিরিক্ত নয়</t>
  </si>
  <si>
    <t>ফার্নিচারগুলোর নীচের অংশে অ্যাডজাস্টেबল ফিট আছে</t>
  </si>
  <si>
    <t>এই বডি ওয়াশ ব্যবহারে আপনি অনুভব করবেন আরামদায়ক</t>
  </si>
  <si>
    <t>ভাইরাস মোট সুরক্ষা  সিস্টেমকে ধীর করে দেয় বিরক্তিকর পপআপগুলি</t>
  </si>
  <si>
    <t>আন্তর্জাতিক ওয়ারেন্টি নেই</t>
  </si>
  <si>
    <t xml:space="preserve"> কন্ট্রোল প্যানেলের বোতামগুলি দ্রুত ফুরিয়ে যায় সময়ের সাথে সাথে লেবেলগুলি বিবর্ণ হয়ে যায়৷</t>
  </si>
  <si>
    <t>অব্যবহারিক নকশা বহুমুখিতাকে সীমাবদ্ধ করে বিভিন্ন অনুষ্ঠানের জন্য উপযুক্ত নয়</t>
  </si>
  <si>
    <t>চা পাতাগুলি খুব মোটা ছিল যার ফলে কাপে একটি গ্রিটি টেক্সচার ছিল</t>
  </si>
  <si>
    <t>বোতল পকেটে রাখা যাবে</t>
  </si>
  <si>
    <t>ব্রাশের প্যাকেজে রিসাইকেল লোগো আছে</t>
  </si>
  <si>
    <t>হেয়ার ড্রায়ারের তাপ সেটিংস অসঙ্গতিপূর্ণ সময়ের সাথে সাথে চুলের ক্ষতি করে</t>
  </si>
  <si>
    <t>বিমানবন্দর ব্যাগ এবং গাড়ী চাবি জন্য পারফেক্ট</t>
  </si>
  <si>
    <t>মিশ্রণে কয়েক ধরনের বীন ব্যবহার করা হয়েছে</t>
  </si>
  <si>
    <t>মাখন ঘন এবং চর্বিযুক্ত ত্বকে শোষিত হতে অনেক সময় নেয় এবং পোশাকে দাগ ফেলে</t>
  </si>
  <si>
    <t>শিশুর দৃষ্টি আকর্ষণ করে কিন্তু বেশিক্ষণ ধরে রাখে না</t>
  </si>
  <si>
    <t>সহজে ফাটল ধরে না</t>
  </si>
  <si>
    <t>ব্যাটারি লাইফ মোটামুটি ভালো</t>
  </si>
  <si>
    <t>এর নরম এবং মোলায়েম অনুভূতি অতুলনীয়</t>
  </si>
  <si>
    <t>যেকোনো ঘরের শোভা বাড়ায়</t>
  </si>
  <si>
    <t>ব্রাশগুলির একটি শক্তিশালী রাসায়নিক গন্ধ ছিল</t>
  </si>
  <si>
    <t>আমি সম্প্রতি আমার মেয়ের জন্য একটি পুতুল কিনেছি এবং এটি নিয়ে আমরা দুজনেই খুব খুশি এই পুতুলটি সত্যিই অসাধারণ</t>
  </si>
  <si>
    <t>এই বডি ওয়াশ ব্যবহারে আপনার ত্বক হবে সুন্দর ও স্বাস্থ্যকর</t>
  </si>
  <si>
    <t>সারটি ব্যবহারে কিছুটা সুবিধা হয়েছে তবে দাম অনেক বেশি</t>
  </si>
  <si>
    <t>কোন প্রতিরক্ষামূলক সীল নেই পণ্যের অখণ্ডতা নেই</t>
  </si>
  <si>
    <t>কাপড়টি উচ্চমানের উপকরণ দিয়ে তৈরি</t>
  </si>
  <si>
    <t>নমনীয় সুরক্ষা দেয় তবে সব প্রয়োজন মেটাতে পারে না</t>
  </si>
  <si>
    <t>আইটেমটির নির্মাণ জং বা ক্ষয় প্রবণ ছিল</t>
  </si>
  <si>
    <t>এই ঔষধটি দ্রুত কাজ করে রোগের লক্ষণগুলি কমাতে সাহায্য করে দীর্ঘমেয়াদী স্বাস্থ্যের উন্নতি ঘটায় পার্শ্বপ্রতিক্রিয়া কম থাকে সহজে গিলতে পারা যায়</t>
  </si>
  <si>
    <t>ব্যবহার করা যায় কিন্তু প্রত্যাশা পূরণ করেনি</t>
  </si>
  <si>
    <t>অস্থিরতার কারণে ফিরে এসেছে অসন্তুষ্ট</t>
  </si>
  <si>
    <t>চা সেটের পেইন্ট চিপা এবং খোসা ছাড়ানো ছিল জীর্ণ দেখাচ্ছে</t>
  </si>
  <si>
    <t>নখের আকার বড় দেখায়</t>
  </si>
  <si>
    <t>বাথরুমের স্কেলগুলি ওজন পরিমাপ করে যদিও সংখ্যাগুলি পড়া কঠিন হতে পারে</t>
  </si>
  <si>
    <t>মেকআপ ব্রাশ ব্যবহার করা আনন্দদায়ক</t>
  </si>
  <si>
    <t>এই চায়ের স্বাদ আমাকে বারবার আকৃষ্ট করে</t>
  </si>
  <si>
    <t>মেকআপ কিটটির ব্রাশগুলি খুবই নরম</t>
  </si>
  <si>
    <t>নতুন জুতার ডিজাইন এবং রঙ অনেক সুন্দর</t>
  </si>
  <si>
    <t>প্রয়োজনে সহজে স্থানান্তর করা যাবে</t>
  </si>
  <si>
    <t>সেরা রাডার ডিটেক্টর</t>
  </si>
  <si>
    <t>মপের কাপড় পরিষ্কার করা সহজ</t>
  </si>
  <si>
    <t>যা চেয়েছিলাম কিন্তু রোমাঞ্চিত হইনি</t>
  </si>
  <si>
    <t>এটি যথাযথভাবে কাজ করে</t>
  </si>
  <si>
    <t>এর মজবুত কেবলের কারণে দীর্ঘদিন টিকে</t>
  </si>
  <si>
    <t>প্যাডটি পরিবেশবান্ধব এবং উচ্চমানের কাঁচামাল দিয়ে তৈরি যা সত্যিই প্রশংসনীয়</t>
  </si>
  <si>
    <t>বৈদ্যুতিক এয়ার পাম্পের পাওয়ার বোতাম জ্যাম বন্ধ করা কঠিন</t>
  </si>
  <si>
    <t>রংটি নিরপেক্ষ কোনো বিশেষ আকর্ষণ নেই</t>
  </si>
  <si>
    <t>ফ্যানটির ডিজাইন অত্যন্ত আকর্ষণীয় এবং সম্মতিপ্রাপ্ত</t>
  </si>
  <si>
    <t>ফ্যাব্রিকের মোচাকে চলার বিরুদ্ধে এবং সংবেদনশীলতা দেখায়</t>
  </si>
  <si>
    <t>অনুনাসিক অ্যাসপিরেটরের স্তন্যপান খুব দুর্বল এটি শিশুর নাক পরিষ্কার করার জন্য অকার্যকর করে তোলে</t>
  </si>
  <si>
    <t>খুব ভাল মানের</t>
  </si>
  <si>
    <t>দীর্ঘস্থায়িত্ব সম্পর্কে নিশ্চিত নই</t>
  </si>
  <si>
    <t>সেটের সাথে আসা ট্রাভেল বালিশটি খুবই কার্যকর এটি আমার ভ্রমণকে আরও আরামদায়ক করে তোলে</t>
  </si>
  <si>
    <t>হেয়ারস্প্রে আমার চুলের স্টাইল ধরে রাখতে ব্যর্থ হয়েছে এটিকে অলস এবং অনিয়মিত রেখে গেছে</t>
  </si>
  <si>
    <t>মোবাইলটির অডিও আউটপুট অনেক পরিষ্কার</t>
  </si>
  <si>
    <t>কুশনগুলি দীর্ঘক্ষণ ব্যবহার করার পরও আরামদায়ক থাকে</t>
  </si>
  <si>
    <t xml:space="preserve">আলহামদুলিল্লাহ সবই ঠিক আছে কিন্তু খাওয়ার পরে বোঝা যাবে ঔষধ টা কেমন কাজ করে
</t>
  </si>
  <si>
    <t>ফ্যানটির স্পীড নিয়ন্ত্রণ করা খুব সহজ এবং প্রভাবশালী</t>
  </si>
  <si>
    <t>ডেস্কের ড্রয়ারগুলোতে অর্গানাইজার আছে যা জিনিসপত্র গুছিয়ে রাখতে সাহায্য করে</t>
  </si>
  <si>
    <t>আমার সুবারুতে দারুণ কাজ করে</t>
  </si>
  <si>
    <t xml:space="preserve">  পলিশ খুব কঠোর ছিল এবং আমার ত্বক লাল করে রেখেছিল</t>
  </si>
  <si>
    <t>পড়তে কঠিন হওয়ায় তাপমাত্রা পরিমাপক সেটিংস সমন্বয় করা জটিল হয়ে গেছে</t>
  </si>
  <si>
    <t>সহজ এবং কার্যকারিতা সীমিত হতে পারে</t>
  </si>
  <si>
    <t>ডিসপ্লে স্ক্রিন বার্নইনএ ভুগছে যা দেখার অভিজ্ঞতাকে প্রভাবিত করে</t>
  </si>
  <si>
    <t>চমৎকার ক্যামেরা চমৎকার দাম তবে সব চাহিদা মেটাতে পারে না</t>
  </si>
  <si>
    <t>ফ্যাব্রিকের পাতলাতা এটি কুঁচকানো এবং ছিঁড়ে যাওয়ার প্রবণ করে তোলে</t>
  </si>
  <si>
    <t>মেকআপ ব্রাশ ব্যবহার করা হাইজিনিক</t>
  </si>
  <si>
    <t>ক্যানভাস দাগ এবং বিবর্ণ হয়েছে</t>
  </si>
  <si>
    <t>ক্যামেরাটির কিছু সংযোগ অপশন সীমাবদ্ধ যা ওয়্যারলেস ফাইল স্থানান্তর সহজ করে না</t>
  </si>
  <si>
    <t>পরিষ্কার করা সহজ তবে ফাঁকফোকরে ময়লা জমতে পারে</t>
  </si>
  <si>
    <t>এই শ্যাম্পুটি চুলকে সুস্থ ও সুন্দর রাখে</t>
  </si>
  <si>
    <t>কাগজের উপর লেখার সময় এর গ্রাফাইট খুব মসৃণভাবে চলে</t>
  </si>
  <si>
    <t>কনসিলারের কভারেজ নিছক ডার্ক সার্কেল বা দাগ কার্যকরভাবে লুকাতে ব্যর্থ</t>
  </si>
  <si>
    <t>পণ্যটি ব্যবহার করে মেঝে পরিষ্কার রাখা সম্ভব</t>
  </si>
  <si>
    <t>পণ্যের অখণ্ডতা এবং দীর্ঘায়ু নিয়ে উদ্বেগ</t>
  </si>
  <si>
    <t>শিশুটি নতুন খেলনা দিয়ে খুব আনন্দিত</t>
  </si>
  <si>
    <t>হাইলাইটারে চঙ্কি গ্লিটার কণা থাকে যা ত্বকের টেক্সচারের উপর জোর দেয়</t>
  </si>
  <si>
    <t xml:space="preserve"> ডিজাইনটি অস্বস্তিকর অল্প সময়ের ব্যবহারের পরেও কানে ব্যথা এবং জ্বালা সৃষ্টি করে</t>
  </si>
  <si>
    <t>পণ্যটি প্রত্যাশিত মানের তুলনায় কিছুটা ভিন্ন সঞ্চালিত হয়েছে</t>
  </si>
  <si>
    <t>মেকআপ ব্রাশ বিভিন্ন মৌসুমে ব্যবহার করা যায়</t>
  </si>
  <si>
    <t>সোফার কভার সহজেই খুলে ধোয়া যায়</t>
  </si>
  <si>
    <t>খেতে খেতে কখন শেষ হয়ে যায় টের পাই না</t>
  </si>
  <si>
    <t>চায়ের গুণমান দেখে মনে হয় এটি প্রিমিয়াম ব্র্যান্ডের</t>
  </si>
  <si>
    <t>নিশব্দে কাজ করে</t>
  </si>
  <si>
    <t>চুক্তিটি ভাল তবে দুর্দান্ত নয়</t>
  </si>
  <si>
    <t>পোর্টেবল ভয়েস চেইঞ্জারটি কণ্ঠস্বর বদলায় তবে কৃত্রিম শোনায়</t>
  </si>
  <si>
    <t>নখের স্বাস্থ্যের ওপর নেতিবাচক প্রভাবঘতে পারে</t>
  </si>
  <si>
    <t>বইটি আমার জীবনের দৃষ্টিভঙ্গি পরিবর্তন করেছে</t>
  </si>
  <si>
    <t>স্ক্রিনের রঙ ধুয়ে গেছে প্রাণবন্ততা এবং বৈপরীত্যের অভাব রয়েছে</t>
  </si>
  <si>
    <t>ক্রিমটি নখের চারপাশের ত্বককেও নরম করে</t>
  </si>
  <si>
    <t>গন্ধটি খুব অম্লীয় ছিল একটি কঠোর আফটারটেস্ট রেখেছিল</t>
  </si>
  <si>
    <t>কম্বলটি খুবই নরম এবং শীতে আরাম দেয়</t>
  </si>
  <si>
    <t>ওয়াশিং মেশিনটি কার্যকরী হলেও কিছু সময় পর পানি লিকেজের সমস্যা দেখা দেয়</t>
  </si>
  <si>
    <t>আশ্চর্যজনক মনিটর টিভিও</t>
  </si>
  <si>
    <t>মূল্যে সাশ্রয়ী মনে হচ্ছে</t>
  </si>
  <si>
    <t>প্রতিবার এই চা পান করে আমি অনুভব করি একটি আনন্দময় বিরতি</t>
  </si>
  <si>
    <t>অসংলগ্ন গুণমান পণ্য আসার পর ব্যবহার করা অনুভূত হয়েছে</t>
  </si>
  <si>
    <t>পোশাকটি ঠিক আছে তবে এতে বিশেষ কিছু নেই</t>
  </si>
  <si>
    <t>গল্পের প্রতিটি মোড় ছিল আকর্ষণীয়</t>
  </si>
  <si>
    <t>ডিজাইন আকর্ষণীয় তবে সেলাই ভালো নয়</t>
  </si>
  <si>
    <t>শেলফটির প্রতিটি স্তর ভালোভাবে সাজানো যায়</t>
  </si>
  <si>
    <t>জুতাগুলিতে পর্যাপ্ত খিলান সমর্থনের অভাব রয়েছে যা সময়ের সাথে সাথে পায়ে ক্লান্তি এবং অস্বস্তির দিকে পরিচালিত করে</t>
  </si>
  <si>
    <t xml:space="preserve">ভাল কাজ করে সেই </t>
  </si>
  <si>
    <t>এটাও বাকি পন্য থেকে ব্যতিক্রমী নয় মাঝারি মানের</t>
  </si>
  <si>
    <t>সিলভার ল্যাপেল পিন হোল্ডার সমস্ত পিন সুরক্ষিতভাবে ফিট নাও করতে পারে</t>
  </si>
  <si>
    <t>ফ্লেক্সিবল কিন্তু অতিরিক্ত নয়</t>
  </si>
  <si>
    <t>কফিতে একটি পোড়া গন্ধ ছিল যা অতিরিক্ত ভাজা হওয়ার ইঙ্গিত দেয়</t>
  </si>
  <si>
    <t>ফ্যানটির ডিজাইন খুবই সুন্দর এবং আধুনিক</t>
  </si>
  <si>
    <t>মোবাইলটির ক্যামেরা ছবির গুণগত মান অনেক উন্নত করে</t>
  </si>
  <si>
    <t>আইশ্যাডো প্রাইমার দ্রুত শুকিয়ে যায় যার ফলে আইশ্যাডো মসৃণভাবে মিশ্রিত করা কঠিন হয়ে পড়ে</t>
  </si>
  <si>
    <t>ধোয়ার পর রং দ্রুত বিবর্ণ হয়ে যায়</t>
  </si>
  <si>
    <t>পোর্টেবল ব্লেন্ডারের মোটর দ্রুত পুড়ে যায় ব্যবহারের অযোগ্য</t>
  </si>
  <si>
    <t>এর সুবিধা উন্নত করা যেতে পারে</t>
  </si>
  <si>
    <t>এই চিত্রকর্মের বিষয়বস্তু খুবই আকর্ষণীয়</t>
  </si>
  <si>
    <t>এর মসৃণ টেক্সচার আমাকে মুগ্ধ করে</t>
  </si>
  <si>
    <t>কাচের গুণমান প্রত্যাশা পূরণ করবে আশা করি</t>
  </si>
  <si>
    <t>মগের ডিজাইনটি অনেক আকর্ষণীয়</t>
  </si>
  <si>
    <t>সংযোজন করতে হয়েছিল তবে প্রক্রিয়াটি জটিল নয়</t>
  </si>
  <si>
    <t>নতুন চশমাটি দেখতে খুবই স্টাইলিশ</t>
  </si>
  <si>
    <t>ক্যামেরার টাচস্ক্রিন ইন্টারফেস দুর্ঘটনাজনিত স্পর্শের প্রবণ যা সেটিংসে অনিচ্ছাকৃত পরিবর্তনের দিকে পরিচালিত করে</t>
  </si>
  <si>
    <t>এককথায় অসাধারণ একটি প্রোডাক্ট খুব ভালো কাজ করছে</t>
  </si>
  <si>
    <t>হার্ডওয়্যার এবং সফটওয়্যারের সংমিশ্রণটি চমৎকার সব ধরনের সফটওয়্যার ভালোভাবে চলে</t>
  </si>
  <si>
    <t>হ্যান্ড স্যানিটাইজারের পাম্প মেকানিজম জ্যাম এটি বিতরণ করা কঠিন করে তোলে</t>
  </si>
  <si>
    <t>মূল্যের জন্য ঠিকই আছে তবে দীর্ঘস্থায়ী হবে কিনা সন্দেহ আছে</t>
  </si>
  <si>
    <t>মোবাইলটির সফটওয়্যার অপটিমাইজেশন চমৎকার</t>
  </si>
  <si>
    <t>সব আইটেম একই ধরনের কোনো বৈচিত্র্য নেই</t>
  </si>
  <si>
    <t>চার্জারের ইউএসবি পোর্টগুলি খুব টাইট অত্যধিক বল ছাড়া ডিভাইসগুলি প্লাগ করা কঠিন করে তোলে৷</t>
  </si>
  <si>
    <t>আমি লক্ষ্য করেছি যে আমার মেয়ে পুতুলের সাথে কথা বলার সময় নতুন শব্দ ব্যবহার করছে যা তার ভাষা দক্ষতা বাড়াচ্ছে</t>
  </si>
  <si>
    <t>পাওয়ার ব্যাঙ্কের চার্জিং পোর্টগুলি শিথিল হয়ে পড়ে ফলে সংযোগ বিচ্ছিন্ন হয়ে পড়ে</t>
  </si>
  <si>
    <t>কানের দুলটি মাঝে মাঝে ঠিকঠাক হয় না</t>
  </si>
  <si>
    <t xml:space="preserve"> টাইমার ফাংশন অবিশ্বস্ত কখনও কখনও সময় শেষ হলে সতর্ক করে না</t>
  </si>
  <si>
    <t>এটি ছোট শিশুদের জন্য নিরাপদ নয় কারণ এটি গিলে ফেলার ঝুঁকি থাকতে পারে</t>
  </si>
  <si>
    <t>কন্ডিশনার ভারী অনুভূত হয়েছিল এবং একটি চর্বিযুক্ত অবশিষ্টাংশ রেখে সঠিকভাবে ধুয়ে ফেলা হয়নি</t>
  </si>
  <si>
    <t>পেইন্টিং সেটে সঠিক পরিচ্ছন্নতার পদ্ধতির পর্যাপ্ত তথ্য অন্তর্ভুক্ত করা হয়নি</t>
  </si>
  <si>
    <t>আমাদের টিম সবসময় একসাথে কাজ করতে পছন্দ করে</t>
  </si>
  <si>
    <t>প্লেটগুলোর প্রান্ত সরু যা কিছু ক্ষেত্রে অসুবিধাজনক</t>
  </si>
  <si>
    <t>এটি ঠান্ডা খাবারের সাথে খাওয়া যায়</t>
  </si>
  <si>
    <t>ভ্রমণ বালিশের ফ্যাব্রিক ছিঁড়ে যায় ভরাট উপাদান উন্মুক্ত করে</t>
  </si>
  <si>
    <t>ঢাকনা পরিচালনা করা কঠিন হওয়ার কারণে ক্রমাগত ছিটকে পড়ে</t>
  </si>
  <si>
    <t>ফ্রেমের রঙ সাধারণ</t>
  </si>
  <si>
    <t>দৃঢ়ভাবে ধাক্কা না দিলে ফ্রিজের দরজাটি সঠিকভাবে বন্ধ হয় না যা শক্তির দক্ষতা সম্পর্কে উদ্বেগ বাড়ায়</t>
  </si>
  <si>
    <t xml:space="preserve">  পা অমসৃণ যার ফলে টেবিলটি নড়বড়ে হয়ে যায় এবং উপরে জিনিসপত্র রাখার জন্য এটিকে অস্থির করে তোলে</t>
  </si>
  <si>
    <t>প্রতিটি চরিত্র ছিল জীবন্ত</t>
  </si>
  <si>
    <t>টিব্যাগ ছিঁড়ে যাওয়ার প্রবণতা নেই মনে হয়</t>
  </si>
  <si>
    <t>ফ্যাব্রিকের টেক্সচার রুক্ষ এবং অপ্রীতিকর জ্বালা সৃষ্টি করে</t>
  </si>
  <si>
    <t>শ্যাম্পুটি চুলকে কোমল ও সিল্কি করে তোলে</t>
  </si>
  <si>
    <t>খাবারের তাজা ভাব বজায় রাখে তবে দীর্ঘ সময়ের জন্য নয়</t>
  </si>
  <si>
    <t>দাম প্রশ্নবিদ্ধ দৃঢ়তা মাঝারি</t>
  </si>
  <si>
    <t>দরজাগুলি সম্পূর্ণভাবে বন্ধ করা কঠিন সেগুলিকে আংশিকভাবে খোলা রেখে এবং বিষয়বস্তুগুলিকে ধুলো এবং ক্ষতির সম্মুখীন করে</t>
  </si>
  <si>
    <t>ফাউন্ডেশনটি ত্বকে ভারী বোধ করে ছিদ্র আটকে যায় এবং ব্রেকআউট সৃষ্টি করে</t>
  </si>
  <si>
    <t>গন্ধ বেশ ভালো তবে স্বাদে কোনো বিশেষত্ব নেই</t>
  </si>
  <si>
    <t>বইটির চিত্রণ দারুণ তবে লেখার মান কিছুটা উন্নত হতে পারত</t>
  </si>
  <si>
    <t>মেকআপ কিটটি ত্বকের স্বাভাবিক সৌন্দর্যকে ফুটিয়ে তোলে</t>
  </si>
  <si>
    <t>এই মোবাইলটি ব্যবহার করার পর থেকে অভিজ্ঞতা অসাধারণ</t>
  </si>
  <si>
    <t>চুল পড়া অনেক কমে গেছে এই শ্যাম্পু ব্যবহারের পর</t>
  </si>
  <si>
    <t>সুন্দর দেখতে কেসে থাকে</t>
  </si>
  <si>
    <t>এর চেহারা সাদামাটা</t>
  </si>
  <si>
    <t>এটি সহজে লেয়ার করা যায়</t>
  </si>
  <si>
    <t>স্যামসাং ভালো কিন্তু নিখুঁত নয়</t>
  </si>
  <si>
    <t>লেসগুলি সহজেই স্ন্যাপ করার প্রবণ ঘন ঘন প্রতিস্থাপনের প্রয়োজন</t>
  </si>
  <si>
    <t>নড়াচড়া করে কিন্তু গতি খুব ধীর</t>
  </si>
  <si>
    <t>কাপগুলি খুব পাতলা ছিল তাদের চিপ করার প্রবণতা তৈরি করে</t>
  </si>
  <si>
    <t>পোশাক দোষের সাথে আগত হয় যাতে গুণমান নিরীক্ষণের মন্তব্য নেই</t>
  </si>
  <si>
    <t>সোপটির ব্যবহার ত্বকের সংবেদনশীলতা কমায়</t>
  </si>
  <si>
    <t>হেয়ার স্ট্রেইটনারের প্লেট ছিঁড়ে ফেলে এবং চুল টেনে ধরে যার ফলে ক্ষতি হয়</t>
  </si>
  <si>
    <t>নরম থেকে অনেক দূরে এবং সবেমাত্র অনুভূত</t>
  </si>
  <si>
    <t>অনুপ্রাণিত শিল্পকর্ম প্রভাবিত করতে ব্যর্থ হয়েছে</t>
  </si>
  <si>
    <t>বৈদ্যুতিক টুথব্রাশের ব্রিসলস পড়ে যায় অকার্যকর পরিষ্কার হয়</t>
  </si>
  <si>
    <t>ওয়্যারলেস থার্মাল ক্যামেরাটি তাপ দেখায় তবে রেজোলিউশন কম</t>
  </si>
  <si>
    <t>ঢাকনা সীল অকার্যকর ছিল ঘন ঘন ফুটো নেতৃত্বে</t>
  </si>
  <si>
    <t>প্রথম কিছুদিন ভালো ছিল পরে কিছু সমস্যা দেখা দিয়েছে</t>
  </si>
  <si>
    <t>জাস্ট অ্যাভারেজ</t>
  </si>
  <si>
    <t>একটি দুর্দান্ত ভ্রমণ মনিটর তৈরি করে</t>
  </si>
  <si>
    <t>শ্যাম্পুর ব্যবহার চুলকে মজবুত ও স্বাস্থ্যকর করে তোলে</t>
  </si>
  <si>
    <t>ম্যাগাজিন র্যাকটি কাজ করে কিন্তু অ্যাসেম্বল করা কঠিন ছিল</t>
  </si>
  <si>
    <t>প্যাকেটে পর্যাপ্ত সংখ্যক প্যাড থাকে</t>
  </si>
  <si>
    <t>আইপ্যাড পরিষ্কারে উজ্জ্বল অনুভব করে</t>
  </si>
  <si>
    <t>অপ্রীতিকর জমিন মদ্যপান অপ্রীতিকর করে তোলে</t>
  </si>
  <si>
    <t>প্রতিদিন বিকেলে এই চা পান করে আমি শান্তি পাই</t>
  </si>
  <si>
    <t xml:space="preserve">  মাস্ক আমার ত্বকে ব্রণ তৈরি করেছে</t>
  </si>
  <si>
    <t>সৌরচালিত নিরাপত্তা ক্যামেরার নাইট ভিশন ঝাপসা পরিষ্কার ফুটেজ ক্যাপচার করতে পারে না</t>
  </si>
  <si>
    <t>এই চার্জারটি আমার প্রত্যাশা পূরণ করেছে</t>
  </si>
  <si>
    <t>ব্যাগের রিইনফোর্সড প্যাডিংয়ের অভাব আমার ডিভাইসটিকে ক্ষতির ঝুঁকিতে ফেলেছে যার ফলে ব্যয়বহুল মেরামত হয়েছে</t>
  </si>
  <si>
    <t>আকার ঠিক আছে নিখুঁত নয়</t>
  </si>
  <si>
    <t>ভিজ্যুয়াল পুনরাবৃত্তি বৈচিত্র্যের অভাব</t>
  </si>
  <si>
    <t>এটি সহজে ধোয়া যায় তবে শুকাতে কিছুটা সময় লাগে</t>
  </si>
  <si>
    <t>ক্যানভাসটি অসমভাবে প্রসারিত হয়েছে যার ফলে ওয়ারিং হচ্ছে</t>
  </si>
  <si>
    <t>শান্তিপূর্ণ অভিজ্ঞতা</t>
  </si>
  <si>
    <t>স্পীকারটি কাজ করে তবে বাস আরও ভালো হতে পারত</t>
  </si>
  <si>
    <t>ল্যাপটপটির কীবোর্ড এবং ট্র্যাকপ্যাড খুবই ব্যবহারবান্ধব টাইপিং এক্সপেরিয়েন্স অনেক ভালো</t>
  </si>
  <si>
    <t>রাতের ঘুমের জন্য এটি সত্যিই অনন্য</t>
  </si>
  <si>
    <t>প্রধান হতাশা পুনরাবৃত্তিমূলক সমস্যা</t>
  </si>
  <si>
    <t xml:space="preserve"> বাহ্যিক পৃষ্ঠটি সহজেই দাগ হয়ে যায় ঘন ঘন পরিষ্কারের প্রয়োজন হয়</t>
  </si>
  <si>
    <t>কম্প্রেশন মোজা ভালো তবে অসাধারণ নয়</t>
  </si>
  <si>
    <t>ত্বকের সৌন্দর্য বাড়ায় এই বডি ওয়াশ</t>
  </si>
  <si>
    <t xml:space="preserve">  ক্রিম খুব পুরু ছিল এবং  ত্বকে জ্বলন ধরায়</t>
  </si>
  <si>
    <t>দাঁতের ফাঁকে ফাঁকে সহজেই পৌঁছানো যায়</t>
  </si>
  <si>
    <t xml:space="preserve"> ব্যাটারি লাইফ সময়ের সাথে সাথে দ্রুত নষ্ট হয়ে যায় সারাদিনে ঘন ঘন চার্জ করার প্রয়োজন হয়</t>
  </si>
  <si>
    <t>এটি কিছুটা নমনীয় প্রকৃতির</t>
  </si>
  <si>
    <t>প্রতিবার নতুন প্যাকেট খোলার সময় আমি উত্তেজিত হয়ে পড়ি</t>
  </si>
  <si>
    <t>পেন্সিল পর্যাপ্তভাবে তীক্ষ্ণ হয় মাঝেমাঝে</t>
  </si>
  <si>
    <t>আইশ্যাডো প্যালেটের রঙগুলি প্যাচি এবং মিশ্রিত করা কঠিন</t>
  </si>
  <si>
    <t>আলহামদুলিল্লাহ অনেক ভালো প্রোডাক্ট আমি ভাবতেও পারিনি দারাজ থেকে এত ভালো প্রোডাক্ট পাব ধন্যবাদ দারাজ এবং সেলার</t>
  </si>
  <si>
    <t>সানগ্লাসের লেন্সগুলি সহজেই স্ক্র্যাচ করে দৃশ্যমানতা নষ্ট করে</t>
  </si>
  <si>
    <t>বিউটি সোপটি ত্বকের টোন উন্নত করে</t>
  </si>
  <si>
    <t xml:space="preserve"> ঘর পরিষ্কার রাখে তবে সাশ্রয়ী নয়</t>
  </si>
  <si>
    <t>পোশাক আরামদায়ক তবে কাট সমস্যা</t>
  </si>
  <si>
    <t>বিকল্প অংশ বা আনুষাঙ্গিকের পরিমাণ সীমিত</t>
  </si>
  <si>
    <t>সব মিলিয়ে এটি একটি দারুণ পণ্য</t>
  </si>
  <si>
    <t>পণ্যটি ঘর পরিষ্কার রাখতে সহায়তা করবে</t>
  </si>
  <si>
    <t>বেগুনি রঙের ভুল ছায়া এবং হতাশাজনক</t>
  </si>
  <si>
    <t>মোবাইলটির চার্জিং স্পিড অত্যন্ত দ্রুত</t>
  </si>
  <si>
    <t>তারা কাজ করে তবে আশা অনুযায়ী নয়</t>
  </si>
  <si>
    <t>রঙটি কিছু সময় স্থায়ী হয়</t>
  </si>
  <si>
    <t>রোবোটিক ভ্যাকুয়ামের ডাস্টবিন খুব ছোট ঘন ঘন খালি করা দরকার</t>
  </si>
  <si>
    <t>পণ্যটির রং পছন্দ হয়েছে</t>
  </si>
  <si>
    <t xml:space="preserve">শার্পনারটি সাধারণ মানের </t>
  </si>
  <si>
    <t>আমি এই চার্জারটি এর ওয়্যারলেস চার্জিং ক্ষমতার কারণে কিনেছি</t>
  </si>
  <si>
    <t>বিভিন্ন অনুষ্ঠানে ব্যবহার করা যায়</t>
  </si>
  <si>
    <t>সীমিত ওয়ারেন্টি কভারেজ আমাকে একটি ত্রুটিপূর্ণ পণ্যের সাথে আটকে রেখেছিল</t>
  </si>
  <si>
    <t>এটি রক্তচাপ নিয়ন্ত্রণে সহায়ক</t>
  </si>
  <si>
    <t>কিটটির প্রতিটি প্রোডাক্ট ব্যবহারে আরামদায়ক</t>
  </si>
  <si>
    <t>সামগ্রিকভাবে এটি একটি অসাধারণ ল্যাপটপ আমি এটি নিয়ে খুবই খুশি এবং সবাইকে সুপারিশ করছি</t>
  </si>
  <si>
    <t>এটি রঙ তত্ত্বের জন্য কার্যকর তবে কিছু সীমাবদ্ধতা রয়েছে</t>
  </si>
  <si>
    <t>হেডফোনের সাউন্ড কোয়ালিটি গড় এবং দাম একটু বেশি</t>
  </si>
  <si>
    <t>পেরেক ক্লিপারগুলি নিস্তেজ শিশুর নখ নিরাপদে ছাঁটাই করা কঠিন করে তোলে</t>
  </si>
  <si>
    <t>স্মার্ট থার্মোস্ট্যাটের তাপমাত্রা রিডিং ভুল ঘরের তাপমাত্রা প্রতিফলিত করে না</t>
  </si>
  <si>
    <t>মাউস প্যাডটি ব্যবহারে মসৃণ এবং কার্যকর</t>
  </si>
  <si>
    <t>দামের তুলনায় মানটা ঠিক মনে হ্য</t>
  </si>
  <si>
    <t>নোংরা পুতুল সামগ্রিক অভিজ্ঞতাকে কলঙ্কিত করে</t>
  </si>
  <si>
    <t>প্রত্যাশার তুলনায় ছোট</t>
  </si>
  <si>
    <t>এর অটোমেটিক ওপেনিং সিস্টেম অত্যন্ত সুবিধাজনক শুধু একটি বোতাম টিপলেই ছাতা খুলে যায়</t>
  </si>
  <si>
    <t>পণ্যটির গুণগত মান গ্রহণযোগ্য</t>
  </si>
  <si>
    <t>দীর্ঘ সময় ধরে একই জায়গায় ঘষা উচিত হবে না</t>
  </si>
  <si>
    <t>ঠান্ডা পানিতে চা তৈরি করা যায়</t>
  </si>
  <si>
    <t>মান ঠিক আছে মহান কিছু নয়</t>
  </si>
  <si>
    <t>দামের জন্য শালীন মানের তবে অসামান্য নয়</t>
  </si>
  <si>
    <t xml:space="preserve">  পৃষ্ঠটি জলরোধী নয় এটি ছিটকে পড়া এবং আর্দ্রতা থেকে ক্ষতির ঝুঁকিপূর্ণ করে তোলে</t>
  </si>
  <si>
    <t>বাথরোবের সিমগুলি কয়েকবার ধোয়ার পর পোশাকটি খুললে পূর্বাবস্থায় ফিরে আসে</t>
  </si>
  <si>
    <t>অসম হেমিং এবং স্লোপি সেলাই পোশাকের চেহারা নষ্ট করে</t>
  </si>
  <si>
    <t>সোপটি ত্বকের উজ্জ্বলতা বাড়ায়</t>
  </si>
  <si>
    <t>চায়ের টক আফটারটেস্ট ছিল যা অনুপযুক্ত চোলাই বা সংরক্ষণের নির্দেশ করে</t>
  </si>
  <si>
    <t>ভাইরাস ডিটেকশন অন্তর্ভুক্ত আছে এবং কার্জকর</t>
  </si>
  <si>
    <t>ল্যাপটপের ওজন তার আকারের সাথে অসামঞ্জস্যপূর্ণ এটি চারপাশে বহন করা কষ্টকর করে তোলে</t>
  </si>
  <si>
    <t>পারফিউমটি মৃদু  ও শক্তিশালী</t>
  </si>
  <si>
    <t>পায়ে দৈর্ঘ্য অদ্ভুত দেখায়</t>
  </si>
  <si>
    <t>ফলন কিছুটা বৃদ্ধি পেলেও সারটি আরও কার্যকরী হতে পারত</t>
  </si>
  <si>
    <t>সেটিং স্প্রেতে একটি শক্তিশালী অপ্রতিরোধ্য সুগন্ধ রয়েছে যা মাথাব্যথা শুরু করে</t>
  </si>
  <si>
    <t>বইটি আমাকে অন্যরকম জগতে নিয়ে গেছে</t>
  </si>
  <si>
    <t>বন্ধুত্বের ব্রেসলেটের জন্য একেবারেই যথেষ্ট</t>
  </si>
  <si>
    <t>সেলাই ভালো তবে কাপড় পাতলা</t>
  </si>
  <si>
    <t>এর কার্যক্ষমতা অত্যন্ত উচ্চ এবং কার্যকরী</t>
  </si>
  <si>
    <t>এটি আমার প্রিয় বিস্কুট হয়ে উঠেছে</t>
  </si>
  <si>
    <t>এই কানের দুলগুলোর ডিজাইন অত্যন্ত অভিনব এবং আকর্ষণীয়</t>
  </si>
  <si>
    <t>ফিট ঠিক আছে তবে বিশেষ কিছু নয়</t>
  </si>
  <si>
    <t>নরম তবে আশা মতো আরামদায়ক নয়</t>
  </si>
  <si>
    <t xml:space="preserve">  এক্সফোলিয়েন্ট ভয়ানক গন্ধ ছিল এবং আমার ত্বকের গঠন উন্নত করেনি</t>
  </si>
  <si>
    <t xml:space="preserve">  তেল খুব ভারী অনুভূত হয়েছিল এবং আমার কাপড়ে দাগ রেখেছিল</t>
  </si>
  <si>
    <t xml:space="preserve"> সাউন্ড সিগনেচার ভারসাম্যহীন অত্যধিক শক্তিশালী বেস বা পিয়ার্সিং ট্রেবল সহ সময়ের সাথে সাথে শ্রোতার ক্লান্তি সৃষ্টি হয়</t>
  </si>
  <si>
    <t>স্নানের মাদুরের স্তন্যপান কাপগুলি সঠিকভাবে মানায় না যার ফলে এটি চারপাশে পিছলে যায়</t>
  </si>
  <si>
    <t>কিছু নতুন তথ্য জানা গেছে কিন্তু উপস্থাপনা আরও আকর্ষণীয় হতে পারত</t>
  </si>
  <si>
    <t>মপ দিয়ে মেঝে দ্রুত শুকানো যায় তবে একটু অসুবিধা জনক</t>
  </si>
  <si>
    <t>আলমারির নকশা আধুনিক ও ক্লাসিক স্টাইলের সুন্দর মিশ্রণ</t>
  </si>
  <si>
    <t>গার্ডেনিং গ্লাভস এর সীমগুলি কয়েকবার ব্যবহারের পরে আলাদা হয়ে গেছে আমার হাত কাঁটার সাথে উন্মুক্ত করে দিয়েছে</t>
  </si>
  <si>
    <t>অত্যন্ত হাল্কা প্লাগগুণমান ভালো মান</t>
  </si>
  <si>
    <t>সহজে স্টোর করা যায় কিন্তু জায়গা বেশি লাগে</t>
  </si>
  <si>
    <t>এটি মেকআপের নিখুঁততা বাড়ায়</t>
  </si>
  <si>
    <t>কিছুটা উপকারিতা পরিলক্ষিত হলেও সারটির প্রভাব খুব বেশি ছিল না</t>
  </si>
  <si>
    <t>কঠিন ধাতু নির্মাণ নয় বরং প্লাস্টিক</t>
  </si>
  <si>
    <t>বৈদ্যুতিক প্রেসার কুকারের ঢাকনা ঠিকমতো সিল করে না বাষ্প চলে যায়</t>
  </si>
  <si>
    <t>অটো রিস্টার্ট ফিচারটি খুব কাজের বিদ্যুৎ চলে গেলেও ফিরে এলে এসি আবার চালু হয়ে যায়</t>
  </si>
  <si>
    <t xml:space="preserve">  স্ক্রাবটিতে ধারালো এক্সফোলিয়েটিং কণা ছিল যা স্যান্ডপেপারের মতো অনুভূত হয়েছিল</t>
  </si>
  <si>
    <t>প্রাথমিক প্রতিশ্রুতি সত্ত্বেও  টি দ্রুত তার আকৃতি হারায় এবং মাত্র কয়েকটি পরিধানের পরে ব্যাজি এবং আকারহীন হয়ে যায়</t>
  </si>
  <si>
    <t>গদি তাপ ধরে রাখে বিশেষ করে গরম আবহাওয়ায় ঘুমাতে অস্বস্তিকরভাবে উষ্ণ করে তোলে</t>
  </si>
  <si>
    <t xml:space="preserve"> ব্যাগের স্ট্র্যাপগুলি দীর্ঘ সময়ের জন্য পরতে অস্বস্তিকর ছিল যা দীর্ঘ দিন যাতায়াতের পরে আমার কাঁধে ব্যথা এবং ব্যথা করে</t>
  </si>
  <si>
    <t xml:space="preserve"> ফোল্ডিং প্রং মেকানিজম আলগা এবং বন্ধ থাকে না স্টোরেজ চলাকালীন ক্ষতির ঝুঁকি তৈরি করে</t>
  </si>
  <si>
    <t>চুলের তেল আমার চুলের ওজন কমিয়েছে এটিকে চ্যাপ্টা এবং চর্বিযুক্ত দেখাচ্ছে</t>
  </si>
  <si>
    <t>সানস্ক্রিনটি ত্বককে সূর্যের তাপ থেকে রক্ষা করে তবে কিছু সময় পর ত্বকে তেলতেলেভাব তৈরি হতে পারে</t>
  </si>
  <si>
    <t>দামের জন্য দুর্দান্ত ছোট ক্যামেরা</t>
  </si>
  <si>
    <t>দেখতে স্টাইলিশ এবং ব্যবহারেও টেকসই</t>
  </si>
  <si>
    <t>সেটের প্যাকেজিং অত্যধিক ছিল পরিবেশগত বর্জ্য অবদান</t>
  </si>
  <si>
    <t>প্যাকেজিংটা আকর্ষণীয়</t>
  </si>
  <si>
    <t>গরম পানি ঢালার সময় সতর্কতা অবলম্বন করতে হবে</t>
  </si>
  <si>
    <t>পানির রঙের জন্য উপযুক্ত</t>
  </si>
  <si>
    <t>শক্তপোক্ত ও টেকসই</t>
  </si>
  <si>
    <t>হেয়ারস্প্রে আমার চুলের স্টাইল ধরে রাখতে ব্যর্থ হয়েছে এটিকে সমতল রেখে এবং ভলিউমের অভাব রয়েছে</t>
  </si>
  <si>
    <t>ইন্সট্যান্ট নুডলস অত্যধিক নোনতা ছিল এবং এমএসজির দীর্ঘস্থায়ী স্বাদ রেখেছিল</t>
  </si>
  <si>
    <t>চমৎকার কিন্তু</t>
  </si>
  <si>
    <t>ফুলদানির ওজন কম সহজে নাড়াচাড়া করা যায়</t>
  </si>
  <si>
    <t>এটি শিশুর সামাজিক দক্ষতা বাড়াতে সহায়ক তবে সীমাবদ্ধ</t>
  </si>
  <si>
    <t>মোবাইলটির নোটিফিকেশন ম্যানেজমেন্ট চমৎকার</t>
  </si>
  <si>
    <t>খুবই দ্রুত এবং  ক্যাম্পেইনে অনেক কম মূল্যে পেয়েছি খুবই উপকারী সাপ্লিমেন্ট</t>
  </si>
  <si>
    <t xml:space="preserve">  সিরাম আমবাত মধ্যে ভেঙ্গে আমাকে আউট কারণে</t>
  </si>
  <si>
    <t>লিভইন কন্ডিশনারটি আমার চুলকে ভারি এবং নিস্তেজ বোধ করে</t>
  </si>
  <si>
    <t>এটি আনপ্লাগ করার পরে অল্প সময়ের মধ্যে ঠান্ডা হয়ে যায়</t>
  </si>
  <si>
    <t>প্যাডের আকার কিছুটা আলাদা</t>
  </si>
  <si>
    <t>প্রোডাক্টটা খুবই ভালো অনেক দিন ইউজ করার পরে বুঝেছি অ্যান্ড প্রোডাক্ট এর ওজন অনেক সবাই ইউজ করতে পারেন মাশাআল্লাহ খুবই ভালো</t>
  </si>
  <si>
    <t>এটি বেশ মজবুত তাই আমি নিশ্চিত যে এটি দীর্ঘদিন টিকবে</t>
  </si>
  <si>
    <t>পণ্যটির স্থায়িত্বের অভাব ছিল ন্যূনতম ব্যবহারের পরে ভেঙে যায়</t>
  </si>
  <si>
    <t>বিভিন্ন বয়সের শিশুদের জন্য উপযুক্ত তবে খুব ছোট বাচ্চাদের জন্য নয়</t>
  </si>
  <si>
    <t>নতুন ফোনের স্ক্রিন খুব বড় এবং স্পষ্ট</t>
  </si>
  <si>
    <t>বইয়ের কভার ডিজাইনটি খুবই আকর্ষণীয়</t>
  </si>
  <si>
    <t xml:space="preserve"> দারাজ থেকে কেনা প্রোডাক্ট সবসময়ই ভালো হয় ধন্যবাদ দারাজ</t>
  </si>
  <si>
    <t>কেবলটি একটু শক্ত সহজে বাঁকানো যায় না</t>
  </si>
  <si>
    <t>এগুলি লক হয়ে যায় এবং পড়ে যায় না কিছু পিনের জন্য খুব শক্ত হতে পারে</t>
  </si>
  <si>
    <t>জিপারগুলি ঠিকঠাক ছিল কিন্তু সামগ্রিকভাবে কিছুটা খারাপ ছিল</t>
  </si>
  <si>
    <t>সোলটি মসৃণ পৃষ্ঠে পিচ্ছিল পিছলে যাওয়া এবং আঘাতের ঝুঁকি তৈরি করে</t>
  </si>
  <si>
    <t>গদি কভারটি সস্তায় তৈরি হয় এবং সহজেই অশ্রু ফেলে ভিতরের স্তরগুলিকে ক্ষতিগ্রস্ত করে</t>
  </si>
  <si>
    <t xml:space="preserve">দাঁতের স্বাস্থ্যের জন্য এটি একদম উপযোগী </t>
  </si>
  <si>
    <t>এটি অতিরিক্ত গরম হলে বন্ধ হয়ে যায়</t>
  </si>
  <si>
    <t>এর মোটা মূল্যের ট্যাগ থাকা সত্ত্বেও গয়নাগুলি সস্তা এবং ক্ষীণ মনে হয়েছিল তার প্রতিশ্রুত গুণমান অনুযায়ী চলতে ব্যর্থ হয়েছে</t>
  </si>
  <si>
    <t xml:space="preserve"> চার্জিং পোর্ট চঞ্চল এবং ক্ষতির প্রবণ যার ফলে চার্জিংয়ে অসুবিধা এবং সম্ভাব্য দীর্ঘমেয়াদী সমস্যা</t>
  </si>
  <si>
    <t>টাইমার ফুরিয়ে গেলে মাইক্রোওয়েভ জোরে এবং অবিরাম বীপ করে বিরক্তিকরভাবে বিপর্যয়কর</t>
  </si>
  <si>
    <t>জিপার আটকে যায় বা সহজেই ভেঙে যায়</t>
  </si>
  <si>
    <t>প্রসেসর মিডরেঞ্জ দৈনন্দিন কাজে ঝরঝরে ভারী গেমিংয়ে কিছুটা হিমশিম খায়</t>
  </si>
  <si>
    <t>প্যাডটির অ্যাবসর্ভেন্স ক্ষমতা এবং আরামদায়কতা আমাকে প্রতিবারই মুগ্ধ করে</t>
  </si>
  <si>
    <t>সুন্দর এবং পুনব্যবহার কিছু সীমাবদ্ধতা সঙ্গে</t>
  </si>
  <si>
    <t xml:space="preserve"> দরজার কব্জা পিনটি আলগা যার ফলে দরজাটি খোলার সময় নড়বড়ে হয়ে যায়</t>
  </si>
  <si>
    <t>দাঁত এবং মাড়ি পরিষ্কার করতে খুবই কার্যকর</t>
  </si>
  <si>
    <t>কাঠামোটি মজবুত মনে হয়</t>
  </si>
  <si>
    <t xml:space="preserve">     তাকগুলি ক্ষীণ এবং তাদের উপর রাখা আইটেমগুলির ওজনের নীচে বাঁকানোর প্রবণ</t>
  </si>
  <si>
    <t>সময়ের সাথে সাথে পণ্যটির কর্মক্ষমতা খারাপ হয়েছে</t>
  </si>
  <si>
    <t>খুব পরিষ্কার ছবি এবং শব্দ মানের চমৎকার খুব সুন্দর</t>
  </si>
  <si>
    <t>ডিজাইন আকর্ষণীয় তবে ফ্যাব্রিক কম টেকসই</t>
  </si>
  <si>
    <t>শ্যাম্পুটি ব্যবহারের পর চুল এত সুন্দর লাগে</t>
  </si>
  <si>
    <t>এটি নতুনদের জন্য উপযুক্ত নয় খুব একটা</t>
  </si>
  <si>
    <t>মেকআপ কিটটি প্রতিদিনের ব্যবহারের জন্য খুবই কার্যকর</t>
  </si>
  <si>
    <t>বিভিন্ন স্বাদ অনুভব করানোর চেষ্টা আছে কিন্তু স্বাদগুলো স্পষ্ট নয়</t>
  </si>
  <si>
    <t>সুগন্ধটি দুর্বল এবং আমন্ত্রিত ছিল মানসম্পন্ন চায়ের সতেজতার অভাব ছিল</t>
  </si>
  <si>
    <t>সলিড কেনাবেচা রয়েছে মিশ্র পর্যালোচনা</t>
  </si>
  <si>
    <t>আমি এই ডিনার সেটের সামগ্রিক ডিজাইনের সরলতা পছন্দ করি এটি সহজেই যেকোনো ধরনের টেবল সেটিংয়ের সাথে মানানসই হয়</t>
  </si>
  <si>
    <t>ফুট ক্রিমটিতে একটি শক্তিশালী ঔষধি গন্ধ রয়েছে যা প্রয়োগের পরে দীর্ঘ সময় ধরে থাকে এটি ব্যবহারে অপ্রীতিকর করে তোলে</t>
  </si>
  <si>
    <t>লাউঞ্জ চেয়ারটিতে বসে বই পড়তে দারুণ আরাম লাগে</t>
  </si>
  <si>
    <t>ত্বকের ইলাস্টিসিটি বাড়ায় এই বডি ওয়াশ</t>
  </si>
  <si>
    <t>টুথপেস্টের ফর্মুলায় ক্যালসিয়াম আছে</t>
  </si>
  <si>
    <t>আমাদের অফিসের বস সবসময় সাহায্য করে</t>
  </si>
  <si>
    <t>ঝুলন্ত সজ্জার জন্য উপযুক্ত কিন্তু কিছু টেকসই নয়</t>
  </si>
  <si>
    <t>এর স্বাদ আমাকে মনে করিয়ে দেয় ঘরের আরামের কথা</t>
  </si>
  <si>
    <t>প্লাস্টিকের ফুলটি পরিচর্যা করা খুব সহজ</t>
  </si>
  <si>
    <t>খাবার সংরক্ষণের জন্য ব্যবহার করা যায় তবে বায়ুরোধী নয়</t>
  </si>
  <si>
    <t>তাপ রক্ষাকারী স্প্রে আমার চুলকে আঠালো বোধ করে এবং ওজন কমিয়ে দেয়</t>
  </si>
  <si>
    <t xml:space="preserve"> অন্তর্নির্মিত ক্যামেরাটির চিত্রের মান খারাপ ছিল যা দানাদার এবং পিক্সেলযুক্ত ভিডিও তৈরি করে</t>
  </si>
  <si>
    <t>ঠিক আছে বিশেষ কিছু নয়</t>
  </si>
  <si>
    <t>এটি মেকআপের স্বাভাবিকতা বজায় রাখে</t>
  </si>
  <si>
    <t xml:space="preserve"> আমাদের এখানে পাওয়া যাচ্ছিল না দারাজে পেয়েছি দামও একটু কমসাথে ফ্রী ডেলিভারি ধন্যবাদ</t>
  </si>
  <si>
    <t>হ্যান্ডেলটি শক্ত সহজে ভাঙার সম্ভাবনা কম</t>
  </si>
  <si>
    <t>মাঝারি মানের মানুষ</t>
  </si>
  <si>
    <t>শিশুর সানস্ক্রিনের সূত্রটি চর্বিযুক্ত এটি শিশুর ত্বকে লাগাতে অস্বস্তিকর করে তোলে</t>
  </si>
  <si>
    <t>পর্যাপ্ত প্যাকেজ করা হয়েছে</t>
  </si>
  <si>
    <t>আরেকটা অর্ডার দিলে কী হবে তা নিশ্চিত বলা যায় না</t>
  </si>
  <si>
    <t>এটি কিছু পরিমাণে আরামদায়ক</t>
  </si>
  <si>
    <t>নাতনির জন্য সেরা ক্রিসমাস উপহার নিখুঁত নয়</t>
  </si>
  <si>
    <t>প্রতিদিন সকালে এবং রাতে এটি ব্যবহার করলে মুখের সব ব্যাকটেরিয়া দূর হয়ে যায়</t>
  </si>
  <si>
    <t>ফিনিশিং মোটামুটি লেগেছে</t>
  </si>
  <si>
    <t>মূল্য সাশ্রয়ী কিন্তু গুণগত মান তেমন ভালো নয়</t>
  </si>
  <si>
    <t>এর স্বাদ এবং মান আমাকে মুগ্ধ করেছে</t>
  </si>
  <si>
    <t>এটি সহজে সংরক্ষণ করা যায়</t>
  </si>
  <si>
    <t>সহজ ব্যবহারযোগ্য তবে আরো ভালো ফলাফল আশা করা যায়</t>
  </si>
  <si>
    <t>সারটি কিছুটা কার্যকরী হলেও ফলন খুব বেশি বেড়েছে বলে মনে হয়নি</t>
  </si>
  <si>
    <t>ফিল্টার এফিশিয়েন্সি মোটামুটি</t>
  </si>
  <si>
    <t>স্মার্ট স্কেল অসামঞ্জস্যপূর্ণ রিডিং দেয় ওজন ট্র্যাক করার জন্য সঠিক নয়</t>
  </si>
  <si>
    <t>কর্মক্ষমতা এবং স্থায়িত্ব নিয়ে হতাশ</t>
  </si>
  <si>
    <t>ওয়াটারপ্রুফ স্পিকারটি সঙ্গীত বাজায় তবে বাস কম</t>
  </si>
  <si>
    <t>টিনজাত স্যুপটি পানিযুক্ত ছিল এবং এতে কোনো সবজি বা মাংসের অভাব ছিল না</t>
  </si>
  <si>
    <t>শিশুটি নতুন খেলনা দিয়ে সারাদিন মজা করেছে</t>
  </si>
  <si>
    <t>সব মিলিয়ে এটি একটি অসাধারণ পণ্য</t>
  </si>
  <si>
    <t>পরিষ্কার প্লাস্টিক টেকসই এবং হ্যান্ডেলটি কোণায় পৌঁছানোর জন্য ঝুঁকানো যায়</t>
  </si>
  <si>
    <t>অন্তর্ভুক্ত নির্দেশাবলী অস্পষ্ট এবং বিভ্রান্তিকর ছিল</t>
  </si>
  <si>
    <t>বইটির কভারও খুব সুন্দর</t>
  </si>
  <si>
    <t>মোবাইলটির অডিও রেকর্ডিং কোয়ালিটি খুবই পরিষ্কার</t>
  </si>
  <si>
    <t xml:space="preserve">প্রোডাক্টটা অনেক ভালো </t>
  </si>
  <si>
    <t>সৌরপোয়ার্ড আউটডোর থার্মোমিটার অনিশ্চিত রিডিং প্রদর্শন করে অবিশ্বস্ত</t>
  </si>
  <si>
    <t>আমার যা দরকার ছিল তার স্থায়িত্বের অভাব থাকতে পারে</t>
  </si>
  <si>
    <t>বৈদ্যুতিক শার্পনার ভাল মান আরও ভাল হতে পারে</t>
  </si>
  <si>
    <t>পোশাকটি খুবই লাইটওয়েট</t>
  </si>
  <si>
    <t>অসাধারণ ভেন্ট হোল্ডার</t>
  </si>
  <si>
    <t>কিছু পোকামাকড় দূর হয়েছে তবে বেশিরভাগ গাছের ওপর কোনও প্রভাব পড়েনি</t>
  </si>
  <si>
    <t>কফিতে সতেজতা স্বাদ বাসি এবং সমতলের অভাব ছিল</t>
  </si>
  <si>
    <t>ইলেকট্রনিক নেইল আর্ট প্রিন্টারটি নকশা তৈরি করে তবে কালি দ্রুত শুকায়</t>
  </si>
  <si>
    <t>ফ্রিজারে রাখা যায় তবে অতিরিক্ত ঠান্ডায় ফেটে যেতে পারে</t>
  </si>
  <si>
    <t>English Translation</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</si>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</sst>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color theme="1"/>
      <name val="Calibri"/>
      <scheme val="minor"/>
    </font>
    <font>
      <b/>
      <sz val="11"/>
      <color theme="1"/>
      <name val="Calibri"/>
      <family val="2"/>
      <scheme val="minor"/>
    </font>
    <font>
      <b/>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xf numFmtId="0" fontId="0" fillId="0" borderId="0" xfId="0" applyAlignment="1"/>
    <xf numFmtId="0" fontId="3" fillId="0" borderId="0" xfId="0" applyFont="1"/>
    <xf numFmtId="0" fontId="4"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686"/>
  <sheetViews>
    <sheetView tabSelected="1" workbookViewId="0">
      <selection activeCell="B1" sqref="B1"/>
    </sheetView>
  </sheetViews>
  <sheetFormatPr defaultColWidth="14.42578125" defaultRowHeight="15" customHeight="1" x14ac:dyDescent="0.25"/>
  <cols>
    <col min="1" max="1" width="89.28515625" customWidth="1"/>
    <col min="2" max="2" width="15" style="4" customWidth="1"/>
    <col min="3" max="3" width="80.28515625" customWidth="1"/>
    <col min="4" max="5" width="8.7109375" customWidth="1"/>
  </cols>
  <sheetData>
    <row r="1" spans="1:3" x14ac:dyDescent="0.25">
      <c r="A1" s="1" t="s">
        <v>0</v>
      </c>
      <c r="B1" s="6" t="s">
        <v>8690</v>
      </c>
      <c r="C1" s="5" t="s">
        <v>8689</v>
      </c>
    </row>
    <row r="2" spans="1:3" x14ac:dyDescent="0.25">
      <c r="A2" s="2" t="s">
        <v>1</v>
      </c>
      <c r="B2" s="3" t="s">
        <v>2</v>
      </c>
      <c r="C2" s="2" t="str">
        <f ca="1">IFERROR(__xludf.DUMMYFUNCTION("GOOGLETRANSLATE(A2,""bn"",""en"")"),"Great but disappointingly small")</f>
        <v>Great but disappointingly small</v>
      </c>
    </row>
    <row r="3" spans="1:3" x14ac:dyDescent="0.25">
      <c r="A3" s="2" t="s">
        <v>3</v>
      </c>
      <c r="B3" s="3" t="s">
        <v>4</v>
      </c>
      <c r="C3" s="2" t="str">
        <f ca="1">IFERROR(__xludf.DUMMYFUNCTION("GOOGLETRANSLATE(A3,""bn"",""en"")"),"The design is very fashionable")</f>
        <v>The design is very fashionable</v>
      </c>
    </row>
    <row r="4" spans="1:3" x14ac:dyDescent="0.25">
      <c r="A4" s="2" t="s">
        <v>5</v>
      </c>
      <c r="B4" s="3" t="s">
        <v>6</v>
      </c>
      <c r="C4" s="2" t="str">
        <f ca="1">IFERROR(__xludf.DUMMYFUNCTION("GOOGLETRANSLATE(A4,""bn"",""en"")")," was poorly roasted resulting in uneven flavor development")</f>
        <v xml:space="preserve"> was poorly roasted resulting in uneven flavor development</v>
      </c>
    </row>
    <row r="5" spans="1:3" x14ac:dyDescent="0.25">
      <c r="A5" s="2" t="s">
        <v>7</v>
      </c>
      <c r="B5" s="3" t="s">
        <v>4</v>
      </c>
      <c r="C5" s="2" t="str">
        <f ca="1">IFERROR(__xludf.DUMMYFUNCTION("GOOGLETRANSLATE(A5,""bn"",""en"")"),"Suitable for the whole family")</f>
        <v>Suitable for the whole family</v>
      </c>
    </row>
    <row r="6" spans="1:3" x14ac:dyDescent="0.25">
      <c r="A6" s="2" t="s">
        <v>8</v>
      </c>
      <c r="B6" s="3" t="s">
        <v>6</v>
      </c>
      <c r="C6" s="2" t="str">
        <f ca="1">IFERROR(__xludf.DUMMYFUNCTION("GOOGLETRANSLATE(A6,""bn"",""en"")")," The set pieces were poorly painted with smudges and stains")</f>
        <v xml:space="preserve"> The set pieces were poorly painted with smudges and stains</v>
      </c>
    </row>
    <row r="7" spans="1:3" x14ac:dyDescent="0.25">
      <c r="A7" s="2" t="s">
        <v>9</v>
      </c>
      <c r="B7" s="3" t="s">
        <v>2</v>
      </c>
      <c r="C7" s="2" t="str">
        <f ca="1">IFERROR(__xludf.DUMMYFUNCTION("GOOGLETRANSLATE(A7,""bn"",""en"")"),"Playdo is dry and cannot be used")</f>
        <v>Playdo is dry and cannot be used</v>
      </c>
    </row>
    <row r="8" spans="1:3" x14ac:dyDescent="0.25">
      <c r="A8" s="2" t="s">
        <v>10</v>
      </c>
      <c r="B8" s="3" t="s">
        <v>4</v>
      </c>
      <c r="C8" s="2" t="str">
        <f ca="1">IFERROR(__xludf.DUMMYFUNCTION("GOOGLETRANSLATE(A8,""bn"",""en"")"),"No smell which is good")</f>
        <v>No smell which is good</v>
      </c>
    </row>
    <row r="9" spans="1:3" x14ac:dyDescent="0.25">
      <c r="A9" s="2" t="s">
        <v>11</v>
      </c>
      <c r="B9" s="3" t="s">
        <v>2</v>
      </c>
      <c r="C9" s="2" t="str">
        <f ca="1">IFERROR(__xludf.DUMMYFUNCTION("GOOGLETRANSLATE(A9,""bn"",""en"")"),"There should be sufficient number of pads in the packet")</f>
        <v>There should be sufficient number of pads in the packet</v>
      </c>
    </row>
    <row r="10" spans="1:3" x14ac:dyDescent="0.25">
      <c r="A10" s="2" t="s">
        <v>12</v>
      </c>
      <c r="B10" s="3" t="s">
        <v>4</v>
      </c>
      <c r="C10" s="2" t="str">
        <f ca="1">IFERROR(__xludf.DUMMYFUNCTION("GOOGLETRANSLATE(A10,""bn"",""en"")")," Charge backup is available")</f>
        <v xml:space="preserve"> Charge backup is available</v>
      </c>
    </row>
    <row r="11" spans="1:3" x14ac:dyDescent="0.25">
      <c r="A11" s="2" t="s">
        <v>13</v>
      </c>
      <c r="B11" s="3" t="s">
        <v>6</v>
      </c>
      <c r="C11" s="2" t="str">
        <f ca="1">IFERROR(__xludf.DUMMYFUNCTION("GOOGLETRANSLATE(A11,""bn"",""en"")"),"Despite minimal usage and few installed apps, the phone's storage space fills up quickly")</f>
        <v>Despite minimal usage and few installed apps, the phone's storage space fills up quickly</v>
      </c>
    </row>
    <row r="12" spans="1:3" x14ac:dyDescent="0.25">
      <c r="A12" s="2" t="s">
        <v>14</v>
      </c>
      <c r="B12" s="3" t="s">
        <v>2</v>
      </c>
      <c r="C12" s="2" t="str">
        <f ca="1">IFERROR(__xludf.DUMMYFUNCTION("GOOGLETRANSLATE(A12,""bn"",""en"")"),"Good value for money but the item is faulty")</f>
        <v>Good value for money but the item is faulty</v>
      </c>
    </row>
    <row r="13" spans="1:3" x14ac:dyDescent="0.25">
      <c r="A13" s="2" t="s">
        <v>15</v>
      </c>
      <c r="B13" s="3" t="s">
        <v>4</v>
      </c>
      <c r="C13" s="2" t="str">
        <f ca="1">IFERROR(__xludf.DUMMYFUNCTION("GOOGLETRANSLATE(A13,""bn"",""en"")"),"It is the best in terms of cost and effectiveness")</f>
        <v>It is the best in terms of cost and effectiveness</v>
      </c>
    </row>
    <row r="14" spans="1:3" x14ac:dyDescent="0.25">
      <c r="A14" s="2" t="s">
        <v>16</v>
      </c>
      <c r="B14" s="3" t="s">
        <v>4</v>
      </c>
      <c r="C14" s="2" t="str">
        <f ca="1">IFERROR(__xludf.DUMMYFUNCTION("GOOGLETRANSLATE(A14,""bn"",""en"")"),"The screen brightness of the mobile is very high")</f>
        <v>The screen brightness of the mobile is very high</v>
      </c>
    </row>
    <row r="15" spans="1:3" x14ac:dyDescent="0.25">
      <c r="A15" s="2" t="s">
        <v>17</v>
      </c>
      <c r="B15" s="3" t="s">
        <v>2</v>
      </c>
      <c r="C15" s="2" t="str">
        <f ca="1">IFERROR(__xludf.DUMMYFUNCTION("GOOGLETRANSLATE(A15,""bn"",""en"")"),"Payment options are flexible")</f>
        <v>Payment options are flexible</v>
      </c>
    </row>
    <row r="16" spans="1:3" x14ac:dyDescent="0.25">
      <c r="A16" s="2" t="s">
        <v>18</v>
      </c>
      <c r="B16" s="3" t="s">
        <v>4</v>
      </c>
      <c r="C16" s="2" t="str">
        <f ca="1">IFERROR(__xludf.DUMMYFUNCTION("GOOGLETRANSLATE(A16,""bn"",""en"")"),"The space management of the wardrobe has been done very intelligently")</f>
        <v>The space management of the wardrobe has been done very intelligently</v>
      </c>
    </row>
    <row r="17" spans="1:3" x14ac:dyDescent="0.25">
      <c r="A17" s="2" t="s">
        <v>19</v>
      </c>
      <c r="B17" s="3" t="s">
        <v>6</v>
      </c>
      <c r="C17" s="2" t="str">
        <f ca="1">IFERROR(__xludf.DUMMYFUNCTION("GOOGLETRANSLATE(A17,""bn"",""en"")"),"  Defective products indicate a lack of quality assurance")</f>
        <v xml:space="preserve">  Defective products indicate a lack of quality assurance</v>
      </c>
    </row>
    <row r="18" spans="1:3" x14ac:dyDescent="0.25">
      <c r="A18" s="2" t="s">
        <v>20</v>
      </c>
      <c r="B18" s="3" t="s">
        <v>2</v>
      </c>
      <c r="C18" s="2" t="str">
        <f ca="1">IFERROR(__xludf.DUMMYFUNCTION("GOOGLETRANSLATE(A18,""bn"",""en"")"),"Works well in most cases but has room for improvement")</f>
        <v>Works well in most cases but has room for improvement</v>
      </c>
    </row>
    <row r="19" spans="1:3" x14ac:dyDescent="0.25">
      <c r="A19" s="2" t="s">
        <v>21</v>
      </c>
      <c r="B19" s="3" t="s">
        <v>4</v>
      </c>
      <c r="C19" s="2" t="str">
        <f ca="1">IFERROR(__xludf.DUMMYFUNCTION("GOOGLETRANSLATE(A19,""bn"",""en"")"),"Still holding tight, very nice")</f>
        <v>Still holding tight, very nice</v>
      </c>
    </row>
    <row r="20" spans="1:3" x14ac:dyDescent="0.25">
      <c r="A20" s="2" t="s">
        <v>22</v>
      </c>
      <c r="B20" s="3" t="s">
        <v>2</v>
      </c>
      <c r="C20" s="2" t="str">
        <f ca="1">IFERROR(__xludf.DUMMYFUNCTION("GOOGLETRANSLATE(A20,""bn"",""en"")"),"Somewhat comfortable but not the best")</f>
        <v>Somewhat comfortable but not the best</v>
      </c>
    </row>
    <row r="21" spans="1:3" ht="15.75" customHeight="1" x14ac:dyDescent="0.25">
      <c r="A21" s="2" t="s">
        <v>23</v>
      </c>
      <c r="B21" s="3" t="s">
        <v>2</v>
      </c>
      <c r="C21" s="2" t="str">
        <f ca="1">IFERROR(__xludf.DUMMYFUNCTION("GOOGLETRANSLATE(A21,""bn"",""en"")"),"The effect of the fertilizer was not much but was suitable for the plant")</f>
        <v>The effect of the fertilizer was not much but was suitable for the plant</v>
      </c>
    </row>
    <row r="22" spans="1:3" ht="15.75" customHeight="1" x14ac:dyDescent="0.25">
      <c r="A22" s="2" t="s">
        <v>24</v>
      </c>
      <c r="B22" s="3" t="s">
        <v>6</v>
      </c>
      <c r="C22" s="2" t="str">
        <f ca="1">IFERROR(__xludf.DUMMYFUNCTION("GOOGLETRANSLATE(A22,""bn"",""en"")")," The reception of the built-in tuner was poor resulting in unclear and distorted channels")</f>
        <v xml:space="preserve"> The reception of the built-in tuner was poor resulting in unclear and distorted channels</v>
      </c>
    </row>
    <row r="23" spans="1:3" ht="15.75" customHeight="1" x14ac:dyDescent="0.25">
      <c r="A23" s="2" t="s">
        <v>25</v>
      </c>
      <c r="B23" s="3" t="s">
        <v>6</v>
      </c>
      <c r="C23" s="2" t="str">
        <f ca="1">IFERROR(__xludf.DUMMYFUNCTION("GOOGLETRANSLATE(A23,""bn"",""en"")"),"The fabric of the bathrobe was rough and scratchy against the skin")</f>
        <v>The fabric of the bathrobe was rough and scratchy against the skin</v>
      </c>
    </row>
    <row r="24" spans="1:3" ht="15.75" customHeight="1" x14ac:dyDescent="0.25">
      <c r="A24" s="2" t="s">
        <v>26</v>
      </c>
      <c r="B24" s="3" t="s">
        <v>6</v>
      </c>
      <c r="C24" s="2" t="str">
        <f ca="1">IFERROR(__xludf.DUMMYFUNCTION("GOOGLETRANSLATE(A24,""bn"",""en"")"),"The tea leaves were too tightly packed preventing proper infusion")</f>
        <v>The tea leaves were too tightly packed preventing proper infusion</v>
      </c>
    </row>
    <row r="25" spans="1:3" ht="15.75" customHeight="1" x14ac:dyDescent="0.25">
      <c r="A25" s="2" t="s">
        <v>27</v>
      </c>
      <c r="B25" s="3" t="s">
        <v>4</v>
      </c>
      <c r="C25" s="2" t="str">
        <f ca="1">IFERROR(__xludf.DUMMYFUNCTION("GOOGLETRANSLATE(A25,""bn"",""en"")"),"The reception service is very fast and friendly")</f>
        <v>The reception service is very fast and friendly</v>
      </c>
    </row>
    <row r="26" spans="1:3" ht="15.75" customHeight="1" x14ac:dyDescent="0.25">
      <c r="A26" s="2" t="s">
        <v>28</v>
      </c>
      <c r="B26" s="3" t="s">
        <v>6</v>
      </c>
      <c r="C26" s="2" t="str">
        <f ca="1">IFERROR(__xludf.DUMMYFUNCTION("GOOGLETRANSLATE(A26,""bn"",""en"")"),"Brittle plastic construction leads to cracking and breaking")</f>
        <v>Brittle plastic construction leads to cracking and breaking</v>
      </c>
    </row>
    <row r="27" spans="1:3" ht="15.75" customHeight="1" x14ac:dyDescent="0.25">
      <c r="A27" s="2" t="s">
        <v>29</v>
      </c>
      <c r="B27" s="3" t="s">
        <v>2</v>
      </c>
      <c r="C27" s="2" t="str">
        <f ca="1">IFERROR(__xludf.DUMMYFUNCTION("GOOGLETRANSLATE(A27,""bn"",""en"")"),"It is acceptable for regular use")</f>
        <v>It is acceptable for regular use</v>
      </c>
    </row>
    <row r="28" spans="1:3" ht="15.75" customHeight="1" x14ac:dyDescent="0.25">
      <c r="A28" s="2" t="s">
        <v>30</v>
      </c>
      <c r="B28" s="3" t="s">
        <v>6</v>
      </c>
      <c r="C28" s="2" t="str">
        <f ca="1">IFERROR(__xludf.DUMMYFUNCTION("GOOGLETRANSLATE(A28,""bn"",""en"")"),"The packaged ramen noodles had a greasy film and overly salty broth that lacked balance")</f>
        <v>The packaged ramen noodles had a greasy film and overly salty broth that lacked balance</v>
      </c>
    </row>
    <row r="29" spans="1:3" ht="15.75" customHeight="1" x14ac:dyDescent="0.25">
      <c r="A29" s="2" t="s">
        <v>31</v>
      </c>
      <c r="B29" s="3" t="s">
        <v>2</v>
      </c>
      <c r="C29" s="2" t="str">
        <f ca="1">IFERROR(__xludf.DUMMYFUNCTION("GOOGLETRANSLATE(A29,""bn"",""en"")"),"The product is not very good but very fun to eat")</f>
        <v>The product is not very good but very fun to eat</v>
      </c>
    </row>
    <row r="30" spans="1:3" ht="15.75" customHeight="1" x14ac:dyDescent="0.25">
      <c r="A30" s="2" t="s">
        <v>32</v>
      </c>
      <c r="B30" s="3" t="s">
        <v>6</v>
      </c>
      <c r="C30" s="2" t="str">
        <f ca="1">IFERROR(__xludf.DUMMYFUNCTION("GOOGLETRANSLATE(A30,""bn"",""en"")")," The door is difficult to align properly sometimes requiring multiple attempts to close it")</f>
        <v xml:space="preserve"> The door is difficult to align properly sometimes requiring multiple attempts to close it</v>
      </c>
    </row>
    <row r="31" spans="1:3" ht="15.75" customHeight="1" x14ac:dyDescent="0.25">
      <c r="A31" s="2" t="s">
        <v>33</v>
      </c>
      <c r="B31" s="3" t="s">
        <v>4</v>
      </c>
      <c r="C31" s="2" t="str">
        <f ca="1">IFERROR(__xludf.DUMMYFUNCTION("GOOGLETRANSLATE(A31,""bn"",""en"")"),"Can be easily moved and does not suffer from movement")</f>
        <v>Can be easily moved and does not suffer from movement</v>
      </c>
    </row>
    <row r="32" spans="1:3" ht="15.75" customHeight="1" x14ac:dyDescent="0.25">
      <c r="A32" s="2" t="s">
        <v>34</v>
      </c>
      <c r="B32" s="3" t="s">
        <v>4</v>
      </c>
      <c r="C32" s="2" t="str">
        <f ca="1">IFERROR(__xludf.DUMMYFUNCTION("GOOGLETRANSLATE(A32,""bn"",""en"")"),"The product is well made")</f>
        <v>The product is well made</v>
      </c>
    </row>
    <row r="33" spans="1:3" ht="15.75" customHeight="1" x14ac:dyDescent="0.25">
      <c r="A33" s="2" t="s">
        <v>35</v>
      </c>
      <c r="B33" s="3" t="s">
        <v>4</v>
      </c>
      <c r="C33" s="2" t="str">
        <f ca="1">IFERROR(__xludf.DUMMYFUNCTION("GOOGLETRANSLATE(A33,""bn"",""en"")"),"Fun to use")</f>
        <v>Fun to use</v>
      </c>
    </row>
    <row r="34" spans="1:3" ht="15.75" customHeight="1" x14ac:dyDescent="0.25">
      <c r="A34" s="2" t="s">
        <v>36</v>
      </c>
      <c r="B34" s="3" t="s">
        <v>2</v>
      </c>
      <c r="C34" s="2" t="str">
        <f ca="1">IFERROR(__xludf.DUMMYFUNCTION("GOOGLETRANSLATE(A34,""bn"",""en"")"),"Being so small may lack durability")</f>
        <v>Being so small may lack durability</v>
      </c>
    </row>
    <row r="35" spans="1:3" ht="15.75" customHeight="1" x14ac:dyDescent="0.25">
      <c r="A35" s="2" t="s">
        <v>37</v>
      </c>
      <c r="B35" s="3" t="s">
        <v>4</v>
      </c>
      <c r="C35" s="2" t="str">
        <f ca="1">IFERROR(__xludf.DUMMYFUNCTION("GOOGLETRANSLATE(A35,""bn"",""en"")"),"The story is very motivational")</f>
        <v>The story is very motivational</v>
      </c>
    </row>
    <row r="36" spans="1:3" ht="15.75" customHeight="1" x14ac:dyDescent="0.25">
      <c r="A36" s="2" t="s">
        <v>38</v>
      </c>
      <c r="B36" s="3" t="s">
        <v>2</v>
      </c>
      <c r="C36" s="2" t="str">
        <f ca="1">IFERROR(__xludf.DUMMYFUNCTION("GOOGLETRANSLATE(A36,""bn"",""en"")"),"The garment can be seen but the color may not be correct")</f>
        <v>The garment can be seen but the color may not be correct</v>
      </c>
    </row>
    <row r="37" spans="1:3" ht="15.75" customHeight="1" x14ac:dyDescent="0.25">
      <c r="A37" s="2" t="s">
        <v>39</v>
      </c>
      <c r="B37" s="3" t="s">
        <v>4</v>
      </c>
      <c r="C37" s="2" t="str">
        <f ca="1">IFERROR(__xludf.DUMMYFUNCTION("GOOGLETRANSLATE(A37,""bn"",""en"")"),"Ensures accuracy of time")</f>
        <v>Ensures accuracy of time</v>
      </c>
    </row>
    <row r="38" spans="1:3" ht="15.75" customHeight="1" x14ac:dyDescent="0.25">
      <c r="A38" s="2" t="s">
        <v>40</v>
      </c>
      <c r="B38" s="3" t="s">
        <v>4</v>
      </c>
      <c r="C38" s="2" t="str">
        <f ca="1">IFERROR(__xludf.DUMMYFUNCTION("GOOGLETRANSLATE(A38,""bn"",""en"")"),"The fragrance of the shampoo is really lovely")</f>
        <v>The fragrance of the shampoo is really lovely</v>
      </c>
    </row>
    <row r="39" spans="1:3" ht="15.75" customHeight="1" x14ac:dyDescent="0.25">
      <c r="A39" s="2" t="s">
        <v>41</v>
      </c>
      <c r="B39" s="3" t="s">
        <v>6</v>
      </c>
      <c r="C39" s="2" t="str">
        <f ca="1">IFERROR(__xludf.DUMMYFUNCTION("GOOGLETRANSLATE(A39,""bn"",""en"")"),"  The wash strips the skin of moisture leaving it feeling tight and uncomfortable after showering")</f>
        <v xml:space="preserve">  The wash strips the skin of moisture leaving it feeling tight and uncomfortable after showering</v>
      </c>
    </row>
    <row r="40" spans="1:3" ht="15.75" customHeight="1" x14ac:dyDescent="0.25">
      <c r="A40" s="2" t="s">
        <v>42</v>
      </c>
      <c r="B40" s="3" t="s">
        <v>2</v>
      </c>
      <c r="C40" s="2" t="str">
        <f ca="1">IFERROR(__xludf.DUMMYFUNCTION("GOOGLETRANSLATE(A40,""bn"",""en"")"),"There are serving plates but the size seems small")</f>
        <v>There are serving plates but the size seems small</v>
      </c>
    </row>
    <row r="41" spans="1:3" ht="15.75" customHeight="1" x14ac:dyDescent="0.25">
      <c r="A41" s="2" t="s">
        <v>43</v>
      </c>
      <c r="B41" s="3" t="s">
        <v>6</v>
      </c>
      <c r="C41" s="2" t="str">
        <f ca="1">IFERROR(__xludf.DUMMYFUNCTION("GOOGLETRANSLATE(A41,""bn"",""en"")"),"The hairspray didn't hold my hair in place and left my hair feeling stiff and unnatural")</f>
        <v>The hairspray didn't hold my hair in place and left my hair feeling stiff and unnatural</v>
      </c>
    </row>
    <row r="42" spans="1:3" ht="15.75" customHeight="1" x14ac:dyDescent="0.25">
      <c r="A42" s="2" t="s">
        <v>44</v>
      </c>
      <c r="B42" s="3" t="s">
        <v>4</v>
      </c>
      <c r="C42" s="2" t="str">
        <f ca="1">IFERROR(__xludf.DUMMYFUNCTION("GOOGLETRANSLATE(A42,""bn"",""en"")")," Battery last time is very good")</f>
        <v xml:space="preserve"> Battery last time is very good</v>
      </c>
    </row>
    <row r="43" spans="1:3" ht="15.75" customHeight="1" x14ac:dyDescent="0.25">
      <c r="A43" s="2" t="s">
        <v>45</v>
      </c>
      <c r="B43" s="3" t="s">
        <v>6</v>
      </c>
      <c r="C43" s="2" t="str">
        <f ca="1">IFERROR(__xludf.DUMMYFUNCTION("GOOGLETRANSLATE(A43,""bn"",""en"")"),"The setting spray has a strong alcohol smell that lingers long after application")</f>
        <v>The setting spray has a strong alcohol smell that lingers long after application</v>
      </c>
    </row>
    <row r="44" spans="1:3" ht="15.75" customHeight="1" x14ac:dyDescent="0.25">
      <c r="A44" s="2" t="s">
        <v>46</v>
      </c>
      <c r="B44" s="3" t="s">
        <v>4</v>
      </c>
      <c r="C44" s="2" t="str">
        <f ca="1">IFERROR(__xludf.DUMMYFUNCTION("GOOGLETRANSLATE(A44,""bn"",""en"")"),"Install and secure for car remote air tag solution")</f>
        <v>Install and secure for car remote air tag solution</v>
      </c>
    </row>
    <row r="45" spans="1:3" ht="15.75" customHeight="1" x14ac:dyDescent="0.25">
      <c r="A45" s="2" t="s">
        <v>47</v>
      </c>
      <c r="B45" s="3" t="s">
        <v>4</v>
      </c>
      <c r="C45" s="2" t="str">
        <f ca="1">IFERROR(__xludf.DUMMYFUNCTION("GOOGLETRANSLATE(A45,""bn"",""en"")"),"It's nice to see if you're upset")</f>
        <v>It's nice to see if you're upset</v>
      </c>
    </row>
    <row r="46" spans="1:3" ht="15.75" customHeight="1" x14ac:dyDescent="0.25">
      <c r="A46" s="2" t="s">
        <v>48</v>
      </c>
      <c r="B46" s="3" t="s">
        <v>4</v>
      </c>
      <c r="C46" s="2" t="str">
        <f ca="1">IFERROR(__xludf.DUMMYFUNCTION("GOOGLETRANSLATE(A46,""bn"",""en"")"),"The boy is very happy with his new bike")</f>
        <v>The boy is very happy with his new bike</v>
      </c>
    </row>
    <row r="47" spans="1:3" ht="15.75" customHeight="1" x14ac:dyDescent="0.25">
      <c r="A47" s="2" t="s">
        <v>49</v>
      </c>
      <c r="B47" s="3" t="s">
        <v>4</v>
      </c>
      <c r="C47" s="2" t="str">
        <f ca="1">IFERROR(__xludf.DUMMYFUNCTION("GOOGLETRANSLATE(A47,""bn"",""en"")"),"The eraser is very effective in removing writing marks easily")</f>
        <v>The eraser is very effective in removing writing marks easily</v>
      </c>
    </row>
    <row r="48" spans="1:3" ht="15.75" customHeight="1" x14ac:dyDescent="0.25">
      <c r="A48" s="2" t="s">
        <v>50</v>
      </c>
      <c r="B48" s="3" t="s">
        <v>2</v>
      </c>
      <c r="C48" s="2" t="str">
        <f ca="1">IFERROR(__xludf.DUMMYFUNCTION("GOOGLETRANSLATE(A48,""bn"",""en"")"),"The air freshener is fragrant but not very long lasting")</f>
        <v>The air freshener is fragrant but not very long lasting</v>
      </c>
    </row>
    <row r="49" spans="1:3" ht="15.75" customHeight="1" x14ac:dyDescent="0.25">
      <c r="A49" s="2" t="s">
        <v>51</v>
      </c>
      <c r="B49" s="3" t="s">
        <v>2</v>
      </c>
      <c r="C49" s="2" t="str">
        <f ca="1">IFERROR(__xludf.DUMMYFUNCTION("GOOGLETRANSLATE(A49,""bn"",""en"")"),"Easy to store but somewhat heavy")</f>
        <v>Easy to store but somewhat heavy</v>
      </c>
    </row>
    <row r="50" spans="1:3" ht="15.75" customHeight="1" x14ac:dyDescent="0.25">
      <c r="A50" s="2" t="s">
        <v>52</v>
      </c>
      <c r="B50" s="3" t="s">
        <v>2</v>
      </c>
      <c r="C50" s="2" t="str">
        <f ca="1">IFERROR(__xludf.DUMMYFUNCTION("GOOGLETRANSLATE(A50,""bn"",""en"")"),"Although some changes were observed, the fertilizer did not do anything special")</f>
        <v>Although some changes were observed, the fertilizer did not do anything special</v>
      </c>
    </row>
    <row r="51" spans="1:3" ht="15.75" customHeight="1" x14ac:dyDescent="0.25">
      <c r="A51" s="2" t="s">
        <v>53</v>
      </c>
      <c r="B51" s="3" t="s">
        <v>6</v>
      </c>
      <c r="C51" s="2" t="str">
        <f ca="1">IFERROR(__xludf.DUMMYFUNCTION("GOOGLETRANSLATE(A51,""bn"",""en"")"),"Dissatisfied with overall durability")</f>
        <v>Dissatisfied with overall durability</v>
      </c>
    </row>
    <row r="52" spans="1:3" ht="15.75" customHeight="1" x14ac:dyDescent="0.25">
      <c r="A52" s="2" t="s">
        <v>54</v>
      </c>
      <c r="B52" s="3" t="s">
        <v>2</v>
      </c>
      <c r="C52" s="2" t="str">
        <f ca="1">IFERROR(__xludf.DUMMYFUNCTION("GOOGLETRANSLATE(A52,""bn"",""en"")"),"The smell of the drink is quite good but the taste is a bit unusual")</f>
        <v>The smell of the drink is quite good but the taste is a bit unusual</v>
      </c>
    </row>
    <row r="53" spans="1:3" ht="15.75" customHeight="1" x14ac:dyDescent="0.25">
      <c r="A53" s="2" t="s">
        <v>55</v>
      </c>
      <c r="B53" s="3" t="s">
        <v>4</v>
      </c>
      <c r="C53" s="2" t="str">
        <f ca="1">IFERROR(__xludf.DUMMYFUNCTION("GOOGLETRANSLATE(A53,""bn"",""en"")"),"This shampoo helps in maintaining the natural shine of the hair")</f>
        <v>This shampoo helps in maintaining the natural shine of the hair</v>
      </c>
    </row>
    <row r="54" spans="1:3" ht="15.75" customHeight="1" x14ac:dyDescent="0.25">
      <c r="A54" s="2" t="s">
        <v>56</v>
      </c>
      <c r="B54" s="3" t="s">
        <v>6</v>
      </c>
      <c r="C54" s="2" t="str">
        <f ca="1">IFERROR(__xludf.DUMMYFUNCTION("GOOGLETRANSLATE(A54,""bn"",""en"")"),"The butter felt greasy and made my clothes stick to me")</f>
        <v>The butter felt greasy and made my clothes stick to me</v>
      </c>
    </row>
    <row r="55" spans="1:3" ht="15.75" customHeight="1" x14ac:dyDescent="0.25">
      <c r="A55" s="2" t="s">
        <v>57</v>
      </c>
      <c r="B55" s="3" t="s">
        <v>2</v>
      </c>
      <c r="C55" s="2" t="str">
        <f ca="1">IFERROR(__xludf.DUMMYFUNCTION("GOOGLETRANSLATE(A55,""bn"",""en"")"),"The socks are somewhat comfortable and not the best")</f>
        <v>The socks are somewhat comfortable and not the best</v>
      </c>
    </row>
    <row r="56" spans="1:3" ht="15.75" customHeight="1" x14ac:dyDescent="0.25">
      <c r="A56" s="2" t="s">
        <v>58</v>
      </c>
      <c r="B56" s="3" t="s">
        <v>2</v>
      </c>
      <c r="C56" s="2" t="str">
        <f ca="1">IFERROR(__xludf.DUMMYFUNCTION("GOOGLETRANSLATE(A56,""bn"",""en"")"),"Be careful when pouring hot water")</f>
        <v>Be careful when pouring hot water</v>
      </c>
    </row>
    <row r="57" spans="1:3" ht="15.75" customHeight="1" x14ac:dyDescent="0.25">
      <c r="A57" s="2" t="s">
        <v>59</v>
      </c>
      <c r="B57" s="3" t="s">
        <v>6</v>
      </c>
      <c r="C57" s="2" t="str">
        <f ca="1">IFERROR(__xludf.DUMMYFUNCTION("GOOGLETRANSLATE(A57,""bn"",""en"")"),"Layered under foundation, face primers pill and ball up, ruining makeup application")</f>
        <v>Layered under foundation, face primers pill and ball up, ruining makeup application</v>
      </c>
    </row>
    <row r="58" spans="1:3" ht="15.75" customHeight="1" x14ac:dyDescent="0.25">
      <c r="A58" s="2" t="s">
        <v>60</v>
      </c>
      <c r="B58" s="3" t="s">
        <v>6</v>
      </c>
      <c r="C58" s="2" t="str">
        <f ca="1">IFERROR(__xludf.DUMMYFUNCTION("GOOGLETRANSLATE(A58,""bn"",""en"")")," Wires tend to be flimsy and tangled, making them inconvenient to use and difficult to store")</f>
        <v xml:space="preserve"> Wires tend to be flimsy and tangled, making them inconvenient to use and difficult to store</v>
      </c>
    </row>
    <row r="59" spans="1:3" ht="15.75" customHeight="1" x14ac:dyDescent="0.25">
      <c r="A59" s="2" t="s">
        <v>61</v>
      </c>
      <c r="B59" s="3" t="s">
        <v>4</v>
      </c>
      <c r="C59" s="2" t="str">
        <f ca="1">IFERROR(__xludf.DUMMYFUNCTION("GOOGLETRANSLATE(A59,""bn"",""en"")"),"Makeup brushes save time")</f>
        <v>Makeup brushes save time</v>
      </c>
    </row>
    <row r="60" spans="1:3" ht="15.75" customHeight="1" x14ac:dyDescent="0.25">
      <c r="A60" s="2" t="s">
        <v>62</v>
      </c>
      <c r="B60" s="3" t="s">
        <v>2</v>
      </c>
      <c r="C60" s="2" t="str">
        <f ca="1">IFERROR(__xludf.DUMMYFUNCTION("GOOGLETRANSLATE(A60,""bn"",""en"")"),"The paper quality of the notebook is fairly expensive")</f>
        <v>The paper quality of the notebook is fairly expensive</v>
      </c>
    </row>
    <row r="61" spans="1:3" ht="15.75" customHeight="1" x14ac:dyDescent="0.25">
      <c r="A61" s="2" t="s">
        <v>63</v>
      </c>
      <c r="B61" s="3" t="s">
        <v>4</v>
      </c>
      <c r="C61" s="2" t="str">
        <f ca="1">IFERROR(__xludf.DUMMYFUNCTION("GOOGLETRANSLATE(A61,""bn"",""en"")"),"The rim of the watch is very strong")</f>
        <v>The rim of the watch is very strong</v>
      </c>
    </row>
    <row r="62" spans="1:3" ht="15.75" customHeight="1" x14ac:dyDescent="0.25">
      <c r="A62" s="2" t="s">
        <v>64</v>
      </c>
      <c r="B62" s="3" t="s">
        <v>6</v>
      </c>
      <c r="C62" s="2" t="str">
        <f ca="1">IFERROR(__xludf.DUMMYFUNCTION("GOOGLETRANSLATE(A62,""bn"",""en"")"),"Extra and poorly constructed")</f>
        <v>Extra and poorly constructed</v>
      </c>
    </row>
    <row r="63" spans="1:3" ht="15.75" customHeight="1" x14ac:dyDescent="0.25">
      <c r="A63" s="2" t="s">
        <v>65</v>
      </c>
      <c r="B63" s="3" t="s">
        <v>4</v>
      </c>
      <c r="C63" s="2" t="str">
        <f ca="1">IFERROR(__xludf.DUMMYFUNCTION("GOOGLETRANSLATE(A63,""bn"",""en"")"),"The girl always plays with her friend")</f>
        <v>The girl always plays with her friend</v>
      </c>
    </row>
    <row r="64" spans="1:3" ht="15.75" customHeight="1" x14ac:dyDescent="0.25">
      <c r="A64" s="2" t="s">
        <v>66</v>
      </c>
      <c r="B64" s="3" t="s">
        <v>6</v>
      </c>
      <c r="C64" s="2" t="str">
        <f ca="1">IFERROR(__xludf.DUMMYFUNCTION("GOOGLETRANSLATE(A64,""bn"",""en"")"),"The color fades significantly after just a few washes making it look old and worn")</f>
        <v>The color fades significantly after just a few washes making it look old and worn</v>
      </c>
    </row>
    <row r="65" spans="1:3" ht="15.75" customHeight="1" x14ac:dyDescent="0.25">
      <c r="A65" s="2" t="s">
        <v>67</v>
      </c>
      <c r="B65" s="3" t="s">
        <v>2</v>
      </c>
      <c r="C65" s="2" t="str">
        <f ca="1">IFERROR(__xludf.DUMMYFUNCTION("GOOGLETRANSLATE(A65,""bn"",""en"")"),"Can be used for a long time")</f>
        <v>Can be used for a long time</v>
      </c>
    </row>
    <row r="66" spans="1:3" ht="15.75" customHeight="1" x14ac:dyDescent="0.25">
      <c r="A66" s="2" t="s">
        <v>68</v>
      </c>
      <c r="B66" s="3" t="s">
        <v>4</v>
      </c>
      <c r="C66" s="2" t="str">
        <f ca="1">IFERROR(__xludf.DUMMYFUNCTION("GOOGLETRANSLATE(A66,""bn"",""en"")"),"Daraj discount and Vikas cashback, I got the facewaz for only Rs. with free delivery.")</f>
        <v>Daraj discount and Vikas cashback, I got the facewaz for only Rs. with free delivery.</v>
      </c>
    </row>
    <row r="67" spans="1:3" ht="15.75" customHeight="1" x14ac:dyDescent="0.25">
      <c r="A67" s="2" t="s">
        <v>69</v>
      </c>
      <c r="B67" s="3" t="s">
        <v>2</v>
      </c>
      <c r="C67" s="2" t="str">
        <f ca="1">IFERROR(__xludf.DUMMYFUNCTION("GOOGLETRANSLATE(A67,""bn"",""en"")"),"It does not evoke any strong reaction")</f>
        <v>It does not evoke any strong reaction</v>
      </c>
    </row>
    <row r="68" spans="1:3" ht="15.75" customHeight="1" x14ac:dyDescent="0.25">
      <c r="A68" s="2" t="s">
        <v>70</v>
      </c>
      <c r="B68" s="3" t="s">
        <v>6</v>
      </c>
      <c r="C68" s="2" t="str">
        <f ca="1">IFERROR(__xludf.DUMMYFUNCTION("GOOGLETRANSLATE(A68,""bn"",""en"")"),"The battery life of the item was insufficient")</f>
        <v>The battery life of the item was insufficient</v>
      </c>
    </row>
    <row r="69" spans="1:3" ht="15.75" customHeight="1" x14ac:dyDescent="0.25">
      <c r="A69" s="2" t="s">
        <v>71</v>
      </c>
      <c r="B69" s="3" t="s">
        <v>6</v>
      </c>
      <c r="C69" s="2" t="str">
        <f ca="1">IFERROR(__xludf.DUMMYFUNCTION("GOOGLETRANSLATE(A69,""bn"",""en"")"),"Compartments in baby formula dispensers make it difficult to dispense too little formula")</f>
        <v>Compartments in baby formula dispensers make it difficult to dispense too little formula</v>
      </c>
    </row>
    <row r="70" spans="1:3" ht="15.75" customHeight="1" x14ac:dyDescent="0.25">
      <c r="A70" s="2" t="s">
        <v>72</v>
      </c>
      <c r="B70" s="3" t="s">
        <v>6</v>
      </c>
      <c r="C70" s="2" t="str">
        <f ca="1">IFERROR(__xludf.DUMMYFUNCTION("GOOGLETRANSLATE(A70,""bn"",""en"")"),"Dirt layered rabbit unearthly presentation")</f>
        <v>Dirt layered rabbit unearthly presentation</v>
      </c>
    </row>
    <row r="71" spans="1:3" ht="15.75" customHeight="1" x14ac:dyDescent="0.25">
      <c r="A71" s="2" t="s">
        <v>73</v>
      </c>
      <c r="B71" s="3" t="s">
        <v>2</v>
      </c>
      <c r="C71" s="2" t="str">
        <f ca="1">IFERROR(__xludf.DUMMYFUNCTION("GOOGLETRANSLATE(A71,""bn"",""en"")"),"The size was just right for me")</f>
        <v>The size was just right for me</v>
      </c>
    </row>
    <row r="72" spans="1:3" ht="15.75" customHeight="1" x14ac:dyDescent="0.25">
      <c r="A72" s="2" t="s">
        <v>74</v>
      </c>
      <c r="B72" s="3" t="s">
        <v>6</v>
      </c>
      <c r="C72" s="2" t="str">
        <f ca="1">IFERROR(__xludf.DUMMYFUNCTION("GOOGLETRANSLATE(A72,""bn"",""en"")"),"Unsatisfactory stability resulting in frequent errors")</f>
        <v>Unsatisfactory stability resulting in frequent errors</v>
      </c>
    </row>
    <row r="73" spans="1:3" ht="15.75" customHeight="1" x14ac:dyDescent="0.25">
      <c r="A73" s="2" t="s">
        <v>75</v>
      </c>
      <c r="B73" s="3" t="s">
        <v>6</v>
      </c>
      <c r="C73" s="2" t="str">
        <f ca="1">IFERROR(__xludf.DUMMYFUNCTION("GOOGLETRANSLATE(A73,""bn"",""en"")"),"The charging cable of the power bank is not securely plugged into the device and falls off easily")</f>
        <v>The charging cable of the power bank is not securely plugged into the device and falls off easily</v>
      </c>
    </row>
    <row r="74" spans="1:3" ht="15.75" customHeight="1" x14ac:dyDescent="0.25">
      <c r="A74" s="2" t="s">
        <v>76</v>
      </c>
      <c r="B74" s="3" t="s">
        <v>4</v>
      </c>
      <c r="C74" s="2" t="str">
        <f ca="1">IFERROR(__xludf.DUMMYFUNCTION("GOOGLETRANSLATE(A74,""bn"",""en"")"),"The design is very attractive")</f>
        <v>The design is very attractive</v>
      </c>
    </row>
    <row r="75" spans="1:3" ht="15.75" customHeight="1" x14ac:dyDescent="0.25">
      <c r="A75" s="2" t="s">
        <v>77</v>
      </c>
      <c r="B75" s="3" t="s">
        <v>4</v>
      </c>
      <c r="C75" s="2" t="str">
        <f ca="1">IFERROR(__xludf.DUMMYFUNCTION("GOOGLETRANSLATE(A75,""bn"",""en"")"),"Every chapter of the book was exciting")</f>
        <v>Every chapter of the book was exciting</v>
      </c>
    </row>
    <row r="76" spans="1:3" ht="15.75" customHeight="1" x14ac:dyDescent="0.25">
      <c r="A76" s="2" t="s">
        <v>78</v>
      </c>
      <c r="B76" s="3" t="s">
        <v>2</v>
      </c>
      <c r="C76" s="2" t="str">
        <f ca="1">IFERROR(__xludf.DUMMYFUNCTION("GOOGLETRANSLATE(A76,""bn"",""en"")"),"Average compared to other brands")</f>
        <v>Average compared to other brands</v>
      </c>
    </row>
    <row r="77" spans="1:3" ht="15.75" customHeight="1" x14ac:dyDescent="0.25">
      <c r="A77" s="2" t="s">
        <v>79</v>
      </c>
      <c r="B77" s="3" t="s">
        <v>4</v>
      </c>
      <c r="C77" s="2" t="str">
        <f ca="1">IFERROR(__xludf.DUMMYFUNCTION("GOOGLETRANSLATE(A77,""bn"",""en"")"),"Lounge chairs are provided with matching footstools")</f>
        <v>Lounge chairs are provided with matching footstools</v>
      </c>
    </row>
    <row r="78" spans="1:3" ht="15.75" customHeight="1" x14ac:dyDescent="0.25">
      <c r="A78" s="2" t="s">
        <v>80</v>
      </c>
      <c r="B78" s="3" t="s">
        <v>4</v>
      </c>
      <c r="C78" s="2" t="str">
        <f ca="1">IFERROR(__xludf.DUMMYFUNCTION("GOOGLETRANSLATE(A78,""bn"",""en"")"),"The contrast ratio of the device is very high")</f>
        <v>The contrast ratio of the device is very high</v>
      </c>
    </row>
    <row r="79" spans="1:3" ht="15.75" customHeight="1" x14ac:dyDescent="0.25">
      <c r="A79" s="2" t="s">
        <v>81</v>
      </c>
      <c r="B79" s="3" t="s">
        <v>2</v>
      </c>
      <c r="C79" s="2" t="str">
        <f ca="1">IFERROR(__xludf.DUMMYFUNCTION("GOOGLETRANSLATE(A79,""bn"",""en"")"),"The storage capacity is ok but a little bigger would be better")</f>
        <v>The storage capacity is ok but a little bigger would be better</v>
      </c>
    </row>
    <row r="80" spans="1:3" ht="15.75" customHeight="1" x14ac:dyDescent="0.25">
      <c r="A80" s="2" t="s">
        <v>82</v>
      </c>
      <c r="B80" s="3" t="s">
        <v>2</v>
      </c>
      <c r="C80" s="2" t="str">
        <f ca="1">IFERROR(__xludf.DUMMYFUNCTION("GOOGLETRANSLATE(A80,""bn"",""en"")"),"Playdo dries out if you forget to keep it in an airtight container after playing")</f>
        <v>Playdo dries out if you forget to keep it in an airtight container after playing</v>
      </c>
    </row>
    <row r="81" spans="1:3" ht="15.75" customHeight="1" x14ac:dyDescent="0.25">
      <c r="A81" s="2" t="s">
        <v>83</v>
      </c>
      <c r="B81" s="3" t="s">
        <v>2</v>
      </c>
      <c r="C81" s="2" t="str">
        <f ca="1">IFERROR(__xludf.DUMMYFUNCTION("GOOGLETRANSLATE(A81,""bn"",""en"")"),"It is not sharp but not too deadly")</f>
        <v>It is not sharp but not too deadly</v>
      </c>
    </row>
    <row r="82" spans="1:3" ht="15.75" customHeight="1" x14ac:dyDescent="0.25">
      <c r="A82" s="2" t="s">
        <v>84</v>
      </c>
      <c r="B82" s="3" t="s">
        <v>6</v>
      </c>
      <c r="C82" s="2" t="str">
        <f ca="1">IFERROR(__xludf.DUMMYFUNCTION("GOOGLETRANSLATE(A82,""bn"",""en"")"),"The setting of the jewelry was loose and insecure causing the stones to jiggle around and fall off easily.")</f>
        <v>The setting of the jewelry was loose and insecure causing the stones to jiggle around and fall off easily.</v>
      </c>
    </row>
    <row r="83" spans="1:3" ht="15.75" customHeight="1" x14ac:dyDescent="0.25">
      <c r="A83" s="2" t="s">
        <v>85</v>
      </c>
      <c r="B83" s="3" t="s">
        <v>4</v>
      </c>
      <c r="C83" s="2" t="str">
        <f ca="1">IFERROR(__xludf.DUMMYFUNCTION("GOOGLETRANSLATE(A83,""bn"",""en"")"),"The fragrance of the soap is very pleasant")</f>
        <v>The fragrance of the soap is very pleasant</v>
      </c>
    </row>
    <row r="84" spans="1:3" ht="15.75" customHeight="1" x14ac:dyDescent="0.25">
      <c r="A84" s="2" t="s">
        <v>86</v>
      </c>
      <c r="B84" s="3" t="s">
        <v>6</v>
      </c>
      <c r="C84" s="2" t="str">
        <f ca="1">IFERROR(__xludf.DUMMYFUNCTION("GOOGLETRANSLATE(A84,""bn"",""en"")"),"Solar powered phone charger does not fully charge the phone Slow charging")</f>
        <v>Solar powered phone charger does not fully charge the phone Slow charging</v>
      </c>
    </row>
    <row r="85" spans="1:3" ht="15.75" customHeight="1" x14ac:dyDescent="0.25">
      <c r="A85" s="2" t="s">
        <v>87</v>
      </c>
      <c r="B85" s="3" t="s">
        <v>4</v>
      </c>
      <c r="C85" s="2" t="str">
        <f ca="1">IFERROR(__xludf.DUMMYFUNCTION("GOOGLETRANSLATE(A85,""bn"",""en"")"),"Hair does not feel rough after using this shampoo")</f>
        <v>Hair does not feel rough after using this shampoo</v>
      </c>
    </row>
    <row r="86" spans="1:3" ht="15.75" customHeight="1" x14ac:dyDescent="0.25">
      <c r="A86" s="2" t="s">
        <v>88</v>
      </c>
      <c r="B86" s="3" t="s">
        <v>6</v>
      </c>
      <c r="C86" s="2" t="str">
        <f ca="1">IFERROR(__xludf.DUMMYFUNCTION("GOOGLETRANSLATE(A86,""bn"",""en"")"),"The weight distribution of the product makes it awkward to handle")</f>
        <v>The weight distribution of the product makes it awkward to handle</v>
      </c>
    </row>
    <row r="87" spans="1:3" ht="15.75" customHeight="1" x14ac:dyDescent="0.25">
      <c r="A87" s="2" t="s">
        <v>89</v>
      </c>
      <c r="B87" s="3" t="s">
        <v>6</v>
      </c>
      <c r="C87" s="2" t="str">
        <f ca="1">IFERROR(__xludf.DUMMYFUNCTION("GOOGLETRANSLATE(A87,""bn"",""en"")"),"Many users have faced problems in finding the expiry date of the product on the packaging")</f>
        <v>Many users have faced problems in finding the expiry date of the product on the packaging</v>
      </c>
    </row>
    <row r="88" spans="1:3" ht="15.75" customHeight="1" x14ac:dyDescent="0.25">
      <c r="A88" s="2" t="s">
        <v>90</v>
      </c>
      <c r="B88" s="3" t="s">
        <v>2</v>
      </c>
      <c r="C88" s="2" t="str">
        <f ca="1">IFERROR(__xludf.DUMMYFUNCTION("GOOGLETRANSLATE(A88,""bn"",""en"")"),"My expectations are fairly met but there is room for improvement")</f>
        <v>My expectations are fairly met but there is room for improvement</v>
      </c>
    </row>
    <row r="89" spans="1:3" ht="15.75" customHeight="1" x14ac:dyDescent="0.25">
      <c r="A89" s="2" t="s">
        <v>91</v>
      </c>
      <c r="B89" s="3" t="s">
        <v>2</v>
      </c>
      <c r="C89" s="2" t="str">
        <f ca="1">IFERROR(__xludf.DUMMYFUNCTION("GOOGLETRANSLATE(A89,""bn"",""en"")"),"The hand warmer does heat up but the charge doesn't last long")</f>
        <v>The hand warmer does heat up but the charge doesn't last long</v>
      </c>
    </row>
    <row r="90" spans="1:3" ht="15.75" customHeight="1" x14ac:dyDescent="0.25">
      <c r="A90" s="2" t="s">
        <v>92</v>
      </c>
      <c r="B90" s="3" t="s">
        <v>6</v>
      </c>
      <c r="C90" s="2" t="str">
        <f ca="1">IFERROR(__xludf.DUMMYFUNCTION("GOOGLETRANSLATE(A90,""bn"",""en"")"),"Untrustworthy buyer beware")</f>
        <v>Untrustworthy buyer beware</v>
      </c>
    </row>
    <row r="91" spans="1:3" ht="15.75" customHeight="1" x14ac:dyDescent="0.25">
      <c r="A91" s="2" t="s">
        <v>93</v>
      </c>
      <c r="B91" s="3" t="s">
        <v>2</v>
      </c>
      <c r="C91" s="2" t="str">
        <f ca="1">IFERROR(__xludf.DUMMYFUNCTION("GOOGLETRANSLATE(A91,""bn"",""en"")"),"The mop makes less noise when working")</f>
        <v>The mop makes less noise when working</v>
      </c>
    </row>
    <row r="92" spans="1:3" ht="15.75" customHeight="1" x14ac:dyDescent="0.25">
      <c r="A92" s="2" t="s">
        <v>94</v>
      </c>
      <c r="B92" s="3" t="s">
        <v>6</v>
      </c>
      <c r="C92" s="2" t="str">
        <f ca="1">IFERROR(__xludf.DUMMYFUNCTION("GOOGLETRANSLATE(A92,""bn"",""en"")"),"Dissatisfied with poor quality of clothing compared to cost")</f>
        <v>Dissatisfied with poor quality of clothing compared to cost</v>
      </c>
    </row>
    <row r="93" spans="1:3" ht="15.75" customHeight="1" x14ac:dyDescent="0.25">
      <c r="A93" s="2" t="s">
        <v>95</v>
      </c>
      <c r="B93" s="3" t="s">
        <v>2</v>
      </c>
      <c r="C93" s="2" t="str">
        <f ca="1">IFERROR(__xludf.DUMMYFUNCTION("GOOGLETRANSLATE(A93,""bn"",""en"")"),"I recently used this coffee bean and the experience is somewhat better")</f>
        <v>I recently used this coffee bean and the experience is somewhat better</v>
      </c>
    </row>
    <row r="94" spans="1:3" ht="15.75" customHeight="1" x14ac:dyDescent="0.25">
      <c r="A94" s="2" t="s">
        <v>96</v>
      </c>
      <c r="B94" s="3" t="s">
        <v>2</v>
      </c>
      <c r="C94" s="2" t="str">
        <f ca="1">IFERROR(__xludf.DUMMYFUNCTION("GOOGLETRANSLATE(A94,""bn"",""en"")"),"It works but is comparable to other brands")</f>
        <v>It works but is comparable to other brands</v>
      </c>
    </row>
    <row r="95" spans="1:3" ht="15.75" customHeight="1" x14ac:dyDescent="0.25">
      <c r="A95" s="2" t="s">
        <v>97</v>
      </c>
      <c r="B95" s="3" t="s">
        <v>6</v>
      </c>
      <c r="C95" s="2" t="str">
        <f ca="1">IFERROR(__xludf.DUMMYFUNCTION("GOOGLETRANSLATE(A95,""bn"",""en"")"),"Smart water bottle lids don't close securely, spilling water")</f>
        <v>Smart water bottle lids don't close securely, spilling water</v>
      </c>
    </row>
    <row r="96" spans="1:3" ht="15.75" customHeight="1" x14ac:dyDescent="0.25">
      <c r="A96" s="2" t="s">
        <v>98</v>
      </c>
      <c r="B96" s="3" t="s">
        <v>4</v>
      </c>
      <c r="C96" s="2" t="str">
        <f ca="1">IFERROR(__xludf.DUMMYFUNCTION("GOOGLETRANSLATE(A96,""bn"",""en"")"),"Everyone is complimenting my new earrings they are really lovely")</f>
        <v>Everyone is complimenting my new earrings they are really lovely</v>
      </c>
    </row>
    <row r="97" spans="1:3" ht="15.75" customHeight="1" x14ac:dyDescent="0.25">
      <c r="A97" s="2" t="s">
        <v>99</v>
      </c>
      <c r="B97" s="3" t="s">
        <v>6</v>
      </c>
      <c r="C97" s="2" t="str">
        <f ca="1">IFERROR(__xludf.DUMMYFUNCTION("GOOGLETRANSLATE(A97,""bn"",""en"")"),"Brings a touch of nature to any environment")</f>
        <v>Brings a touch of nature to any environment</v>
      </c>
    </row>
    <row r="98" spans="1:3" ht="15.75" customHeight="1" x14ac:dyDescent="0.25">
      <c r="A98" s="2" t="s">
        <v>100</v>
      </c>
      <c r="B98" s="3" t="s">
        <v>2</v>
      </c>
      <c r="C98" s="2" t="str">
        <f ca="1">IFERROR(__xludf.DUMMYFUNCTION("GOOGLETRANSLATE(A98,""bn"",""en"")"),"Magnetic detectors are not reliable and can only detect bugs when magnets are present")</f>
        <v>Magnetic detectors are not reliable and can only detect bugs when magnets are present</v>
      </c>
    </row>
    <row r="99" spans="1:3" ht="15.75" customHeight="1" x14ac:dyDescent="0.25">
      <c r="A99" s="2" t="s">
        <v>101</v>
      </c>
      <c r="B99" s="3" t="s">
        <v>4</v>
      </c>
      <c r="C99" s="2" t="str">
        <f ca="1">IFERROR(__xludf.DUMMYFUNCTION("GOOGLETRANSLATE(A99,""bn"",""en"")"),"Compact design makes it easy to carry")</f>
        <v>Compact design makes it easy to carry</v>
      </c>
    </row>
    <row r="100" spans="1:3" ht="15.75" customHeight="1" x14ac:dyDescent="0.25">
      <c r="A100" s="2" t="s">
        <v>102</v>
      </c>
      <c r="B100" s="3" t="s">
        <v>4</v>
      </c>
      <c r="C100" s="2" t="str">
        <f ca="1">IFERROR(__xludf.DUMMYFUNCTION("GOOGLETRANSLATE(A100,""bn"",""en"")"),"The quality of the tea indicates that it has been produced in an environmentally friendly manner")</f>
        <v>The quality of the tea indicates that it has been produced in an environmentally friendly manner</v>
      </c>
    </row>
    <row r="101" spans="1:3" ht="15.75" customHeight="1" x14ac:dyDescent="0.25">
      <c r="A101" s="2" t="s">
        <v>103</v>
      </c>
      <c r="B101" s="3" t="s">
        <v>2</v>
      </c>
      <c r="C101" s="2" t="str">
        <f ca="1">IFERROR(__xludf.DUMMYFUNCTION("GOOGLETRANSLATE(A101,""bn"",""en"")"),"The portable air quality monitor measures pollution but the display is small")</f>
        <v>The portable air quality monitor measures pollution but the display is small</v>
      </c>
    </row>
    <row r="102" spans="1:3" ht="15.75" customHeight="1" x14ac:dyDescent="0.25">
      <c r="A102" s="2" t="s">
        <v>104</v>
      </c>
      <c r="B102" s="3" t="s">
        <v>4</v>
      </c>
      <c r="C102" s="2" t="str">
        <f ca="1">IFERROR(__xludf.DUMMYFUNCTION("GOOGLETRANSLATE(A102,""bn"",""en"")"),"Works well to clean kitchen floors")</f>
        <v>Works well to clean kitchen floors</v>
      </c>
    </row>
    <row r="103" spans="1:3" ht="15.75" customHeight="1" x14ac:dyDescent="0.25">
      <c r="A103" s="2" t="s">
        <v>105</v>
      </c>
      <c r="B103" s="3" t="s">
        <v>4</v>
      </c>
      <c r="C103" s="2" t="str">
        <f ca="1">IFERROR(__xludf.DUMMYFUNCTION("GOOGLETRANSLATE(A103,""bn"",""en"")"),"good product")</f>
        <v>good product</v>
      </c>
    </row>
    <row r="104" spans="1:3" ht="15.75" customHeight="1" x14ac:dyDescent="0.25">
      <c r="A104" s="2" t="s">
        <v>106</v>
      </c>
      <c r="B104" s="3" t="s">
        <v>2</v>
      </c>
      <c r="C104" s="2" t="str">
        <f ca="1">IFERROR(__xludf.DUMMYFUNCTION("GOOGLETRANSLATE(A104,""bn"",""en"")"),"It was expected that there would be more color variation")</f>
        <v>It was expected that there would be more color variation</v>
      </c>
    </row>
    <row r="105" spans="1:3" ht="15.75" customHeight="1" x14ac:dyDescent="0.25">
      <c r="A105" s="2" t="s">
        <v>107</v>
      </c>
      <c r="B105" s="3" t="s">
        <v>2</v>
      </c>
      <c r="C105" s="2" t="str">
        <f ca="1">IFERROR(__xludf.DUMMYFUNCTION("GOOGLETRANSLATE(A105,""bn"",""en"")"),"Keeps warm but difficult to control temperature")</f>
        <v>Keeps warm but difficult to control temperature</v>
      </c>
    </row>
    <row r="106" spans="1:3" ht="15.75" customHeight="1" x14ac:dyDescent="0.25">
      <c r="A106" s="2" t="s">
        <v>108</v>
      </c>
      <c r="B106" s="3" t="s">
        <v>4</v>
      </c>
      <c r="C106" s="2" t="str">
        <f ca="1">IFERROR(__xludf.DUMMYFUNCTION("GOOGLETRANSLATE(A106,""bn"",""en"")"),"The bookcase can hold all my books")</f>
        <v>The bookcase can hold all my books</v>
      </c>
    </row>
    <row r="107" spans="1:3" ht="15.75" customHeight="1" x14ac:dyDescent="0.25">
      <c r="A107" s="2" t="s">
        <v>109</v>
      </c>
      <c r="B107" s="3" t="s">
        <v>6</v>
      </c>
      <c r="C107" s="2" t="str">
        <f ca="1">IFERROR(__xludf.DUMMYFUNCTION("GOOGLETRANSLATE(A107,""bn"",""en"")"),"The packaging was not sealed properly resulting in loss of taste and smell")</f>
        <v>The packaging was not sealed properly resulting in loss of taste and smell</v>
      </c>
    </row>
    <row r="108" spans="1:3" ht="15.75" customHeight="1" x14ac:dyDescent="0.25">
      <c r="A108" s="2" t="s">
        <v>110</v>
      </c>
      <c r="B108" s="3" t="s">
        <v>2</v>
      </c>
      <c r="C108" s="2" t="str">
        <f ca="1">IFERROR(__xludf.DUMMYFUNCTION("GOOGLETRANSLATE(A108,""bn"",""en"")"),"Plant growth has been slight but the cost of fertilizer is high")</f>
        <v>Plant growth has been slight but the cost of fertilizer is high</v>
      </c>
    </row>
    <row r="109" spans="1:3" ht="15.75" customHeight="1" x14ac:dyDescent="0.25">
      <c r="A109" s="2" t="s">
        <v>111</v>
      </c>
      <c r="B109" s="3" t="s">
        <v>4</v>
      </c>
      <c r="C109" s="2" t="str">
        <f ca="1">IFERROR(__xludf.DUMMYFUNCTION("GOOGLETRANSLATE(A109,""bn"",""en"")"),"The artist's touch is evident in every part of the painting")</f>
        <v>The artist's touch is evident in every part of the painting</v>
      </c>
    </row>
    <row r="110" spans="1:3" ht="15.75" customHeight="1" x14ac:dyDescent="0.25">
      <c r="A110" s="2" t="s">
        <v>112</v>
      </c>
      <c r="B110" s="3" t="s">
        <v>2</v>
      </c>
      <c r="C110" s="2" t="str">
        <f ca="1">IFERROR(__xludf.DUMMYFUNCTION("GOOGLETRANSLATE(A110,""bn"",""en"")"),"Quality is average")</f>
        <v>Quality is average</v>
      </c>
    </row>
    <row r="111" spans="1:3" ht="15.75" customHeight="1" x14ac:dyDescent="0.25">
      <c r="A111" s="2" t="s">
        <v>113</v>
      </c>
      <c r="B111" s="3" t="s">
        <v>6</v>
      </c>
      <c r="C111" s="2" t="str">
        <f ca="1">IFERROR(__xludf.DUMMYFUNCTION("GOOGLETRANSLATE(A111,""bn"",""en"")"),"The body wash pump breaks after a few uses making it difficult to dispense")</f>
        <v>The body wash pump breaks after a few uses making it difficult to dispense</v>
      </c>
    </row>
    <row r="112" spans="1:3" ht="15.75" customHeight="1" x14ac:dyDescent="0.25">
      <c r="A112" s="2" t="s">
        <v>114</v>
      </c>
      <c r="B112" s="3" t="s">
        <v>2</v>
      </c>
      <c r="C112" s="2" t="str">
        <f ca="1">IFERROR(__xludf.DUMMYFUNCTION("GOOGLETRANSLATE(A112,""bn"",""en"")"),"Not great but workable")</f>
        <v>Not great but workable</v>
      </c>
    </row>
    <row r="113" spans="1:3" ht="15.75" customHeight="1" x14ac:dyDescent="0.25">
      <c r="A113" s="2" t="s">
        <v>115</v>
      </c>
      <c r="B113" s="3" t="s">
        <v>2</v>
      </c>
      <c r="C113" s="2" t="str">
        <f ca="1">IFERROR(__xludf.DUMMYFUNCTION("GOOGLETRANSLATE(A113,""bn"",""en"")"),"Department review could have been better")</f>
        <v>Department review could have been better</v>
      </c>
    </row>
    <row r="114" spans="1:3" ht="15.75" customHeight="1" x14ac:dyDescent="0.25">
      <c r="A114" s="2" t="s">
        <v>116</v>
      </c>
      <c r="B114" s="3" t="s">
        <v>6</v>
      </c>
      <c r="C114" s="2" t="str">
        <f ca="1">IFERROR(__xludf.DUMMYFUNCTION("GOOGLETRANSLATE(A114,""bn"",""en"")"),"  The fog irritates my allergies and makes me sneeze")</f>
        <v xml:space="preserve">  The fog irritates my allergies and makes me sneeze</v>
      </c>
    </row>
    <row r="115" spans="1:3" ht="15.75" customHeight="1" x14ac:dyDescent="0.25">
      <c r="A115" s="2" t="s">
        <v>117</v>
      </c>
      <c r="B115" s="3" t="s">
        <v>6</v>
      </c>
      <c r="C115" s="2" t="str">
        <f ca="1">IFERROR(__xludf.DUMMYFUNCTION("GOOGLETRANSLATE(A115,""bn"",""en"")")," The handle telescoping mechanism jams making it impossible to adjust")</f>
        <v xml:space="preserve"> The handle telescoping mechanism jams making it impossible to adjust</v>
      </c>
    </row>
    <row r="116" spans="1:3" ht="15.75" customHeight="1" x14ac:dyDescent="0.25">
      <c r="A116" s="2" t="s">
        <v>118</v>
      </c>
      <c r="B116" s="3" t="s">
        <v>2</v>
      </c>
      <c r="C116" s="2" t="str">
        <f ca="1">IFERROR(__xludf.DUMMYFUNCTION("GOOGLETRANSLATE(A116,""bn"",""en"")"),"Works somewhat perfectly")</f>
        <v>Works somewhat perfectly</v>
      </c>
    </row>
    <row r="117" spans="1:3" ht="15.75" customHeight="1" x14ac:dyDescent="0.25">
      <c r="A117" s="2" t="s">
        <v>119</v>
      </c>
      <c r="B117" s="3" t="s">
        <v>2</v>
      </c>
      <c r="C117" s="2" t="str">
        <f ca="1">IFERROR(__xludf.DUMMYFUNCTION("GOOGLETRANSLATE(A117,""bn"",""en"")"),"Looks nice but some items are defective")</f>
        <v>Looks nice but some items are defective</v>
      </c>
    </row>
    <row r="118" spans="1:3" ht="15.75" customHeight="1" x14ac:dyDescent="0.25">
      <c r="A118" s="2" t="s">
        <v>120</v>
      </c>
      <c r="B118" s="3" t="s">
        <v>4</v>
      </c>
      <c r="C118" s="2" t="str">
        <f ca="1">IFERROR(__xludf.DUMMYFUNCTION("GOOGLETRANSLATE(A118,""bn"",""en"")"),"Change the climate of the house")</f>
        <v>Change the climate of the house</v>
      </c>
    </row>
    <row r="119" spans="1:3" ht="15.75" customHeight="1" x14ac:dyDescent="0.25">
      <c r="A119" s="2" t="s">
        <v>121</v>
      </c>
      <c r="B119" s="3" t="s">
        <v>4</v>
      </c>
      <c r="C119" s="2" t="str">
        <f ca="1">IFERROR(__xludf.DUMMYFUNCTION("GOOGLETRANSLATE(A119,""bn"",""en"")"),"This body wash helps reduce the appearance of age")</f>
        <v>This body wash helps reduce the appearance of age</v>
      </c>
    </row>
    <row r="120" spans="1:3" ht="15.75" customHeight="1" x14ac:dyDescent="0.25">
      <c r="A120" s="2" t="s">
        <v>122</v>
      </c>
      <c r="B120" s="3" t="s">
        <v>6</v>
      </c>
      <c r="C120" s="2" t="str">
        <f ca="1">IFERROR(__xludf.DUMMYFUNCTION("GOOGLETRANSLATE(A120,""bn"",""en"")"),"The product design lacked durability and structural integrity")</f>
        <v>The product design lacked durability and structural integrity</v>
      </c>
    </row>
    <row r="121" spans="1:3" ht="15.75" customHeight="1" x14ac:dyDescent="0.25">
      <c r="A121" s="2" t="s">
        <v>123</v>
      </c>
      <c r="B121" s="3" t="s">
        <v>6</v>
      </c>
      <c r="C121" s="2" t="str">
        <f ca="1">IFERROR(__xludf.DUMMYFUNCTION("GOOGLETRANSLATE(A121,""bn"",""en"")"),"Unresponsive customer service fails to resolve complaints")</f>
        <v>Unresponsive customer service fails to resolve complaints</v>
      </c>
    </row>
    <row r="122" spans="1:3" ht="15.75" customHeight="1" x14ac:dyDescent="0.25">
      <c r="A122" s="2" t="s">
        <v>124</v>
      </c>
      <c r="B122" s="3" t="s">
        <v>6</v>
      </c>
      <c r="C122" s="2" t="str">
        <f ca="1">IFERROR(__xludf.DUMMYFUNCTION("GOOGLETRANSLATE(A122,""bn"",""en"")"),"The eyeshadow primer creases within a few hours causing the eyeshadow to fade and smudge")</f>
        <v>The eyeshadow primer creases within a few hours causing the eyeshadow to fade and smudge</v>
      </c>
    </row>
    <row r="123" spans="1:3" ht="15.75" customHeight="1" x14ac:dyDescent="0.25">
      <c r="A123" s="2" t="s">
        <v>125</v>
      </c>
      <c r="B123" s="3" t="s">
        <v>4</v>
      </c>
      <c r="C123" s="2" t="str">
        <f ca="1">IFERROR(__xludf.DUMMYFUNCTION("GOOGLETRANSLATE(A123,""bn"",""en"")"),"Its packaging is also quite attractive and modern")</f>
        <v>Its packaging is also quite attractive and modern</v>
      </c>
    </row>
    <row r="124" spans="1:3" ht="15.75" customHeight="1" x14ac:dyDescent="0.25">
      <c r="A124" s="2" t="s">
        <v>126</v>
      </c>
      <c r="B124" s="3" t="s">
        <v>4</v>
      </c>
      <c r="C124" s="2" t="str">
        <f ca="1">IFERROR(__xludf.DUMMYFUNCTION("GOOGLETRANSLATE(A124,""bn"",""en"")"),"The device's Face ID is very useful")</f>
        <v>The device's Face ID is very useful</v>
      </c>
    </row>
    <row r="125" spans="1:3" ht="15.75" customHeight="1" x14ac:dyDescent="0.25">
      <c r="A125" s="2" t="s">
        <v>127</v>
      </c>
      <c r="B125" s="3" t="s">
        <v>6</v>
      </c>
      <c r="C125" s="2" t="str">
        <f ca="1">IFERROR(__xludf.DUMMYFUNCTION("GOOGLETRANSLATE(A125,""bn"",""en"")")," The interior is hard to clean with food residue sticking to the walls")</f>
        <v xml:space="preserve"> The interior is hard to clean with food residue sticking to the walls</v>
      </c>
    </row>
    <row r="126" spans="1:3" ht="15.75" customHeight="1" x14ac:dyDescent="0.25">
      <c r="A126" s="2" t="s">
        <v>128</v>
      </c>
      <c r="B126" s="3" t="s">
        <v>4</v>
      </c>
      <c r="C126" s="2" t="str">
        <f ca="1">IFERROR(__xludf.DUMMYFUNCTION("GOOGLETRANSLATE(A126,""bn"",""en"")"),"The soap keeps the skin moisturized")</f>
        <v>The soap keeps the skin moisturized</v>
      </c>
    </row>
    <row r="127" spans="1:3" ht="15.75" customHeight="1" x14ac:dyDescent="0.25">
      <c r="A127" s="2" t="s">
        <v>129</v>
      </c>
      <c r="B127" s="3" t="s">
        <v>4</v>
      </c>
      <c r="C127" s="2" t="str">
        <f ca="1">IFERROR(__xludf.DUMMYFUNCTION("GOOGLETRANSLATE(A127,""bn"",""en"")"),"Best quality developed ")</f>
        <v xml:space="preserve">Best quality developed </v>
      </c>
    </row>
    <row r="128" spans="1:3" ht="15.75" customHeight="1" x14ac:dyDescent="0.25">
      <c r="A128" s="2" t="s">
        <v>130</v>
      </c>
      <c r="B128" s="3" t="s">
        <v>6</v>
      </c>
      <c r="C128" s="2" t="str">
        <f ca="1">IFERROR(__xludf.DUMMYFUNCTION("GOOGLETRANSLATE(A128,""bn"",""en"")"),"  Lacks structure resulting in an unflattering silhouette")</f>
        <v xml:space="preserve">  Lacks structure resulting in an unflattering silhouette</v>
      </c>
    </row>
    <row r="129" spans="1:3" ht="15.75" customHeight="1" x14ac:dyDescent="0.25">
      <c r="A129" s="2" t="s">
        <v>131</v>
      </c>
      <c r="B129" s="3" t="s">
        <v>2</v>
      </c>
      <c r="C129" s="2" t="str">
        <f ca="1">IFERROR(__xludf.DUMMYFUNCTION("GOOGLETRANSLATE(A129,""bn"",""en"")"),"The frame is durable but not super high quality")</f>
        <v>The frame is durable but not super high quality</v>
      </c>
    </row>
    <row r="130" spans="1:3" ht="15.75" customHeight="1" x14ac:dyDescent="0.25">
      <c r="A130" s="2" t="s">
        <v>132</v>
      </c>
      <c r="B130" s="3" t="s">
        <v>2</v>
      </c>
      <c r="C130" s="2" t="str">
        <f ca="1">IFERROR(__xludf.DUMMYFUNCTION("GOOGLETRANSLATE(A130,""bn"",""en"")"),"Product is good but customer service lacks advanced features")</f>
        <v>Product is good but customer service lacks advanced features</v>
      </c>
    </row>
    <row r="131" spans="1:3" ht="15.75" customHeight="1" x14ac:dyDescent="0.25">
      <c r="A131" s="2" t="s">
        <v>133</v>
      </c>
      <c r="B131" s="3" t="s">
        <v>2</v>
      </c>
      <c r="C131" s="2" t="str">
        <f ca="1">IFERROR(__xludf.DUMMYFUNCTION("GOOGLETRANSLATE(A131,""bn"",""en"")"),"The power bank works well but the charging time can be a bit slow ")</f>
        <v xml:space="preserve">The power bank works well but the charging time can be a bit slow </v>
      </c>
    </row>
    <row r="132" spans="1:3" ht="15.75" customHeight="1" x14ac:dyDescent="0.25">
      <c r="A132" s="2" t="s">
        <v>134</v>
      </c>
      <c r="B132" s="3" t="s">
        <v>2</v>
      </c>
      <c r="C132" s="2" t="str">
        <f ca="1">IFERROR(__xludf.DUMMYFUNCTION("GOOGLETRANSLATE(A132,""bn"",""en"")"),"The drone flies with the wind")</f>
        <v>The drone flies with the wind</v>
      </c>
    </row>
    <row r="133" spans="1:3" ht="15.75" customHeight="1" x14ac:dyDescent="0.25">
      <c r="A133" s="2" t="s">
        <v>135</v>
      </c>
      <c r="B133" s="3" t="s">
        <v>4</v>
      </c>
      <c r="C133" s="2" t="str">
        <f ca="1">IFERROR(__xludf.DUMMYFUNCTION("GOOGLETRANSLATE(A133,""bn"",""en"")"),"It is manageable for use by adults")</f>
        <v>It is manageable for use by adults</v>
      </c>
    </row>
    <row r="134" spans="1:3" ht="15.75" customHeight="1" x14ac:dyDescent="0.25">
      <c r="A134" s="2" t="s">
        <v>136</v>
      </c>
      <c r="B134" s="3" t="s">
        <v>4</v>
      </c>
      <c r="C134" s="2" t="str">
        <f ca="1">IFERROR(__xludf.DUMMYFUNCTION("GOOGLETRANSLATE(A134,""bn"",""en"")"),"The color of the room curtains is very pleasant and decorative")</f>
        <v>The color of the room curtains is very pleasant and decorative</v>
      </c>
    </row>
    <row r="135" spans="1:3" ht="15.75" customHeight="1" x14ac:dyDescent="0.25">
      <c r="A135" s="2" t="s">
        <v>137</v>
      </c>
      <c r="B135" s="3" t="s">
        <v>6</v>
      </c>
      <c r="C135" s="2" t="str">
        <f ca="1">IFERROR(__xludf.DUMMYFUNCTION("GOOGLETRANSLATE(A135,""bn"",""en"")"),"  The lotion left a sticky residue on my skin")</f>
        <v xml:space="preserve">  The lotion left a sticky residue on my skin</v>
      </c>
    </row>
    <row r="136" spans="1:3" ht="15.75" customHeight="1" x14ac:dyDescent="0.25">
      <c r="A136" s="2" t="s">
        <v>138</v>
      </c>
      <c r="B136" s="3" t="s">
        <v>2</v>
      </c>
      <c r="C136" s="2" t="str">
        <f ca="1">IFERROR(__xludf.DUMMYFUNCTION("GOOGLETRANSLATE(A136,""bn"",""en"")"),"The travel pillow is usable but not very comfortable")</f>
        <v>The travel pillow is usable but not very comfortable</v>
      </c>
    </row>
    <row r="137" spans="1:3" ht="15.75" customHeight="1" x14ac:dyDescent="0.25">
      <c r="A137" s="2" t="s">
        <v>139</v>
      </c>
      <c r="B137" s="3" t="s">
        <v>2</v>
      </c>
      <c r="C137" s="2" t="str">
        <f ca="1">IFERROR(__xludf.DUMMYFUNCTION("GOOGLETRANSLATE(A137,""bn"",""en"")"),"Usable for general daily activities")</f>
        <v>Usable for general daily activities</v>
      </c>
    </row>
    <row r="138" spans="1:3" ht="15.75" customHeight="1" x14ac:dyDescent="0.25">
      <c r="A138" s="2" t="s">
        <v>140</v>
      </c>
      <c r="B138" s="3" t="s">
        <v>6</v>
      </c>
      <c r="C138" s="2" t="str">
        <f ca="1">IFERROR(__xludf.DUMMYFUNCTION("GOOGLETRANSLATE(A138,""bn"",""en"")"),"The toy's plastic felt cheap and flimsy")</f>
        <v>The toy's plastic felt cheap and flimsy</v>
      </c>
    </row>
    <row r="139" spans="1:3" ht="15.75" customHeight="1" x14ac:dyDescent="0.25">
      <c r="A139" s="2" t="s">
        <v>141</v>
      </c>
      <c r="B139" s="3" t="s">
        <v>6</v>
      </c>
      <c r="C139" s="2" t="str">
        <f ca="1">IFERROR(__xludf.DUMMYFUNCTION("GOOGLETRANSLATE(A139,""bn"",""en"")")," The inner turntable does not rotate consistently resulting in uneven heating")</f>
        <v xml:space="preserve"> The inner turntable does not rotate consistently resulting in uneven heating</v>
      </c>
    </row>
    <row r="140" spans="1:3" ht="15.75" customHeight="1" x14ac:dyDescent="0.25">
      <c r="A140" s="2" t="s">
        <v>142</v>
      </c>
      <c r="B140" s="3" t="s">
        <v>4</v>
      </c>
      <c r="C140" s="2" t="str">
        <f ca="1">IFERROR(__xludf.DUMMYFUNCTION("GOOGLETRANSLATE(A140,""bn"",""en"")"),"The packaging was good and did not arrive damaged")</f>
        <v>The packaging was good and did not arrive damaged</v>
      </c>
    </row>
    <row r="141" spans="1:3" ht="15.75" customHeight="1" x14ac:dyDescent="0.25">
      <c r="A141" s="2" t="s">
        <v>143</v>
      </c>
      <c r="B141" s="3" t="s">
        <v>4</v>
      </c>
      <c r="C141" s="2" t="str">
        <f ca="1">IFERROR(__xludf.DUMMYFUNCTION("GOOGLETRANSLATE(A141,""bn"",""en"")"),"The pillows are resizable which is very convenient for me as I can shape them to my liking")</f>
        <v>The pillows are resizable which is very convenient for me as I can shape them to my liking</v>
      </c>
    </row>
    <row r="142" spans="1:3" ht="15.75" customHeight="1" x14ac:dyDescent="0.25">
      <c r="A142" s="2" t="s">
        <v>144</v>
      </c>
      <c r="B142" s="3" t="s">
        <v>2</v>
      </c>
      <c r="C142" s="2" t="str">
        <f ca="1">IFERROR(__xludf.DUMMYFUNCTION("GOOGLETRANSLATE(A142,""bn"",""en"")"),"Sweets are good but a bit too much")</f>
        <v>Sweets are good but a bit too much</v>
      </c>
    </row>
    <row r="143" spans="1:3" ht="15.75" customHeight="1" x14ac:dyDescent="0.25">
      <c r="A143" s="2" t="s">
        <v>145</v>
      </c>
      <c r="B143" s="3" t="s">
        <v>4</v>
      </c>
      <c r="C143" s="2" t="str">
        <f ca="1">IFERROR(__xludf.DUMMYFUNCTION("GOOGLETRANSLATE(A143,""bn"",""en"")"),"The vacuum is useful for cleaning the floor of the house")</f>
        <v>The vacuum is useful for cleaning the floor of the house</v>
      </c>
    </row>
    <row r="144" spans="1:3" ht="15.75" customHeight="1" x14ac:dyDescent="0.25">
      <c r="A144" s="2" t="s">
        <v>146</v>
      </c>
      <c r="B144" s="3" t="s">
        <v>2</v>
      </c>
      <c r="C144" s="2" t="str">
        <f ca="1">IFERROR(__xludf.DUMMYFUNCTION("GOOGLETRANSLATE(A144,""bn"",""en"")"),"Some plants did well but the fertilizer did not have much effect")</f>
        <v>Some plants did well but the fertilizer did not have much effect</v>
      </c>
    </row>
    <row r="145" spans="1:3" ht="15.75" customHeight="1" x14ac:dyDescent="0.25">
      <c r="A145" s="2" t="s">
        <v>147</v>
      </c>
      <c r="B145" s="3" t="s">
        <v>2</v>
      </c>
      <c r="C145" s="2" t="str">
        <f ca="1">IFERROR(__xludf.DUMMYFUNCTION("GOOGLETRANSLATE(A145,""bn"",""en"")"),"The product is better than others but there is room for improvement")</f>
        <v>The product is better than others but there is room for improvement</v>
      </c>
    </row>
    <row r="146" spans="1:3" ht="15.75" customHeight="1" x14ac:dyDescent="0.25">
      <c r="A146" s="2" t="s">
        <v>148</v>
      </c>
      <c r="B146" s="3" t="s">
        <v>2</v>
      </c>
      <c r="C146" s="2" t="str">
        <f ca="1">IFERROR(__xludf.DUMMYFUNCTION("GOOGLETRANSLATE(A146,""bn"",""en"")"),"The color is bright but the fabric quality is poor")</f>
        <v>The color is bright but the fabric quality is poor</v>
      </c>
    </row>
    <row r="147" spans="1:3" ht="15.75" customHeight="1" x14ac:dyDescent="0.25">
      <c r="A147" s="2" t="s">
        <v>149</v>
      </c>
      <c r="B147" s="3" t="s">
        <v>6</v>
      </c>
      <c r="C147" s="2" t="str">
        <f ca="1">IFERROR(__xludf.DUMMYFUNCTION("GOOGLETRANSLATE(A147,""bn"",""en"")"),"The coffee lacked body and depth and tasted thin and watery")</f>
        <v>The coffee lacked body and depth and tasted thin and watery</v>
      </c>
    </row>
    <row r="148" spans="1:3" ht="15.75" customHeight="1" x14ac:dyDescent="0.25">
      <c r="A148" s="2" t="s">
        <v>150</v>
      </c>
      <c r="B148" s="3" t="s">
        <v>2</v>
      </c>
      <c r="C148" s="2" t="str">
        <f ca="1">IFERROR(__xludf.DUMMYFUNCTION("GOOGLETRANSLATE(A148,""bn"",""en"")"),"The pad is of fair quality")</f>
        <v>The pad is of fair quality</v>
      </c>
    </row>
    <row r="149" spans="1:3" ht="15.75" customHeight="1" x14ac:dyDescent="0.25">
      <c r="A149" s="2" t="s">
        <v>151</v>
      </c>
      <c r="B149" s="3" t="s">
        <v>4</v>
      </c>
      <c r="C149" s="2" t="str">
        <f ca="1">IFERROR(__xludf.DUMMYFUNCTION("GOOGLETRANSLATE(A149,""bn"",""en"")"),"The new dress fits very well on the girl")</f>
        <v>The new dress fits very well on the girl</v>
      </c>
    </row>
    <row r="150" spans="1:3" ht="15.75" customHeight="1" x14ac:dyDescent="0.25">
      <c r="A150" s="2" t="s">
        <v>152</v>
      </c>
      <c r="B150" s="3" t="s">
        <v>2</v>
      </c>
      <c r="C150" s="2" t="str">
        <f ca="1">IFERROR(__xludf.DUMMYFUNCTION("GOOGLETRANSLATE(A150,""bn"",""en"")"),"Performance is acceptable")</f>
        <v>Performance is acceptable</v>
      </c>
    </row>
    <row r="151" spans="1:3" ht="15.75" customHeight="1" x14ac:dyDescent="0.25">
      <c r="A151" s="2" t="s">
        <v>153</v>
      </c>
      <c r="B151" s="3" t="s">
        <v>6</v>
      </c>
      <c r="C151" s="2" t="str">
        <f ca="1">IFERROR(__xludf.DUMMYFUNCTION("GOOGLETRANSLATE(A151,""bn"",""en"")"),"The bar of soap dried out my skin leaving it feeling tight and uncomfortable")</f>
        <v>The bar of soap dried out my skin leaving it feeling tight and uncomfortable</v>
      </c>
    </row>
    <row r="152" spans="1:3" ht="15.75" customHeight="1" x14ac:dyDescent="0.25">
      <c r="A152" s="2" t="s">
        <v>154</v>
      </c>
      <c r="B152" s="3" t="s">
        <v>6</v>
      </c>
      <c r="C152" s="2" t="str">
        <f ca="1">IFERROR(__xludf.DUMMYFUNCTION("GOOGLETRANSLATE(A152,""bn"",""en"")"),"The stiffness of the fabric resists movement of the garment and damages it")</f>
        <v>The stiffness of the fabric resists movement of the garment and damages it</v>
      </c>
    </row>
    <row r="153" spans="1:3" ht="15.75" customHeight="1" x14ac:dyDescent="0.25">
      <c r="A153" s="2" t="s">
        <v>155</v>
      </c>
      <c r="B153" s="3" t="s">
        <v>2</v>
      </c>
      <c r="C153" s="2" t="str">
        <f ca="1">IFERROR(__xludf.DUMMYFUNCTION("GOOGLETRANSLATE(A153,""bn"",""en"")"),"The timer button is short and can be challenging to use")</f>
        <v>The timer button is short and can be challenging to use</v>
      </c>
    </row>
    <row r="154" spans="1:3" ht="15.75" customHeight="1" x14ac:dyDescent="0.25">
      <c r="A154" s="2" t="s">
        <v>156</v>
      </c>
      <c r="B154" s="3" t="s">
        <v>2</v>
      </c>
      <c r="C154" s="2" t="str">
        <f ca="1">IFERROR(__xludf.DUMMYFUNCTION("GOOGLETRANSLATE(A154,""bn"",""en"")"),"The smart scale measures weight but the app connection is sometimes unstable")</f>
        <v>The smart scale measures weight but the app connection is sometimes unstable</v>
      </c>
    </row>
    <row r="155" spans="1:3" ht="15.75" customHeight="1" x14ac:dyDescent="0.25">
      <c r="A155" s="2" t="s">
        <v>157</v>
      </c>
      <c r="B155" s="3" t="s">
        <v>2</v>
      </c>
      <c r="C155" s="2" t="str">
        <f ca="1">IFERROR(__xludf.DUMMYFUNCTION("GOOGLETRANSLATE(A155,""bn"",""en"")"),"A fragrance diffuser diffuses scent but has limited coverage")</f>
        <v>A fragrance diffuser diffuses scent but has limited coverage</v>
      </c>
    </row>
    <row r="156" spans="1:3" ht="15.75" customHeight="1" x14ac:dyDescent="0.25">
      <c r="A156" s="2" t="s">
        <v>158</v>
      </c>
      <c r="B156" s="3" t="s">
        <v>6</v>
      </c>
      <c r="C156" s="2" t="str">
        <f ca="1">IFERROR(__xludf.DUMMYFUNCTION("GOOGLETRANSLATE(A156,""bn"",""en"")"),"Power bank charging status lights with fuzzy indicators for confusing battery levels")</f>
        <v>Power bank charging status lights with fuzzy indicators for confusing battery levels</v>
      </c>
    </row>
    <row r="157" spans="1:3" ht="15.75" customHeight="1" x14ac:dyDescent="0.25">
      <c r="A157" s="2" t="s">
        <v>159</v>
      </c>
      <c r="B157" s="3" t="s">
        <v>4</v>
      </c>
      <c r="C157" s="2" t="str">
        <f ca="1">IFERROR(__xludf.DUMMYFUNCTION("GOOGLETRANSLATE(A157,""bn"",""en"")")," You can get good value")</f>
        <v xml:space="preserve"> You can get good value</v>
      </c>
    </row>
    <row r="158" spans="1:3" ht="15.75" customHeight="1" x14ac:dyDescent="0.25">
      <c r="A158" s="2" t="s">
        <v>160</v>
      </c>
      <c r="B158" s="3" t="s">
        <v>6</v>
      </c>
      <c r="C158" s="2" t="str">
        <f ca="1">IFERROR(__xludf.DUMMYFUNCTION("GOOGLETRANSLATE(A158,""bn"",""en"")"),"Mascara leaves dark circles under the eyes throughout the day")</f>
        <v>Mascara leaves dark circles under the eyes throughout the day</v>
      </c>
    </row>
    <row r="159" spans="1:3" ht="15.75" customHeight="1" x14ac:dyDescent="0.25">
      <c r="A159" s="2" t="s">
        <v>161</v>
      </c>
      <c r="B159" s="3" t="s">
        <v>2</v>
      </c>
      <c r="C159" s="2" t="str">
        <f ca="1">IFERROR(__xludf.DUMMYFUNCTION("GOOGLETRANSLATE(A159,""bn"",""en"")"),"Looks attractive but less comfortable")</f>
        <v>Looks attractive but less comfortable</v>
      </c>
    </row>
    <row r="160" spans="1:3" ht="15.75" customHeight="1" x14ac:dyDescent="0.25">
      <c r="A160" s="2" t="s">
        <v>162</v>
      </c>
      <c r="B160" s="3" t="s">
        <v>6</v>
      </c>
      <c r="C160" s="2" t="str">
        <f ca="1">IFERROR(__xludf.DUMMYFUNCTION("GOOGLETRANSLATE(A160,""bn"",""en"")"),"Despite the claim of being lightweight the laptop bag felt heavy and cumbersome to carry which weighed me down during my travels.")</f>
        <v>Despite the claim of being lightweight the laptop bag felt heavy and cumbersome to carry which weighed me down during my travels.</v>
      </c>
    </row>
    <row r="161" spans="1:3" ht="15.75" customHeight="1" x14ac:dyDescent="0.25">
      <c r="A161" s="2" t="s">
        <v>163</v>
      </c>
      <c r="B161" s="3" t="s">
        <v>6</v>
      </c>
      <c r="C161" s="2" t="str">
        <f ca="1">IFERROR(__xludf.DUMMYFUNCTION("GOOGLETRANSLATE(A161,""bn"",""en"")"),"Hair oil makes my scalp oily and attracts dirt making my hair look dirty")</f>
        <v>Hair oil makes my scalp oily and attracts dirt making my hair look dirty</v>
      </c>
    </row>
    <row r="162" spans="1:3" ht="15.75" customHeight="1" x14ac:dyDescent="0.25">
      <c r="A162" s="2" t="s">
        <v>164</v>
      </c>
      <c r="B162" s="3" t="s">
        <v>4</v>
      </c>
      <c r="C162" s="2" t="str">
        <f ca="1">IFERROR(__xludf.DUMMYFUNCTION("GOOGLETRANSLATE(A162,""bn"",""en"")"),"This amazing ring design is very beautiful and attractive")</f>
        <v>This amazing ring design is very beautiful and attractive</v>
      </c>
    </row>
    <row r="163" spans="1:3" ht="15.75" customHeight="1" x14ac:dyDescent="0.25">
      <c r="A163" s="2" t="s">
        <v>165</v>
      </c>
      <c r="B163" s="3" t="s">
        <v>6</v>
      </c>
      <c r="C163" s="2" t="str">
        <f ca="1">IFERROR(__xludf.DUMMYFUNCTION("GOOGLETRANSLATE(A163,""bn"",""en"")"),"The exterior finish is prone to rust compromising its durability")</f>
        <v>The exterior finish is prone to rust compromising its durability</v>
      </c>
    </row>
    <row r="164" spans="1:3" ht="15.75" customHeight="1" x14ac:dyDescent="0.25">
      <c r="A164" s="2" t="s">
        <v>166</v>
      </c>
      <c r="B164" s="3" t="s">
        <v>4</v>
      </c>
      <c r="C164" s="2" t="str">
        <f ca="1">IFERROR(__xludf.DUMMYFUNCTION("GOOGLETRANSLATE(A164,""bn"",""en"")"),"The ventilation system behind the bookcase keeps the books well")</f>
        <v>The ventilation system behind the bookcase keeps the books well</v>
      </c>
    </row>
    <row r="165" spans="1:3" ht="15.75" customHeight="1" x14ac:dyDescent="0.25">
      <c r="A165" s="2" t="s">
        <v>167</v>
      </c>
      <c r="B165" s="3" t="s">
        <v>6</v>
      </c>
      <c r="C165" s="2" t="str">
        <f ca="1">IFERROR(__xludf.DUMMYFUNCTION("GOOGLETRANSLATE(A165,""bn"",""en"")"),"Solar powered bird repeller does not deter birds ineffectively")</f>
        <v>Solar powered bird repeller does not deter birds ineffectively</v>
      </c>
    </row>
    <row r="166" spans="1:3" ht="15.75" customHeight="1" x14ac:dyDescent="0.25">
      <c r="A166" s="2" t="s">
        <v>168</v>
      </c>
      <c r="B166" s="3" t="s">
        <v>2</v>
      </c>
      <c r="C166" s="2" t="str">
        <f ca="1">IFERROR(__xludf.DUMMYFUNCTION("GOOGLETRANSLATE(A166,""bn"",""en"")"),"The wireless ear wax remover works but the tip needs to be changed often")</f>
        <v>The wireless ear wax remover works but the tip needs to be changed often</v>
      </c>
    </row>
    <row r="167" spans="1:3" ht="15.75" customHeight="1" x14ac:dyDescent="0.25">
      <c r="A167" s="2" t="s">
        <v>169</v>
      </c>
      <c r="B167" s="3" t="s">
        <v>6</v>
      </c>
      <c r="C167" s="2" t="str">
        <f ca="1">IFERROR(__xludf.DUMMYFUNCTION("GOOGLETRANSLATE(A167,""bn"",""en"")")," The design lacks structural integrity causing it to collapse when empty")</f>
        <v xml:space="preserve"> The design lacks structural integrity causing it to collapse when empty</v>
      </c>
    </row>
    <row r="168" spans="1:3" ht="15.75" customHeight="1" x14ac:dyDescent="0.25">
      <c r="A168" s="2" t="s">
        <v>170</v>
      </c>
      <c r="B168" s="3" t="s">
        <v>6</v>
      </c>
      <c r="C168" s="2" t="str">
        <f ca="1">IFERROR(__xludf.DUMMYFUNCTION("GOOGLETRANSLATE(A168,""bn"",""en"")")," Control panel buttons are poorly labeled causing confusion as to their function")</f>
        <v xml:space="preserve"> Control panel buttons are poorly labeled causing confusion as to their function</v>
      </c>
    </row>
    <row r="169" spans="1:3" ht="15.75" customHeight="1" x14ac:dyDescent="0.25">
      <c r="A169" s="2" t="s">
        <v>171</v>
      </c>
      <c r="B169" s="3" t="s">
        <v>4</v>
      </c>
      <c r="C169" s="2" t="str">
        <f ca="1">IFERROR(__xludf.DUMMYFUNCTION("GOOGLETRANSLATE(A169,""bn"",""en"")"),"Spreads very well")</f>
        <v>Spreads very well</v>
      </c>
    </row>
    <row r="170" spans="1:3" ht="15.75" customHeight="1" x14ac:dyDescent="0.25">
      <c r="A170" s="2" t="s">
        <v>172</v>
      </c>
      <c r="B170" s="3" t="s">
        <v>2</v>
      </c>
      <c r="C170" s="2" t="str">
        <f ca="1">IFERROR(__xludf.DUMMYFUNCTION("GOOGLETRANSLATE(A170,""bn"",""en"")"),"The fan is of average quality but not very powerful ")</f>
        <v xml:space="preserve">The fan is of average quality but not very powerful </v>
      </c>
    </row>
    <row r="171" spans="1:3" ht="15.75" customHeight="1" x14ac:dyDescent="0.25">
      <c r="A171" s="2" t="s">
        <v>173</v>
      </c>
      <c r="B171" s="3" t="s">
        <v>6</v>
      </c>
      <c r="C171" s="2" t="str">
        <f ca="1">IFERROR(__xludf.DUMMYFUNCTION("GOOGLETRANSLATE(A171,""bn"",""en"")"),"The lack of stretch in the fabric makes the garment uncomfortable to wear by restricting movement and causing stiffness")</f>
        <v>The lack of stretch in the fabric makes the garment uncomfortable to wear by restricting movement and causing stiffness</v>
      </c>
    </row>
    <row r="172" spans="1:3" ht="15.75" customHeight="1" x14ac:dyDescent="0.25">
      <c r="A172" s="2" t="s">
        <v>174</v>
      </c>
      <c r="B172" s="3" t="s">
        <v>4</v>
      </c>
      <c r="C172" s="2" t="str">
        <f ca="1">IFERROR(__xludf.DUMMYFUNCTION("GOOGLETRANSLATE(A172,""bn"",""en"")"),"The design of my earrings is very stylish")</f>
        <v>The design of my earrings is very stylish</v>
      </c>
    </row>
    <row r="173" spans="1:3" ht="15.75" customHeight="1" x14ac:dyDescent="0.25">
      <c r="A173" s="2" t="s">
        <v>175</v>
      </c>
      <c r="B173" s="3" t="s">
        <v>6</v>
      </c>
      <c r="C173" s="2" t="str">
        <f ca="1">IFERROR(__xludf.DUMMYFUNCTION("GOOGLETRANSLATE(A173,""bn"",""en"")"),"Cracks form quickly making it unsafe for hot drinks")</f>
        <v>Cracks form quickly making it unsafe for hot drinks</v>
      </c>
    </row>
    <row r="174" spans="1:3" ht="15.75" customHeight="1" x14ac:dyDescent="0.25">
      <c r="A174" s="2" t="s">
        <v>176</v>
      </c>
      <c r="B174" s="3" t="s">
        <v>2</v>
      </c>
      <c r="C174" s="2" t="str">
        <f ca="1">IFERROR(__xludf.DUMMYFUNCTION("GOOGLETRANSLATE(A174,""bn"",""en"")"),"The camera is good but doesn't meet all needs")</f>
        <v>The camera is good but doesn't meet all needs</v>
      </c>
    </row>
    <row r="175" spans="1:3" ht="15.75" customHeight="1" x14ac:dyDescent="0.25">
      <c r="A175" s="2" t="s">
        <v>177</v>
      </c>
      <c r="B175" s="3" t="s">
        <v>2</v>
      </c>
      <c r="C175" s="2" t="str">
        <f ca="1">IFERROR(__xludf.DUMMYFUNCTION("GOOGLETRANSLATE(A175,""bn"",""en"")"),"Bowl sizes are different")</f>
        <v>Bowl sizes are different</v>
      </c>
    </row>
    <row r="176" spans="1:3" ht="15.75" customHeight="1" x14ac:dyDescent="0.25">
      <c r="A176" s="2" t="s">
        <v>178</v>
      </c>
      <c r="B176" s="3" t="s">
        <v>2</v>
      </c>
      <c r="C176" s="2" t="str">
        <f ca="1">IFERROR(__xludf.DUMMYFUNCTION("GOOGLETRANSLATE(A176,""bn"",""en"")"),"Linen passable is not great")</f>
        <v>Linen passable is not great</v>
      </c>
    </row>
    <row r="177" spans="1:3" ht="15.75" customHeight="1" x14ac:dyDescent="0.25">
      <c r="A177" s="2" t="s">
        <v>179</v>
      </c>
      <c r="B177" s="3" t="s">
        <v>4</v>
      </c>
      <c r="C177" s="2" t="str">
        <f ca="1">IFERROR(__xludf.DUMMYFUNCTION("GOOGLETRANSLATE(A177,""bn"",""en"")"),"Those of you who buy some products today can win")</f>
        <v>Those of you who buy some products today can win</v>
      </c>
    </row>
    <row r="178" spans="1:3" ht="15.75" customHeight="1" x14ac:dyDescent="0.25">
      <c r="A178" s="2" t="s">
        <v>180</v>
      </c>
      <c r="B178" s="3" t="s">
        <v>2</v>
      </c>
      <c r="C178" s="2" t="str">
        <f ca="1">IFERROR(__xludf.DUMMYFUNCTION("GOOGLETRANSLATE(A178,""bn"",""en"")"),"Different fruits have shape but color is exaggerated")</f>
        <v>Different fruits have shape but color is exaggerated</v>
      </c>
    </row>
    <row r="179" spans="1:3" ht="15.75" customHeight="1" x14ac:dyDescent="0.25">
      <c r="A179" s="2" t="s">
        <v>181</v>
      </c>
      <c r="B179" s="3" t="s">
        <v>2</v>
      </c>
      <c r="C179" s="2" t="str">
        <f ca="1">IFERROR(__xludf.DUMMYFUNCTION("GOOGLETRANSLATE(A179,""bn"",""en"")"),"Fabric is good but not very durable")</f>
        <v>Fabric is good but not very durable</v>
      </c>
    </row>
    <row r="180" spans="1:3" ht="15.75" customHeight="1" x14ac:dyDescent="0.25">
      <c r="A180" s="2" t="s">
        <v>182</v>
      </c>
      <c r="B180" s="3" t="s">
        <v>4</v>
      </c>
      <c r="C180" s="2" t="str">
        <f ca="1">IFERROR(__xludf.DUMMYFUNCTION("GOOGLETRANSLATE(A180,""bn"",""en"")"),"The boy is always alert during his play")</f>
        <v>The boy is always alert during his play</v>
      </c>
    </row>
    <row r="181" spans="1:3" ht="15.75" customHeight="1" x14ac:dyDescent="0.25">
      <c r="A181" s="2" t="s">
        <v>183</v>
      </c>
      <c r="B181" s="3" t="s">
        <v>4</v>
      </c>
      <c r="C181" s="2" t="str">
        <f ca="1">IFERROR(__xludf.DUMMYFUNCTION("GOOGLETRANSLATE(A181,""bn"",""en"")"),"The taste of these biscuits is really amazing with the perfect balance of sweet and salty")</f>
        <v>The taste of these biscuits is really amazing with the perfect balance of sweet and salty</v>
      </c>
    </row>
    <row r="182" spans="1:3" ht="15.75" customHeight="1" x14ac:dyDescent="0.25">
      <c r="A182" s="2" t="s">
        <v>184</v>
      </c>
      <c r="B182" s="3" t="s">
        <v>2</v>
      </c>
      <c r="C182" s="2" t="str">
        <f ca="1">IFERROR(__xludf.DUMMYFUNCTION("GOOGLETRANSLATE(A182,""bn"",""en"")"),"Not what I wanted but ok")</f>
        <v>Not what I wanted but ok</v>
      </c>
    </row>
    <row r="183" spans="1:3" ht="15.75" customHeight="1" x14ac:dyDescent="0.25">
      <c r="A183" s="2" t="s">
        <v>185</v>
      </c>
      <c r="B183" s="3" t="s">
        <v>2</v>
      </c>
      <c r="C183" s="2" t="str">
        <f ca="1">IFERROR(__xludf.DUMMYFUNCTION("GOOGLETRANSLATE(A183,""bn"",""en"")"),"Nice earbuds but doesn't work as expected")</f>
        <v>Nice earbuds but doesn't work as expected</v>
      </c>
    </row>
    <row r="184" spans="1:3" ht="15.75" customHeight="1" x14ac:dyDescent="0.25">
      <c r="A184" s="2" t="s">
        <v>186</v>
      </c>
      <c r="B184" s="3" t="s">
        <v>2</v>
      </c>
      <c r="C184" s="2" t="str">
        <f ca="1">IFERROR(__xludf.DUMMYFUNCTION("GOOGLETRANSLATE(A184,""bn"",""en"")"),"The trash can works but smells")</f>
        <v>The trash can works but smells</v>
      </c>
    </row>
    <row r="185" spans="1:3" ht="15.75" customHeight="1" x14ac:dyDescent="0.25">
      <c r="A185" s="2" t="s">
        <v>187</v>
      </c>
      <c r="B185" s="3" t="s">
        <v>2</v>
      </c>
      <c r="C185" s="2" t="str">
        <f ca="1">IFERROR(__xludf.DUMMYFUNCTION("GOOGLETRANSLATE(A185,""bn"",""en"")"),"The handle is less likely to break")</f>
        <v>The handle is less likely to break</v>
      </c>
    </row>
    <row r="186" spans="1:3" ht="15.75" customHeight="1" x14ac:dyDescent="0.25">
      <c r="A186" s="2" t="s">
        <v>188</v>
      </c>
      <c r="B186" s="3" t="s">
        <v>2</v>
      </c>
      <c r="C186" s="2" t="str">
        <f ca="1">IFERROR(__xludf.DUMMYFUNCTION("GOOGLETRANSLATE(A186,""bn"",""en"")"),"The mop cloth is good but takes time to dry")</f>
        <v>The mop cloth is good but takes time to dry</v>
      </c>
    </row>
    <row r="187" spans="1:3" ht="15.75" customHeight="1" x14ac:dyDescent="0.25">
      <c r="A187" s="2" t="s">
        <v>189</v>
      </c>
      <c r="B187" s="3" t="s">
        <v>6</v>
      </c>
      <c r="C187" s="2" t="str">
        <f ca="1">IFERROR(__xludf.DUMMYFUNCTION("GOOGLETRANSLATE(A187,""bn"",""en"")"),"The item's finish is easily damaged making it look old quickly")</f>
        <v>The item's finish is easily damaged making it look old quickly</v>
      </c>
    </row>
    <row r="188" spans="1:3" ht="15.75" customHeight="1" x14ac:dyDescent="0.25">
      <c r="A188" s="2" t="s">
        <v>190</v>
      </c>
      <c r="B188" s="3" t="s">
        <v>4</v>
      </c>
      <c r="C188" s="2" t="str">
        <f ca="1">IFERROR(__xludf.DUMMYFUNCTION("GOOGLETRANSLATE(A188,""bn"",""en"")"),"The installation process is simple")</f>
        <v>The installation process is simple</v>
      </c>
    </row>
    <row r="189" spans="1:3" ht="15.75" customHeight="1" x14ac:dyDescent="0.25">
      <c r="A189" s="2" t="s">
        <v>191</v>
      </c>
      <c r="B189" s="3" t="s">
        <v>4</v>
      </c>
      <c r="C189" s="2" t="str">
        <f ca="1">IFERROR(__xludf.DUMMYFUNCTION("GOOGLETRANSLATE(A189,""bn"",""en"")"),"It helps to increase the volume of my hair")</f>
        <v>It helps to increase the volume of my hair</v>
      </c>
    </row>
    <row r="190" spans="1:3" ht="15.75" customHeight="1" x14ac:dyDescent="0.25">
      <c r="A190" s="2" t="s">
        <v>192</v>
      </c>
      <c r="B190" s="3" t="s">
        <v>4</v>
      </c>
      <c r="C190" s="2" t="str">
        <f ca="1">IFERROR(__xludf.DUMMYFUNCTION("GOOGLETRANSLATE(A190,""bn"",""en"")"),"The light is perfect for indoor lighting")</f>
        <v>The light is perfect for indoor lighting</v>
      </c>
    </row>
    <row r="191" spans="1:3" ht="15.75" customHeight="1" x14ac:dyDescent="0.25">
      <c r="A191" s="2" t="s">
        <v>193</v>
      </c>
      <c r="B191" s="3" t="s">
        <v>6</v>
      </c>
      <c r="C191" s="2" t="str">
        <f ca="1">IFERROR(__xludf.DUMMYFUNCTION("GOOGLETRANSLATE(A191,""bn"",""en"")"),"Face wash removes moisture from the skin causing tightness and discomfort especially in dry skin types")</f>
        <v>Face wash removes moisture from the skin causing tightness and discomfort especially in dry skin types</v>
      </c>
    </row>
    <row r="192" spans="1:3" ht="15.75" customHeight="1" x14ac:dyDescent="0.25">
      <c r="A192" s="2" t="s">
        <v>194</v>
      </c>
      <c r="B192" s="3" t="s">
        <v>6</v>
      </c>
      <c r="C192" s="2" t="str">
        <f ca="1">IFERROR(__xludf.DUMMYFUNCTION("GOOGLETRANSLATE(A192,""bn"",""en"")"),"The shower gel leaked in transit creating a sticky mess in the package")</f>
        <v>The shower gel leaked in transit creating a sticky mess in the package</v>
      </c>
    </row>
    <row r="193" spans="1:3" ht="15.75" customHeight="1" x14ac:dyDescent="0.25">
      <c r="A193" s="2" t="s">
        <v>195</v>
      </c>
      <c r="B193" s="3" t="s">
        <v>6</v>
      </c>
      <c r="C193" s="2" t="str">
        <f ca="1">IFERROR(__xludf.DUMMYFUNCTION("GOOGLETRANSLATE(A193,""bn"",""en"")"),"I don't really love")</f>
        <v>I don't really love</v>
      </c>
    </row>
    <row r="194" spans="1:3" ht="15.75" customHeight="1" x14ac:dyDescent="0.25">
      <c r="A194" s="2" t="s">
        <v>196</v>
      </c>
      <c r="B194" s="3" t="s">
        <v>4</v>
      </c>
      <c r="C194" s="2" t="str">
        <f ca="1">IFERROR(__xludf.DUMMYFUNCTION("GOOGLETRANSLATE(A194,""bn"",""en"")"),"Every story in the new book is interesting")</f>
        <v>Every story in the new book is interesting</v>
      </c>
    </row>
    <row r="195" spans="1:3" ht="15.75" customHeight="1" x14ac:dyDescent="0.25">
      <c r="A195" s="2" t="s">
        <v>197</v>
      </c>
      <c r="B195" s="3" t="s">
        <v>2</v>
      </c>
      <c r="C195" s="2" t="str">
        <f ca="1">IFERROR(__xludf.DUMMYFUNCTION("GOOGLETRANSLATE(A195,""bn"",""en"")"),"Acid free paper is used")</f>
        <v>Acid free paper is used</v>
      </c>
    </row>
    <row r="196" spans="1:3" ht="15.75" customHeight="1" x14ac:dyDescent="0.25">
      <c r="A196" s="2" t="s">
        <v>198</v>
      </c>
      <c r="B196" s="3" t="s">
        <v>4</v>
      </c>
      <c r="C196" s="2" t="str">
        <f ca="1">IFERROR(__xludf.DUMMYFUNCTION("GOOGLETRANSLATE(A196,""bn"",""en"")"),"This shampoo makes the hair very soft")</f>
        <v>This shampoo makes the hair very soft</v>
      </c>
    </row>
    <row r="197" spans="1:3" ht="15.75" customHeight="1" x14ac:dyDescent="0.25">
      <c r="A197" s="2" t="s">
        <v>199</v>
      </c>
      <c r="B197" s="3" t="s">
        <v>4</v>
      </c>
      <c r="C197" s="2" t="str">
        <f ca="1">IFERROR(__xludf.DUMMYFUNCTION("GOOGLETRANSLATE(A197,""bn"",""en"")"),"Your skin will be more beautiful by using this body wash")</f>
        <v>Your skin will be more beautiful by using this body wash</v>
      </c>
    </row>
    <row r="198" spans="1:3" ht="15.75" customHeight="1" x14ac:dyDescent="0.25">
      <c r="A198" s="2" t="s">
        <v>200</v>
      </c>
      <c r="B198" s="3" t="s">
        <v>6</v>
      </c>
      <c r="C198" s="2" t="str">
        <f ca="1">IFERROR(__xludf.DUMMYFUNCTION("GOOGLETRANSLATE(A198,""bn"",""en"")"),"The durability of the product did not meet expectations")</f>
        <v>The durability of the product did not meet expectations</v>
      </c>
    </row>
    <row r="199" spans="1:3" ht="15.75" customHeight="1" x14ac:dyDescent="0.25">
      <c r="A199" s="2" t="s">
        <v>201</v>
      </c>
      <c r="B199" s="3" t="s">
        <v>4</v>
      </c>
      <c r="C199" s="2" t="str">
        <f ca="1">IFERROR(__xludf.DUMMYFUNCTION("GOOGLETRANSLATE(A199,""bn"",""en"")"),"The product is rated well")</f>
        <v>The product is rated well</v>
      </c>
    </row>
    <row r="200" spans="1:3" ht="15.75" customHeight="1" x14ac:dyDescent="0.25">
      <c r="A200" s="2" t="s">
        <v>202</v>
      </c>
      <c r="B200" s="3" t="s">
        <v>2</v>
      </c>
      <c r="C200" s="2" t="str">
        <f ca="1">IFERROR(__xludf.DUMMYFUNCTION("GOOGLETRANSLATE(A200,""bn"",""en"")"),"The fit is slightly uncomfortable")</f>
        <v>The fit is slightly uncomfortable</v>
      </c>
    </row>
    <row r="201" spans="1:3" ht="15.75" customHeight="1" x14ac:dyDescent="0.25">
      <c r="A201" s="2" t="s">
        <v>203</v>
      </c>
      <c r="B201" s="3" t="s">
        <v>6</v>
      </c>
      <c r="C201" s="2" t="str">
        <f ca="1">IFERROR(__xludf.DUMMYFUNCTION("GOOGLETRANSLATE(A201,""bn"",""en"")"),"The Smart Kitchen Scale app cannot track crash measurements")</f>
        <v>The Smart Kitchen Scale app cannot track crash measurements</v>
      </c>
    </row>
    <row r="202" spans="1:3" ht="15.75" customHeight="1" x14ac:dyDescent="0.25">
      <c r="A202" s="2" t="s">
        <v>204</v>
      </c>
      <c r="B202" s="3" t="s">
        <v>2</v>
      </c>
      <c r="C202" s="2" t="str">
        <f ca="1">IFERROR(__xludf.DUMMYFUNCTION("GOOGLETRANSLATE(A202,""bn"",""en"")"),"The Super Woodworking Sharpener is fine")</f>
        <v>The Super Woodworking Sharpener is fine</v>
      </c>
    </row>
    <row r="203" spans="1:3" ht="15.75" customHeight="1" x14ac:dyDescent="0.25">
      <c r="A203" s="2" t="s">
        <v>205</v>
      </c>
      <c r="B203" s="3" t="s">
        <v>2</v>
      </c>
      <c r="C203" s="2" t="str">
        <f ca="1">IFERROR(__xludf.DUMMYFUNCTION("GOOGLETRANSLATE(A203,""bn"",""en"")"),"It feels slightly liquid")</f>
        <v>It feels slightly liquid</v>
      </c>
    </row>
    <row r="204" spans="1:3" ht="15.75" customHeight="1" x14ac:dyDescent="0.25">
      <c r="A204" s="2" t="s">
        <v>206</v>
      </c>
      <c r="B204" s="3" t="s">
        <v>6</v>
      </c>
      <c r="C204" s="2" t="str">
        <f ca="1">IFERROR(__xludf.DUMMYFUNCTION("GOOGLETRANSLATE(A204,""bn"",""en"")"),"The laptop's build quality feels cheap and flimsy, raising concerns about durability and longevity")</f>
        <v>The laptop's build quality feels cheap and flimsy, raising concerns about durability and longevity</v>
      </c>
    </row>
    <row r="205" spans="1:3" ht="15.75" customHeight="1" x14ac:dyDescent="0.25">
      <c r="A205" s="2" t="s">
        <v>207</v>
      </c>
      <c r="B205" s="3" t="s">
        <v>6</v>
      </c>
      <c r="C205" s="2" t="str">
        <f ca="1">IFERROR(__xludf.DUMMYFUNCTION("GOOGLETRANSLATE(A205,""bn"",""en"")"),"  The gel did not dissolve well and left a film on my skin")</f>
        <v xml:space="preserve">  The gel did not dissolve well and left a film on my skin</v>
      </c>
    </row>
    <row r="206" spans="1:3" ht="15.75" customHeight="1" x14ac:dyDescent="0.25">
      <c r="A206" s="2" t="s">
        <v>208</v>
      </c>
      <c r="B206" s="3" t="s">
        <v>6</v>
      </c>
      <c r="C206" s="2" t="str">
        <f ca="1">IFERROR(__xludf.DUMMYFUNCTION("GOOGLETRANSLATE(A206,""bn"",""en"")"),"Extra cost for poor quality products")</f>
        <v>Extra cost for poor quality products</v>
      </c>
    </row>
    <row r="207" spans="1:3" ht="15.75" customHeight="1" x14ac:dyDescent="0.25">
      <c r="A207" s="2" t="s">
        <v>209</v>
      </c>
      <c r="B207" s="3" t="s">
        <v>6</v>
      </c>
      <c r="C207" s="2" t="str">
        <f ca="1">IFERROR(__xludf.DUMMYFUNCTION("GOOGLETRANSLATE(A207,""bn"",""en"")")," The carrying case is poorly designed with insufficient padding or protection leading to damage during transport or storage")</f>
        <v xml:space="preserve"> The carrying case is poorly designed with insufficient padding or protection leading to damage during transport or storage</v>
      </c>
    </row>
    <row r="208" spans="1:3" ht="15.75" customHeight="1" x14ac:dyDescent="0.25">
      <c r="A208" s="2" t="s">
        <v>210</v>
      </c>
      <c r="B208" s="3" t="s">
        <v>6</v>
      </c>
      <c r="C208" s="2" t="str">
        <f ca="1">IFERROR(__xludf.DUMMYFUNCTION("GOOGLETRANSLATE(A208,""bn"",""en"")"),"Repeated errors frustrate reliability")</f>
        <v>Repeated errors frustrate reliability</v>
      </c>
    </row>
    <row r="209" spans="1:3" ht="15.75" customHeight="1" x14ac:dyDescent="0.25">
      <c r="A209" s="2" t="s">
        <v>211</v>
      </c>
      <c r="B209" s="3" t="s">
        <v>2</v>
      </c>
      <c r="C209" s="2" t="str">
        <f ca="1">IFERROR(__xludf.DUMMYFUNCTION("GOOGLETRANSLATE(A209,""bn"",""en"")"),"The use of fertilizers increased some yield but soil quality did not improve much")</f>
        <v>The use of fertilizers increased some yield but soil quality did not improve much</v>
      </c>
    </row>
    <row r="210" spans="1:3" ht="15.75" customHeight="1" x14ac:dyDescent="0.25">
      <c r="A210" s="2" t="s">
        <v>212</v>
      </c>
      <c r="B210" s="3" t="s">
        <v>2</v>
      </c>
      <c r="C210" s="2" t="str">
        <f ca="1">IFERROR(__xludf.DUMMYFUNCTION("GOOGLETRANSLATE(A210,""bn"",""en"")"),"Electronic tongs flip food but consume more battery")</f>
        <v>Electronic tongs flip food but consume more battery</v>
      </c>
    </row>
    <row r="211" spans="1:3" ht="15.75" customHeight="1" x14ac:dyDescent="0.25">
      <c r="A211" s="2" t="s">
        <v>213</v>
      </c>
      <c r="B211" s="3" t="s">
        <v>4</v>
      </c>
      <c r="C211" s="2" t="str">
        <f ca="1">IFERROR(__xludf.DUMMYFUNCTION("GOOGLETRANSLATE(A211,""bn"",""en"")"),"The top of the pillows is designed in such a way that they do not allow the hair to get tangled")</f>
        <v>The top of the pillows is designed in such a way that they do not allow the hair to get tangled</v>
      </c>
    </row>
    <row r="212" spans="1:3" ht="15.75" customHeight="1" x14ac:dyDescent="0.25">
      <c r="A212" s="2" t="s">
        <v>214</v>
      </c>
      <c r="B212" s="3" t="s">
        <v>2</v>
      </c>
      <c r="C212" s="2" t="str">
        <f ca="1">IFERROR(__xludf.DUMMYFUNCTION("GOOGLETRANSLATE(A212,""bn"",""en"")"),"It could be something special")</f>
        <v>It could be something special</v>
      </c>
    </row>
    <row r="213" spans="1:3" ht="15.75" customHeight="1" x14ac:dyDescent="0.25">
      <c r="A213" s="2" t="s">
        <v>215</v>
      </c>
      <c r="B213" s="3" t="s">
        <v>4</v>
      </c>
      <c r="C213" s="2" t="str">
        <f ca="1">IFERROR(__xludf.DUMMYFUNCTION("GOOGLETRANSLATE(A213,""bn"",""en"")"),"It is best to protect from the harshness of winter")</f>
        <v>It is best to protect from the harshness of winter</v>
      </c>
    </row>
    <row r="214" spans="1:3" ht="15.75" customHeight="1" x14ac:dyDescent="0.25">
      <c r="A214" s="2" t="s">
        <v>216</v>
      </c>
      <c r="B214" s="3" t="s">
        <v>2</v>
      </c>
      <c r="C214" s="2" t="str">
        <f ca="1">IFERROR(__xludf.DUMMYFUNCTION("GOOGLETRANSLATE(A214,""bn"",""en"")"),"The wormbag is large but the locking system needs to be improved")</f>
        <v>The wormbag is large but the locking system needs to be improved</v>
      </c>
    </row>
    <row r="215" spans="1:3" ht="15.75" customHeight="1" x14ac:dyDescent="0.25">
      <c r="A215" s="2" t="s">
        <v>217</v>
      </c>
      <c r="B215" s="3" t="s">
        <v>2</v>
      </c>
      <c r="C215" s="2" t="str">
        <f ca="1">IFERROR(__xludf.DUMMYFUNCTION("GOOGLETRANSLATE(A215,""bn"",""en"")"),"The price is quite low but the taste of the drink is quite ordinary")</f>
        <v>The price is quite low but the taste of the drink is quite ordinary</v>
      </c>
    </row>
    <row r="216" spans="1:3" ht="15.75" customHeight="1" x14ac:dyDescent="0.25">
      <c r="A216" s="2" t="s">
        <v>218</v>
      </c>
      <c r="B216" s="3" t="s">
        <v>6</v>
      </c>
      <c r="C216" s="2" t="str">
        <f ca="1">IFERROR(__xludf.DUMMYFUNCTION("GOOGLETRANSLATE(A216,""bn"",""en"")"),"The product is folded and wrinkled")</f>
        <v>The product is folded and wrinkled</v>
      </c>
    </row>
    <row r="217" spans="1:3" ht="15.75" customHeight="1" x14ac:dyDescent="0.25">
      <c r="A217" s="2" t="s">
        <v>219</v>
      </c>
      <c r="B217" s="3" t="s">
        <v>6</v>
      </c>
      <c r="C217" s="2" t="str">
        <f ca="1">IFERROR(__xludf.DUMMYFUNCTION("GOOGLETRANSLATE(A217,""bn"",""en"")"),"Overheating issues pose a safety hazard in the kitchen")</f>
        <v>Overheating issues pose a safety hazard in the kitchen</v>
      </c>
    </row>
    <row r="218" spans="1:3" ht="15.75" customHeight="1" x14ac:dyDescent="0.25">
      <c r="A218" s="2" t="s">
        <v>220</v>
      </c>
      <c r="B218" s="3" t="s">
        <v>2</v>
      </c>
      <c r="C218" s="2" t="str">
        <f ca="1">IFERROR(__xludf.DUMMYFUNCTION("GOOGLETRANSLATE(A218,""bn"",""en"")"),"My new favorite but not perfect")</f>
        <v>My new favorite but not perfect</v>
      </c>
    </row>
    <row r="219" spans="1:3" ht="15.75" customHeight="1" x14ac:dyDescent="0.25">
      <c r="A219" s="2" t="s">
        <v>221</v>
      </c>
      <c r="B219" s="3" t="s">
        <v>2</v>
      </c>
      <c r="C219" s="2" t="str">
        <f ca="1">IFERROR(__xludf.DUMMYFUNCTION("GOOGLETRANSLATE(A219,""bn"",""en"")"),"Comfort level is moderate")</f>
        <v>Comfort level is moderate</v>
      </c>
    </row>
    <row r="220" spans="1:3" ht="15.75" customHeight="1" x14ac:dyDescent="0.25">
      <c r="A220" s="2" t="s">
        <v>222</v>
      </c>
      <c r="B220" s="3" t="s">
        <v>6</v>
      </c>
      <c r="C220" s="2" t="str">
        <f ca="1">IFERROR(__xludf.DUMMYFUNCTION("GOOGLETRANSLATE(A220,""bn"",""en"")"),"Straight and thin fabric reduces the stiffness and feel of the garment")</f>
        <v>Straight and thin fabric reduces the stiffness and feel of the garment</v>
      </c>
    </row>
    <row r="221" spans="1:3" ht="15.75" customHeight="1" x14ac:dyDescent="0.25">
      <c r="A221" s="2" t="s">
        <v>223</v>
      </c>
      <c r="B221" s="3" t="s">
        <v>2</v>
      </c>
      <c r="C221" s="2" t="str">
        <f ca="1">IFERROR(__xludf.DUMMYFUNCTION("GOOGLETRANSLATE(A221,""bn"",""en"")"),"Good for the price")</f>
        <v>Good for the price</v>
      </c>
    </row>
    <row r="222" spans="1:3" ht="15.75" customHeight="1" x14ac:dyDescent="0.25">
      <c r="A222" s="2" t="s">
        <v>224</v>
      </c>
      <c r="B222" s="3" t="s">
        <v>4</v>
      </c>
      <c r="C222" s="2" t="str">
        <f ca="1">IFERROR(__xludf.DUMMYFUNCTION("GOOGLETRANSLATE(A222,""bn"",""en"")")," I bought a second one, great product ")</f>
        <v xml:space="preserve"> I bought a second one, great product </v>
      </c>
    </row>
    <row r="223" spans="1:3" ht="15.75" customHeight="1" x14ac:dyDescent="0.25">
      <c r="A223" s="2" t="s">
        <v>225</v>
      </c>
      <c r="B223" s="3" t="s">
        <v>6</v>
      </c>
      <c r="C223" s="2" t="str">
        <f ca="1">IFERROR(__xludf.DUMMYFUNCTION("GOOGLETRANSLATE(A223,""bn"",""en"")"),"It's not ideal for the price")</f>
        <v>It's not ideal for the price</v>
      </c>
    </row>
    <row r="224" spans="1:3" ht="15.75" customHeight="1" x14ac:dyDescent="0.25">
      <c r="A224" s="2" t="s">
        <v>226</v>
      </c>
      <c r="B224" s="3" t="s">
        <v>4</v>
      </c>
      <c r="C224" s="2" t="str">
        <f ca="1">IFERROR(__xludf.DUMMYFUNCTION("GOOGLETRANSLATE(A224,""bn"",""en"")"),"The makeup kit is suitable for both professional and casual use")</f>
        <v>The makeup kit is suitable for both professional and casual use</v>
      </c>
    </row>
    <row r="225" spans="1:3" ht="15.75" customHeight="1" x14ac:dyDescent="0.25">
      <c r="A225" s="2" t="s">
        <v>227</v>
      </c>
      <c r="B225" s="3" t="s">
        <v>6</v>
      </c>
      <c r="C225" s="2" t="str">
        <f ca="1">IFERROR(__xludf.DUMMYFUNCTION("GOOGLETRANSLATE(A225,""bn"",""en"")"),"Updates to the phone are infrequent leaving it vulnerable to security risks and software bugs")</f>
        <v>Updates to the phone are infrequent leaving it vulnerable to security risks and software bugs</v>
      </c>
    </row>
    <row r="226" spans="1:3" ht="15.75" customHeight="1" x14ac:dyDescent="0.25">
      <c r="A226" s="2" t="s">
        <v>228</v>
      </c>
      <c r="B226" s="3" t="s">
        <v>4</v>
      </c>
      <c r="C226" s="2" t="str">
        <f ca="1">IFERROR(__xludf.DUMMYFUNCTION("GOOGLETRANSLATE(A226,""bn"",""en"")"),"The beauty of this dinner set inspires me to cook every day now that I can organize my posts more beautifully")</f>
        <v>The beauty of this dinner set inspires me to cook every day now that I can organize my posts more beautifully</v>
      </c>
    </row>
    <row r="227" spans="1:3" ht="15.75" customHeight="1" x14ac:dyDescent="0.25">
      <c r="A227" s="2" t="s">
        <v>229</v>
      </c>
      <c r="B227" s="3" t="s">
        <v>6</v>
      </c>
      <c r="C227" s="2" t="str">
        <f ca="1">IFERROR(__xludf.DUMMYFUNCTION("GOOGLETRANSLATE(A227,""bn"",""en"")"),"The muffins are not fresh or tasty but rather dry and artificial in taste which does not leave a good taste in the mouth after eating")</f>
        <v>The muffins are not fresh or tasty but rather dry and artificial in taste which does not leave a good taste in the mouth after eating</v>
      </c>
    </row>
    <row r="228" spans="1:3" ht="15.75" customHeight="1" x14ac:dyDescent="0.25">
      <c r="A228" s="2" t="s">
        <v>230</v>
      </c>
      <c r="B228" s="3" t="s">
        <v>4</v>
      </c>
      <c r="C228" s="2" t="str">
        <f ca="1">IFERROR(__xludf.DUMMYFUNCTION("GOOGLETRANSLATE(A228,""bn"",""en"")"),"Very fun and healthy")</f>
        <v>Very fun and healthy</v>
      </c>
    </row>
    <row r="229" spans="1:3" ht="15.75" customHeight="1" x14ac:dyDescent="0.25">
      <c r="A229" s="2" t="s">
        <v>231</v>
      </c>
      <c r="B229" s="3" t="s">
        <v>2</v>
      </c>
      <c r="C229" s="2" t="str">
        <f ca="1">IFERROR(__xludf.DUMMYFUNCTION("GOOGLETRANSLATE(A229,""bn"",""en"")"),"The beans are dark brown in color for a medium roast")</f>
        <v>The beans are dark brown in color for a medium roast</v>
      </c>
    </row>
    <row r="230" spans="1:3" ht="15.75" customHeight="1" x14ac:dyDescent="0.25">
      <c r="A230" s="2" t="s">
        <v>232</v>
      </c>
      <c r="B230" s="3" t="s">
        <v>2</v>
      </c>
      <c r="C230" s="2" t="str">
        <f ca="1">IFERROR(__xludf.DUMMYFUNCTION("GOOGLETRANSLATE(A230,""bn"",""en"")"),"Reusable but uncertain how often")</f>
        <v>Reusable but uncertain how often</v>
      </c>
    </row>
    <row r="231" spans="1:3" ht="15.75" customHeight="1" x14ac:dyDescent="0.25">
      <c r="A231" s="2" t="s">
        <v>233</v>
      </c>
      <c r="B231" s="3" t="s">
        <v>6</v>
      </c>
      <c r="C231" s="2" t="str">
        <f ca="1">IFERROR(__xludf.DUMMYFUNCTION("GOOGLETRANSLATE(A231,""bn"",""en"")"),"Electric can opener blades may not open dull cans properly")</f>
        <v>Electric can opener blades may not open dull cans properly</v>
      </c>
    </row>
    <row r="232" spans="1:3" ht="15.75" customHeight="1" x14ac:dyDescent="0.25">
      <c r="A232" s="2" t="s">
        <v>234</v>
      </c>
      <c r="B232" s="3" t="s">
        <v>4</v>
      </c>
      <c r="C232" s="2" t="str">
        <f ca="1">IFERROR(__xludf.DUMMYFUNCTION("GOOGLETRANSLATE(A232,""bn"",""en"")"),"The battery of the new phone is very durable")</f>
        <v>The battery of the new phone is very durable</v>
      </c>
    </row>
    <row r="233" spans="1:3" ht="15.75" customHeight="1" x14ac:dyDescent="0.25">
      <c r="A233" s="2" t="s">
        <v>235</v>
      </c>
      <c r="B233" s="3" t="s">
        <v>6</v>
      </c>
      <c r="C233" s="2" t="str">
        <f ca="1">IFERROR(__xludf.DUMMYFUNCTION("GOOGLETRANSLATE(A233,""bn"",""en"")"),"Solar powered outdoor security lights that don't turn on are incredible")</f>
        <v>Solar powered outdoor security lights that don't turn on are incredible</v>
      </c>
    </row>
    <row r="234" spans="1:3" ht="15.75" customHeight="1" x14ac:dyDescent="0.25">
      <c r="A234" s="2" t="s">
        <v>236</v>
      </c>
      <c r="B234" s="3" t="s">
        <v>6</v>
      </c>
      <c r="C234" s="2" t="str">
        <f ca="1">IFERROR(__xludf.DUMMYFUNCTION("GOOGLETRANSLATE(A234,""bn"",""en"")")," The USB ports are recessed too deeply which makes it difficult to plug in devices with thick cables")</f>
        <v xml:space="preserve"> The USB ports are recessed too deeply which makes it difficult to plug in devices with thick cables</v>
      </c>
    </row>
    <row r="235" spans="1:3" ht="15.75" customHeight="1" x14ac:dyDescent="0.25">
      <c r="A235" s="2" t="s">
        <v>237</v>
      </c>
      <c r="B235" s="3" t="s">
        <v>6</v>
      </c>
      <c r="C235" s="2" t="str">
        <f ca="1">IFERROR(__xludf.DUMMYFUNCTION("GOOGLETRANSLATE(A235,""bn"",""en"")"),"The antifreeze serum couldn't control the frizz and instead left my hair looking frizzy")</f>
        <v>The antifreeze serum couldn't control the frizz and instead left my hair looking frizzy</v>
      </c>
    </row>
    <row r="236" spans="1:3" ht="15.75" customHeight="1" x14ac:dyDescent="0.25">
      <c r="A236" s="2" t="s">
        <v>238</v>
      </c>
      <c r="B236" s="3" t="s">
        <v>6</v>
      </c>
      <c r="C236" s="2" t="str">
        <f ca="1">IFERROR(__xludf.DUMMYFUNCTION("GOOGLETRANSLATE(A236,""bn"",""en"")"),"Shelves are not adjustable limiting flexibility in organizing items of different sizes")</f>
        <v>Shelves are not adjustable limiting flexibility in organizing items of different sizes</v>
      </c>
    </row>
    <row r="237" spans="1:3" ht="15.75" customHeight="1" x14ac:dyDescent="0.25">
      <c r="A237" s="2" t="s">
        <v>239</v>
      </c>
      <c r="B237" s="3" t="s">
        <v>4</v>
      </c>
      <c r="C237" s="2" t="str">
        <f ca="1">IFERROR(__xludf.DUMMYFUNCTION("GOOGLETRANSLATE(A237,""bn"",""en"")"),"You will feel the glow with this body wash")</f>
        <v>You will feel the glow with this body wash</v>
      </c>
    </row>
    <row r="238" spans="1:3" ht="15.75" customHeight="1" x14ac:dyDescent="0.25">
      <c r="A238" s="2" t="s">
        <v>240</v>
      </c>
      <c r="B238" s="3" t="s">
        <v>4</v>
      </c>
      <c r="C238" s="2" t="str">
        <f ca="1">IFERROR(__xludf.DUMMYFUNCTION("GOOGLETRANSLATE(A238,""bn"",""en"")"),"Safe and effective")</f>
        <v>Safe and effective</v>
      </c>
    </row>
    <row r="239" spans="1:3" ht="15.75" customHeight="1" x14ac:dyDescent="0.25">
      <c r="A239" s="2" t="s">
        <v>241</v>
      </c>
      <c r="B239" s="3" t="s">
        <v>4</v>
      </c>
      <c r="C239" s="2" t="str">
        <f ca="1">IFERROR(__xludf.DUMMYFUNCTION("GOOGLETRANSLATE(A239,""bn"",""en"")"),"Beauty soap revitalizes the skin")</f>
        <v>Beauty soap revitalizes the skin</v>
      </c>
    </row>
    <row r="240" spans="1:3" ht="15.75" customHeight="1" x14ac:dyDescent="0.25">
      <c r="A240" s="2" t="s">
        <v>242</v>
      </c>
      <c r="B240" s="3" t="s">
        <v>4</v>
      </c>
      <c r="C240" s="2" t="str">
        <f ca="1">IFERROR(__xludf.DUMMYFUNCTION("GOOGLETRANSLATE(A240,""bn"",""en"")"),"Priceless has been much better ")</f>
        <v xml:space="preserve">Priceless has been much better </v>
      </c>
    </row>
    <row r="241" spans="1:3" ht="15.75" customHeight="1" x14ac:dyDescent="0.25">
      <c r="A241" s="2" t="s">
        <v>243</v>
      </c>
      <c r="B241" s="3" t="s">
        <v>2</v>
      </c>
      <c r="C241" s="2" t="str">
        <f ca="1">IFERROR(__xludf.DUMMYFUNCTION("GOOGLETRANSLATE(A241,""bn"",""en"")"),"Sound is pretty good in the JBL Tune BT stylish package")</f>
        <v>Sound is pretty good in the JBL Tune BT stylish package</v>
      </c>
    </row>
    <row r="242" spans="1:3" ht="15.75" customHeight="1" x14ac:dyDescent="0.25">
      <c r="A242" s="2" t="s">
        <v>244</v>
      </c>
      <c r="B242" s="3" t="s">
        <v>4</v>
      </c>
      <c r="C242" s="2" t="str">
        <f ca="1">IFERROR(__xludf.DUMMYFUNCTION("GOOGLETRANSLATE(A242,""bn"",""en"")"),"I am really impressed with using this toothpaste and brush")</f>
        <v>I am really impressed with using this toothpaste and brush</v>
      </c>
    </row>
    <row r="243" spans="1:3" ht="15.75" customHeight="1" x14ac:dyDescent="0.25">
      <c r="A243" s="2" t="s">
        <v>245</v>
      </c>
      <c r="B243" s="3" t="s">
        <v>4</v>
      </c>
      <c r="C243" s="2" t="str">
        <f ca="1">IFERROR(__xludf.DUMMYFUNCTION("GOOGLETRANSLATE(A243,""bn"",""en"")"),"Indicator light is on")</f>
        <v>Indicator light is on</v>
      </c>
    </row>
    <row r="244" spans="1:3" ht="15.75" customHeight="1" x14ac:dyDescent="0.25">
      <c r="A244" s="2" t="s">
        <v>246</v>
      </c>
      <c r="B244" s="3" t="s">
        <v>6</v>
      </c>
      <c r="C244" s="2" t="str">
        <f ca="1">IFERROR(__xludf.DUMMYFUNCTION("GOOGLETRANSLATE(A244,""bn"",""en"")"),"The phone's operating system lags and freezes frequently causing disruption")</f>
        <v>The phone's operating system lags and freezes frequently causing disruption</v>
      </c>
    </row>
    <row r="245" spans="1:3" ht="15.75" customHeight="1" x14ac:dyDescent="0.25">
      <c r="A245" s="2" t="s">
        <v>247</v>
      </c>
      <c r="B245" s="3" t="s">
        <v>4</v>
      </c>
      <c r="C245" s="2" t="str">
        <f ca="1">IFERROR(__xludf.DUMMYFUNCTION("GOOGLETRANSLATE(A245,""bn"",""en"")"),"The fridge is big enough and can store things easily")</f>
        <v>The fridge is big enough and can store things easily</v>
      </c>
    </row>
    <row r="246" spans="1:3" ht="15.75" customHeight="1" x14ac:dyDescent="0.25">
      <c r="A246" s="2" t="s">
        <v>248</v>
      </c>
      <c r="B246" s="3" t="s">
        <v>2</v>
      </c>
      <c r="C246" s="2" t="str">
        <f ca="1">IFERROR(__xludf.DUMMYFUNCTION("GOOGLETRANSLATE(A246,""bn"",""en"")"),"The taste is normal but less sugar would have been better")</f>
        <v>The taste is normal but less sugar would have been better</v>
      </c>
    </row>
    <row r="247" spans="1:3" ht="15.75" customHeight="1" x14ac:dyDescent="0.25">
      <c r="A247" s="2" t="s">
        <v>249</v>
      </c>
      <c r="B247" s="3" t="s">
        <v>6</v>
      </c>
      <c r="C247" s="2" t="str">
        <f ca="1">IFERROR(__xludf.DUMMYFUNCTION("GOOGLETRANSLATE(A247,""bn"",""en"")"),"Sizes are everywhere either too small or too big")</f>
        <v>Sizes are everywhere either too small or too big</v>
      </c>
    </row>
    <row r="248" spans="1:3" ht="15.75" customHeight="1" x14ac:dyDescent="0.25">
      <c r="A248" s="2" t="s">
        <v>250</v>
      </c>
      <c r="B248" s="3" t="s">
        <v>4</v>
      </c>
      <c r="C248" s="2" t="str">
        <f ca="1">IFERROR(__xludf.DUMMYFUNCTION("GOOGLETRANSLATE(A248,""bn"",""en"")"),"I felt very enriched after reading the book")</f>
        <v>I felt very enriched after reading the book</v>
      </c>
    </row>
    <row r="249" spans="1:3" ht="15.75" customHeight="1" x14ac:dyDescent="0.25">
      <c r="A249" s="2" t="s">
        <v>251</v>
      </c>
      <c r="B249" s="3" t="s">
        <v>2</v>
      </c>
      <c r="C249" s="2" t="str">
        <f ca="1">IFERROR(__xludf.DUMMYFUNCTION("GOOGLETRANSLATE(A249,""bn"",""en"")"),"Good quality but battery life is less than expected")</f>
        <v>Good quality but battery life is less than expected</v>
      </c>
    </row>
    <row r="250" spans="1:3" ht="15.75" customHeight="1" x14ac:dyDescent="0.25">
      <c r="A250" s="2" t="s">
        <v>252</v>
      </c>
      <c r="B250" s="3" t="s">
        <v>4</v>
      </c>
      <c r="C250" s="2" t="str">
        <f ca="1">IFERROR(__xludf.DUMMYFUNCTION("GOOGLETRANSLATE(A250,""bn"",""en"")"),"The color suits all seasons")</f>
        <v>The color suits all seasons</v>
      </c>
    </row>
    <row r="251" spans="1:3" ht="15.75" customHeight="1" x14ac:dyDescent="0.25">
      <c r="A251" s="2" t="s">
        <v>253</v>
      </c>
      <c r="B251" s="3" t="s">
        <v>2</v>
      </c>
      <c r="C251" s="2" t="str">
        <f ca="1">IFERROR(__xludf.DUMMYFUNCTION("GOOGLETRANSLATE(A251,""bn"",""en"")"),"Great case for my AirPods Pro but may have some compatibility concerns")</f>
        <v>Great case for my AirPods Pro but may have some compatibility concerns</v>
      </c>
    </row>
    <row r="252" spans="1:3" ht="15.75" customHeight="1" x14ac:dyDescent="0.25">
      <c r="A252" s="2" t="s">
        <v>254</v>
      </c>
      <c r="B252" s="3" t="s">
        <v>2</v>
      </c>
      <c r="C252" s="2" t="str">
        <f ca="1">IFERROR(__xludf.DUMMYFUNCTION("GOOGLETRANSLATE(A252,""bn"",""en"")"),"The fabric is nothing special")</f>
        <v>The fabric is nothing special</v>
      </c>
    </row>
    <row r="253" spans="1:3" ht="15.75" customHeight="1" x14ac:dyDescent="0.25">
      <c r="A253" s="2" t="s">
        <v>255</v>
      </c>
      <c r="B253" s="3" t="s">
        <v>2</v>
      </c>
      <c r="C253" s="2" t="str">
        <f ca="1">IFERROR(__xludf.DUMMYFUNCTION("GOOGLETRANSLATE(A253,""bn"",""en"")"),"The smell is bearable")</f>
        <v>The smell is bearable</v>
      </c>
    </row>
    <row r="254" spans="1:3" ht="15.75" customHeight="1" x14ac:dyDescent="0.25">
      <c r="A254" s="2" t="s">
        <v>256</v>
      </c>
      <c r="B254" s="3" t="s">
        <v>4</v>
      </c>
      <c r="C254" s="2" t="str">
        <f ca="1">IFERROR(__xludf.DUMMYFUNCTION("GOOGLETRANSLATE(A254,""bn"",""en"")"),"It's smooth in the mouth but also chewy for a while")</f>
        <v>It's smooth in the mouth but also chewy for a while</v>
      </c>
    </row>
    <row r="255" spans="1:3" ht="15.75" customHeight="1" x14ac:dyDescent="0.25">
      <c r="A255" s="2" t="s">
        <v>257</v>
      </c>
      <c r="B255" s="3" t="s">
        <v>4</v>
      </c>
      <c r="C255" s="2" t="str">
        <f ca="1">IFERROR(__xludf.DUMMYFUNCTION("GOOGLETRANSLATE(A255,""bn"",""en"")"),"Maintains the same beauty throughout the year")</f>
        <v>Maintains the same beauty throughout the year</v>
      </c>
    </row>
    <row r="256" spans="1:3" ht="15.75" customHeight="1" x14ac:dyDescent="0.25">
      <c r="A256" s="2" t="s">
        <v>258</v>
      </c>
      <c r="B256" s="3" t="s">
        <v>6</v>
      </c>
      <c r="C256" s="2" t="str">
        <f ca="1">IFERROR(__xludf.DUMMYFUNCTION("GOOGLETRANSLATE(A256,""bn"",""en"")")," There was a noticeable lag between input and display on the screen which made gaming unresponsive")</f>
        <v xml:space="preserve"> There was a noticeable lag between input and display on the screen which made gaming unresponsive</v>
      </c>
    </row>
    <row r="257" spans="1:3" ht="15.75" customHeight="1" x14ac:dyDescent="0.25">
      <c r="A257" s="2" t="s">
        <v>259</v>
      </c>
      <c r="B257" s="3" t="s">
        <v>2</v>
      </c>
      <c r="C257" s="2" t="str">
        <f ca="1">IFERROR(__xludf.DUMMYFUNCTION("GOOGLETRANSLATE(A257,""bn"",""en"")"),"It is necessary but has some limitations")</f>
        <v>It is necessary but has some limitations</v>
      </c>
    </row>
    <row r="258" spans="1:3" ht="15.75" customHeight="1" x14ac:dyDescent="0.25">
      <c r="A258" s="2" t="s">
        <v>260</v>
      </c>
      <c r="B258" s="3" t="s">
        <v>4</v>
      </c>
      <c r="C258" s="2" t="str">
        <f ca="1">IFERROR(__xludf.DUMMYFUNCTION("GOOGLETRANSLATE(A258,""bn"",""en"")"),"Works great")</f>
        <v>Works great</v>
      </c>
    </row>
    <row r="259" spans="1:3" ht="15.75" customHeight="1" x14ac:dyDescent="0.25">
      <c r="A259" s="2" t="s">
        <v>261</v>
      </c>
      <c r="B259" s="3" t="s">
        <v>2</v>
      </c>
      <c r="C259" s="2" t="str">
        <f ca="1">IFERROR(__xludf.DUMMYFUNCTION("GOOGLETRANSLATE(A259,""bn"",""en"")"),"Works reasonably well with some leaking issues")</f>
        <v>Works reasonably well with some leaking issues</v>
      </c>
    </row>
    <row r="260" spans="1:3" ht="15.75" customHeight="1" x14ac:dyDescent="0.25">
      <c r="A260" s="2" t="s">
        <v>262</v>
      </c>
      <c r="B260" s="3" t="s">
        <v>4</v>
      </c>
      <c r="C260" s="2" t="str">
        <f ca="1">IFERROR(__xludf.DUMMYFUNCTION("GOOGLETRANSLATE(A260,""bn"",""en"")"),"The edge of the shaving razor is very good")</f>
        <v>The edge of the shaving razor is very good</v>
      </c>
    </row>
    <row r="261" spans="1:3" ht="15.75" customHeight="1" x14ac:dyDescent="0.25">
      <c r="A261" s="2" t="s">
        <v>263</v>
      </c>
      <c r="B261" s="3" t="s">
        <v>4</v>
      </c>
      <c r="C261" s="2" t="str">
        <f ca="1">IFERROR(__xludf.DUMMYFUNCTION("GOOGLETRANSLATE(A261,""bn"",""en"")"),"The girl is doing very well in her dance class")</f>
        <v>The girl is doing very well in her dance class</v>
      </c>
    </row>
    <row r="262" spans="1:3" ht="15.75" customHeight="1" x14ac:dyDescent="0.25">
      <c r="A262" s="2" t="s">
        <v>264</v>
      </c>
      <c r="B262" s="3" t="s">
        <v>4</v>
      </c>
      <c r="C262" s="2" t="str">
        <f ca="1">IFERROR(__xludf.DUMMYFUNCTION("GOOGLETRANSLATE(A262,""bn"",""en"")"),"The TV unit has a remote control holder")</f>
        <v>The TV unit has a remote control holder</v>
      </c>
    </row>
    <row r="263" spans="1:3" ht="15.75" customHeight="1" x14ac:dyDescent="0.25">
      <c r="A263" s="2" t="s">
        <v>265</v>
      </c>
      <c r="B263" s="3" t="s">
        <v>4</v>
      </c>
      <c r="C263" s="2" t="str">
        <f ca="1">IFERROR(__xludf.DUMMYFUNCTION("GOOGLETRANSLATE(A263,""bn"",""en"")"),"Every chapter of the new book is interesting")</f>
        <v>Every chapter of the new book is interesting</v>
      </c>
    </row>
    <row r="264" spans="1:3" ht="15.75" customHeight="1" x14ac:dyDescent="0.25">
      <c r="A264" s="2" t="s">
        <v>266</v>
      </c>
      <c r="B264" s="3" t="s">
        <v>6</v>
      </c>
      <c r="C264" s="2" t="str">
        <f ca="1">IFERROR(__xludf.DUMMYFUNCTION("GOOGLETRANSLATE(A264,""bn"",""en"")"),"Dirty dolls clearly used to frustrating experiences")</f>
        <v>Dirty dolls clearly used to frustrating experiences</v>
      </c>
    </row>
    <row r="265" spans="1:3" ht="15.75" customHeight="1" x14ac:dyDescent="0.25">
      <c r="A265" s="2" t="s">
        <v>267</v>
      </c>
      <c r="B265" s="3" t="s">
        <v>4</v>
      </c>
      <c r="C265" s="2" t="str">
        <f ca="1">IFERROR(__xludf.DUMMYFUNCTION("GOOGLETRANSLATE(A265,""bn"",""en"")"),"thank you ")</f>
        <v xml:space="preserve">thank you </v>
      </c>
    </row>
    <row r="266" spans="1:3" ht="15.75" customHeight="1" x14ac:dyDescent="0.25">
      <c r="A266" s="2" t="s">
        <v>268</v>
      </c>
      <c r="B266" s="3" t="s">
        <v>2</v>
      </c>
      <c r="C266" s="2" t="str">
        <f ca="1">IFERROR(__xludf.DUMMYFUNCTION("GOOGLETRANSLATE(A266,""bn"",""en"")"),"There appears to be some brittleness in the material")</f>
        <v>There appears to be some brittleness in the material</v>
      </c>
    </row>
    <row r="267" spans="1:3" ht="15.75" customHeight="1" x14ac:dyDescent="0.25">
      <c r="A267" s="2" t="s">
        <v>269</v>
      </c>
      <c r="B267" s="3" t="s">
        <v>2</v>
      </c>
      <c r="C267" s="2" t="str">
        <f ca="1">IFERROR(__xludf.DUMMYFUNCTION("GOOGLETRANSLATE(A267,""bn"",""en"")"),"The quality is consistent for the price but there are better options")</f>
        <v>The quality is consistent for the price but there are better options</v>
      </c>
    </row>
    <row r="268" spans="1:3" ht="15.75" customHeight="1" x14ac:dyDescent="0.25">
      <c r="A268" s="2" t="s">
        <v>270</v>
      </c>
      <c r="B268" s="3" t="s">
        <v>6</v>
      </c>
      <c r="C268" s="2" t="str">
        <f ca="1">IFERROR(__xludf.DUMMYFUNCTION("GOOGLETRANSLATE(A268,""bn"",""en"")")," The display panel is prone to flickering making settings difficult to read")</f>
        <v xml:space="preserve"> The display panel is prone to flickering making settings difficult to read</v>
      </c>
    </row>
    <row r="269" spans="1:3" ht="15.75" customHeight="1" x14ac:dyDescent="0.25">
      <c r="A269" s="2" t="s">
        <v>271</v>
      </c>
      <c r="B269" s="3" t="s">
        <v>6</v>
      </c>
      <c r="C269" s="2" t="str">
        <f ca="1">IFERROR(__xludf.DUMMYFUNCTION("GOOGLETRANSLATE(A269,""bn"",""en"")"),"Customer service was unhelpful in resolving the issue")</f>
        <v>Customer service was unhelpful in resolving the issue</v>
      </c>
    </row>
    <row r="270" spans="1:3" ht="15.75" customHeight="1" x14ac:dyDescent="0.25">
      <c r="A270" s="2" t="s">
        <v>272</v>
      </c>
      <c r="B270" s="3" t="s">
        <v>6</v>
      </c>
      <c r="C270" s="2" t="str">
        <f ca="1">IFERROR(__xludf.DUMMYFUNCTION("GOOGLETRANSLATE(A270,""bn"",""en"")"),"The packaging was flimsy and not sealed properly resulting in stale coffee")</f>
        <v>The packaging was flimsy and not sealed properly resulting in stale coffee</v>
      </c>
    </row>
    <row r="271" spans="1:3" ht="15.75" customHeight="1" x14ac:dyDescent="0.25">
      <c r="A271" s="2" t="s">
        <v>273</v>
      </c>
      <c r="B271" s="3" t="s">
        <v>4</v>
      </c>
      <c r="C271" s="2" t="str">
        <f ca="1">IFERROR(__xludf.DUMMYFUNCTION("GOOGLETRANSLATE(A271,""bn"",""en"")"),"ACT cleans itself in Freeze Clean mode making maintenance easy")</f>
        <v>ACT cleans itself in Freeze Clean mode making maintenance easy</v>
      </c>
    </row>
    <row r="272" spans="1:3" ht="15.75" customHeight="1" x14ac:dyDescent="0.25">
      <c r="A272" s="2" t="s">
        <v>274</v>
      </c>
      <c r="B272" s="3" t="s">
        <v>4</v>
      </c>
      <c r="C272" s="2" t="str">
        <f ca="1">IFERROR(__xludf.DUMMYFUNCTION("GOOGLETRANSLATE(A272,""bn"",""en"")"),"A great accent piece to change the mood of the room")</f>
        <v>A great accent piece to change the mood of the room</v>
      </c>
    </row>
    <row r="273" spans="1:3" ht="15.75" customHeight="1" x14ac:dyDescent="0.25">
      <c r="A273" s="2" t="s">
        <v>275</v>
      </c>
      <c r="B273" s="3" t="s">
        <v>4</v>
      </c>
      <c r="C273" s="2" t="str">
        <f ca="1">IFERROR(__xludf.DUMMYFUNCTION("GOOGLETRANSLATE(A273,""bn"",""en"")")," I would also recommend it to other parents")</f>
        <v xml:space="preserve"> I would also recommend it to other parents</v>
      </c>
    </row>
    <row r="274" spans="1:3" ht="15.75" customHeight="1" x14ac:dyDescent="0.25">
      <c r="A274" s="2" t="s">
        <v>276</v>
      </c>
      <c r="B274" s="3" t="s">
        <v>6</v>
      </c>
      <c r="C274" s="2" t="str">
        <f ca="1">IFERROR(__xludf.DUMMYFUNCTION("GOOGLETRANSLATE(A274,""bn"",""en"")"),"Canvas material tears easily when stretched")</f>
        <v>Canvas material tears easily when stretched</v>
      </c>
    </row>
    <row r="275" spans="1:3" ht="15.75" customHeight="1" x14ac:dyDescent="0.25">
      <c r="A275" s="2" t="s">
        <v>277</v>
      </c>
      <c r="B275" s="3" t="s">
        <v>2</v>
      </c>
      <c r="C275" s="2" t="str">
        <f ca="1">IFERROR(__xludf.DUMMYFUNCTION("GOOGLETRANSLATE(A275,""bn"",""en"")"),"A travel steam iron irons clothes but drains water")</f>
        <v>A travel steam iron irons clothes but drains water</v>
      </c>
    </row>
    <row r="276" spans="1:3" ht="15.75" customHeight="1" x14ac:dyDescent="0.25">
      <c r="A276" s="2" t="s">
        <v>278</v>
      </c>
      <c r="B276" s="3" t="s">
        <v>4</v>
      </c>
      <c r="C276" s="2" t="str">
        <f ca="1">IFERROR(__xludf.DUMMYFUNCTION("GOOGLETRANSLATE(A276,""bn"",""en"")"),"The author's writing is touching")</f>
        <v>The author's writing is touching</v>
      </c>
    </row>
    <row r="277" spans="1:3" ht="15.75" customHeight="1" x14ac:dyDescent="0.25">
      <c r="A277" s="2" t="s">
        <v>279</v>
      </c>
      <c r="B277" s="3" t="s">
        <v>4</v>
      </c>
      <c r="C277" s="2" t="str">
        <f ca="1">IFERROR(__xludf.DUMMYFUNCTION("GOOGLETRANSLATE(A277,""bn"",""en"")")," The charging cage shows a red end-cutter when the charge is over to provide good charge backup")</f>
        <v xml:space="preserve"> The charging cage shows a red end-cutter when the charge is over to provide good charge backup</v>
      </c>
    </row>
    <row r="278" spans="1:3" ht="15.75" customHeight="1" x14ac:dyDescent="0.25">
      <c r="A278" s="2" t="s">
        <v>280</v>
      </c>
      <c r="B278" s="3" t="s">
        <v>6</v>
      </c>
      <c r="C278" s="2" t="str">
        <f ca="1">IFERROR(__xludf.DUMMYFUNCTION("GOOGLETRANSLATE(A278,""bn"",""en"")"),"The packaging of the lipstick is flimsy which makes it break easily in the purse")</f>
        <v>The packaging of the lipstick is flimsy which makes it break easily in the purse</v>
      </c>
    </row>
    <row r="279" spans="1:3" ht="15.75" customHeight="1" x14ac:dyDescent="0.25">
      <c r="A279" s="2" t="s">
        <v>281</v>
      </c>
      <c r="B279" s="3" t="s">
        <v>4</v>
      </c>
      <c r="C279" s="2" t="str">
        <f ca="1">IFERROR(__xludf.DUMMYFUNCTION("GOOGLETRANSLATE(A279,""bn"",""en"")"),"This shampoo enhances the natural shine of the hair")</f>
        <v>This shampoo enhances the natural shine of the hair</v>
      </c>
    </row>
    <row r="280" spans="1:3" ht="15.75" customHeight="1" x14ac:dyDescent="0.25">
      <c r="A280" s="2" t="s">
        <v>282</v>
      </c>
      <c r="B280" s="3" t="s">
        <v>4</v>
      </c>
      <c r="C280" s="2" t="str">
        <f ca="1">IFERROR(__xludf.DUMMYFUNCTION("GOOGLETRANSLATE(A280,""bn"",""en"")"),"The remote control is very easy to use with no extra buttons, only the necessary functions")</f>
        <v>The remote control is very easy to use with no extra buttons, only the necessary functions</v>
      </c>
    </row>
    <row r="281" spans="1:3" ht="15.75" customHeight="1" x14ac:dyDescent="0.25">
      <c r="A281" s="2" t="s">
        <v>283</v>
      </c>
      <c r="B281" s="3" t="s">
        <v>4</v>
      </c>
      <c r="C281" s="2" t="str">
        <f ca="1">IFERROR(__xludf.DUMMYFUNCTION("GOOGLETRANSLATE(A281,""bn"",""en"")"),"It tastes so good that I drink it twice a day")</f>
        <v>It tastes so good that I drink it twice a day</v>
      </c>
    </row>
    <row r="282" spans="1:3" ht="15.75" customHeight="1" x14ac:dyDescent="0.25">
      <c r="A282" s="2" t="s">
        <v>284</v>
      </c>
      <c r="B282" s="3" t="s">
        <v>2</v>
      </c>
      <c r="C282" s="2" t="str">
        <f ca="1">IFERROR(__xludf.DUMMYFUNCTION("GOOGLETRANSLATE(A282,""bn"",""en"")"),"Delicious but the price seems a bit high")</f>
        <v>Delicious but the price seems a bit high</v>
      </c>
    </row>
    <row r="283" spans="1:3" ht="15.75" customHeight="1" x14ac:dyDescent="0.25">
      <c r="A283" s="2" t="s">
        <v>285</v>
      </c>
      <c r="B283" s="3" t="s">
        <v>6</v>
      </c>
      <c r="C283" s="2" t="str">
        <f ca="1">IFERROR(__xludf.DUMMYFUNCTION("GOOGLETRANSLATE(A283,""bn"",""en"")"),"Limited compatibility with other devices or accessories")</f>
        <v>Limited compatibility with other devices or accessories</v>
      </c>
    </row>
    <row r="284" spans="1:3" ht="15.75" customHeight="1" x14ac:dyDescent="0.25">
      <c r="A284" s="2" t="s">
        <v>286</v>
      </c>
      <c r="B284" s="3" t="s">
        <v>6</v>
      </c>
      <c r="C284" s="2" t="str">
        <f ca="1">IFERROR(__xludf.DUMMYFUNCTION("GOOGLETRANSLATE(A284,""bn"",""en"")"),"Effectively blocks the fob signal")</f>
        <v>Effectively blocks the fob signal</v>
      </c>
    </row>
    <row r="285" spans="1:3" ht="15.75" customHeight="1" x14ac:dyDescent="0.25">
      <c r="A285" s="2" t="s">
        <v>287</v>
      </c>
      <c r="B285" s="3" t="s">
        <v>4</v>
      </c>
      <c r="C285" s="2" t="str">
        <f ca="1">IFERROR(__xludf.DUMMYFUNCTION("GOOGLETRANSLATE(A285,""bn"",""en"")"),"The TV unit has additional shelves to accommodate gaming consoles")</f>
        <v>The TV unit has additional shelves to accommodate gaming consoles</v>
      </c>
    </row>
    <row r="286" spans="1:3" ht="15.75" customHeight="1" x14ac:dyDescent="0.25">
      <c r="A286" s="2" t="s">
        <v>288</v>
      </c>
      <c r="B286" s="3" t="s">
        <v>2</v>
      </c>
      <c r="C286" s="2" t="str">
        <f ca="1">IFERROR(__xludf.DUMMYFUNCTION("GOOGLETRANSLATE(A286,""bn"",""en"")"),"The design is good but a bit too fragile")</f>
        <v>The design is good but a bit too fragile</v>
      </c>
    </row>
    <row r="287" spans="1:3" ht="15.75" customHeight="1" x14ac:dyDescent="0.25">
      <c r="A287" s="2" t="s">
        <v>289</v>
      </c>
      <c r="B287" s="3" t="s">
        <v>4</v>
      </c>
      <c r="C287" s="2" t="str">
        <f ca="1">IFERROR(__xludf.DUMMYFUNCTION("GOOGLETRANSLATE(A287,""bn"",""en"")"),"Provides cool air for a long time")</f>
        <v>Provides cool air for a long time</v>
      </c>
    </row>
    <row r="288" spans="1:3" ht="15.75" customHeight="1" x14ac:dyDescent="0.25">
      <c r="A288" s="2" t="s">
        <v>290</v>
      </c>
      <c r="B288" s="3" t="s">
        <v>4</v>
      </c>
      <c r="C288" s="2" t="str">
        <f ca="1">IFERROR(__xludf.DUMMYFUNCTION("GOOGLETRANSLATE(A288,""bn"",""en"")"),"I like the product very much and the seller was very helpful and didn't delay me too much ")</f>
        <v xml:space="preserve">I like the product very much and the seller was very helpful and didn't delay me too much </v>
      </c>
    </row>
    <row r="289" spans="1:3" ht="15.75" customHeight="1" x14ac:dyDescent="0.25">
      <c r="A289" s="2" t="s">
        <v>291</v>
      </c>
      <c r="B289" s="3" t="s">
        <v>4</v>
      </c>
      <c r="C289" s="2" t="str">
        <f ca="1">IFERROR(__xludf.DUMMYFUNCTION("GOOGLETRANSLATE(A289,""bn"",""en"")"),"The automatic shutdown feature helps save power so I don't have to worry about forgetting to leave the AC on anymore")</f>
        <v>The automatic shutdown feature helps save power so I don't have to worry about forgetting to leave the AC on anymore</v>
      </c>
    </row>
    <row r="290" spans="1:3" ht="15.75" customHeight="1" x14ac:dyDescent="0.25">
      <c r="A290" s="2" t="s">
        <v>292</v>
      </c>
      <c r="B290" s="3" t="s">
        <v>4</v>
      </c>
      <c r="C290" s="2" t="str">
        <f ca="1">IFERROR(__xludf.DUMMYFUNCTION("GOOGLETRANSLATE(A290,""bn"",""en"")"),"The soap keeps the skin fresh")</f>
        <v>The soap keeps the skin fresh</v>
      </c>
    </row>
    <row r="291" spans="1:3" ht="15.75" customHeight="1" x14ac:dyDescent="0.25">
      <c r="A291" s="2" t="s">
        <v>293</v>
      </c>
      <c r="B291" s="3" t="s">
        <v>2</v>
      </c>
      <c r="C291" s="2" t="str">
        <f ca="1">IFERROR(__xludf.DUMMYFUNCTION("GOOGLETRANSLATE(A291,""bn"",""en"")"),"A French press produces a milder flavor")</f>
        <v>A French press produces a milder flavor</v>
      </c>
    </row>
    <row r="292" spans="1:3" ht="15.75" customHeight="1" x14ac:dyDescent="0.25">
      <c r="A292" s="2" t="s">
        <v>294</v>
      </c>
      <c r="B292" s="3" t="s">
        <v>6</v>
      </c>
      <c r="C292" s="2" t="str">
        <f ca="1">IFERROR(__xludf.DUMMYFUNCTION("GOOGLETRANSLATE(A292,""bn"",""en"")"),"The temperature inside the fridge fluctuates significantly despite adjusting the settings")</f>
        <v>The temperature inside the fridge fluctuates significantly despite adjusting the settings</v>
      </c>
    </row>
    <row r="293" spans="1:3" ht="15.75" customHeight="1" x14ac:dyDescent="0.25">
      <c r="A293" s="2" t="s">
        <v>295</v>
      </c>
      <c r="B293" s="3" t="s">
        <v>2</v>
      </c>
      <c r="C293" s="2" t="str">
        <f ca="1">IFERROR(__xludf.DUMMYFUNCTION("GOOGLETRANSLATE(A293,""bn"",""en"")"),"Single use not reusable")</f>
        <v>Single use not reusable</v>
      </c>
    </row>
    <row r="294" spans="1:3" ht="15.75" customHeight="1" x14ac:dyDescent="0.25">
      <c r="A294" s="2" t="s">
        <v>296</v>
      </c>
      <c r="B294" s="3" t="s">
        <v>4</v>
      </c>
      <c r="C294" s="2" t="str">
        <f ca="1">IFERROR(__xludf.DUMMYFUNCTION("GOOGLETRANSLATE(A294,""bn"",""en"")"),"It has a mild chocolate flavor hidden in it")</f>
        <v>It has a mild chocolate flavor hidden in it</v>
      </c>
    </row>
    <row r="295" spans="1:3" ht="15.75" customHeight="1" x14ac:dyDescent="0.25">
      <c r="A295" s="2" t="s">
        <v>297</v>
      </c>
      <c r="B295" s="3" t="s">
        <v>6</v>
      </c>
      <c r="C295" s="2" t="str">
        <f ca="1">IFERROR(__xludf.DUMMYFUNCTION("GOOGLETRANSLATE(A295,""bn"",""en"")"),"Despite careful handling, the screen had visible scratches and blemishes")</f>
        <v>Despite careful handling, the screen had visible scratches and blemishes</v>
      </c>
    </row>
    <row r="296" spans="1:3" ht="15.75" customHeight="1" x14ac:dyDescent="0.25">
      <c r="A296" s="2" t="s">
        <v>298</v>
      </c>
      <c r="B296" s="3" t="s">
        <v>6</v>
      </c>
      <c r="C296" s="2" t="str">
        <f ca="1">IFERROR(__xludf.DUMMYFUNCTION("GOOGLETRANSLATE(A296,""bn"",""en"")"),"Despite claiming to be suitable for all seasons, the fabric is too thin to provide sufficient warmth in the cooler months")</f>
        <v>Despite claiming to be suitable for all seasons, the fabric is too thin to provide sufficient warmth in the cooler months</v>
      </c>
    </row>
    <row r="297" spans="1:3" ht="15.75" customHeight="1" x14ac:dyDescent="0.25">
      <c r="A297" s="2" t="s">
        <v>299</v>
      </c>
      <c r="B297" s="3" t="s">
        <v>6</v>
      </c>
      <c r="C297" s="2" t="str">
        <f ca="1">IFERROR(__xludf.DUMMYFUNCTION("GOOGLETRANSLATE(A297,""bn"",""en"")"),"Poorly made bonded construction is prone to separation")</f>
        <v>Poorly made bonded construction is prone to separation</v>
      </c>
    </row>
    <row r="298" spans="1:3" ht="15.75" customHeight="1" x14ac:dyDescent="0.25">
      <c r="A298" s="2" t="s">
        <v>300</v>
      </c>
      <c r="B298" s="3" t="s">
        <v>6</v>
      </c>
      <c r="C298" s="2" t="str">
        <f ca="1">IFERROR(__xludf.DUMMYFUNCTION("GOOGLETRANSLATE(A298,""bn"",""en"")"),"After a few uses, the loofah crumbles and spills everywhere")</f>
        <v>After a few uses, the loofah crumbles and spills everywhere</v>
      </c>
    </row>
    <row r="299" spans="1:3" ht="15.75" customHeight="1" x14ac:dyDescent="0.25">
      <c r="A299" s="2" t="s">
        <v>301</v>
      </c>
      <c r="B299" s="3" t="s">
        <v>4</v>
      </c>
      <c r="C299" s="2" t="str">
        <f ca="1">IFERROR(__xludf.DUMMYFUNCTION("GOOGLETRANSLATE(A299,""bn"",""en"")"),"Brings new life to the corners of the room")</f>
        <v>Brings new life to the corners of the room</v>
      </c>
    </row>
    <row r="300" spans="1:3" ht="15.75" customHeight="1" x14ac:dyDescent="0.25">
      <c r="A300" s="2" t="s">
        <v>302</v>
      </c>
      <c r="B300" s="3" t="s">
        <v>4</v>
      </c>
      <c r="C300" s="2" t="str">
        <f ca="1">IFERROR(__xludf.DUMMYFUNCTION("GOOGLETRANSLATE(A300,""bn"",""en"")")," I really could not think that I will get such a good product for such a small price")</f>
        <v xml:space="preserve"> I really could not think that I will get such a good product for such a small price</v>
      </c>
    </row>
    <row r="301" spans="1:3" ht="15.75" customHeight="1" x14ac:dyDescent="0.25">
      <c r="A301" s="2" t="s">
        <v>303</v>
      </c>
      <c r="B301" s="3" t="s">
        <v>4</v>
      </c>
      <c r="C301" s="2" t="str">
        <f ca="1">IFERROR(__xludf.DUMMYFUNCTION("GOOGLETRANSLATE(A301,""bn"",""en"")"),"The makeup kit is very easy to use for beginners")</f>
        <v>The makeup kit is very easy to use for beginners</v>
      </c>
    </row>
    <row r="302" spans="1:3" ht="15.75" customHeight="1" x14ac:dyDescent="0.25">
      <c r="A302" s="2" t="s">
        <v>304</v>
      </c>
      <c r="B302" s="3" t="s">
        <v>4</v>
      </c>
      <c r="C302" s="2" t="str">
        <f ca="1">IFERROR(__xludf.DUMMYFUNCTION("GOOGLETRANSLATE(A302,""bn"",""en"")"),"It has a mild spicy flavor hidden in it")</f>
        <v>It has a mild spicy flavor hidden in it</v>
      </c>
    </row>
    <row r="303" spans="1:3" ht="15.75" customHeight="1" x14ac:dyDescent="0.25">
      <c r="A303" s="2" t="s">
        <v>305</v>
      </c>
      <c r="B303" s="3" t="s">
        <v>4</v>
      </c>
      <c r="C303" s="2" t="str">
        <f ca="1">IFERROR(__xludf.DUMMYFUNCTION("GOOGLETRANSLATE(A303,""bn"",""en"")"),"They never fall out. Good quality. Great product. I'm very happy")</f>
        <v>They never fall out. Good quality. Great product. I'm very happy</v>
      </c>
    </row>
    <row r="304" spans="1:3" ht="15.75" customHeight="1" x14ac:dyDescent="0.25">
      <c r="A304" s="2" t="s">
        <v>306</v>
      </c>
      <c r="B304" s="3" t="s">
        <v>2</v>
      </c>
      <c r="C304" s="2" t="str">
        <f ca="1">IFERROR(__xludf.DUMMYFUNCTION("GOOGLETRANSLATE(A304,""bn"",""en"")"),"The wall clock shows the time but the ticking sound is annoying")</f>
        <v>The wall clock shows the time but the ticking sound is annoying</v>
      </c>
    </row>
    <row r="305" spans="1:3" ht="15.75" customHeight="1" x14ac:dyDescent="0.25">
      <c r="A305" s="2" t="s">
        <v>307</v>
      </c>
      <c r="B305" s="3" t="s">
        <v>6</v>
      </c>
      <c r="C305" s="2" t="str">
        <f ca="1">IFERROR(__xludf.DUMMYFUNCTION("GOOGLETRANSLATE(A305,""bn"",""en"")"),"The shoes lack breathability which results in excessive sweating and unpleasant odors")</f>
        <v>The shoes lack breathability which results in excessive sweating and unpleasant odors</v>
      </c>
    </row>
    <row r="306" spans="1:3" ht="15.75" customHeight="1" x14ac:dyDescent="0.25">
      <c r="A306" s="2" t="s">
        <v>308</v>
      </c>
      <c r="B306" s="3" t="s">
        <v>4</v>
      </c>
      <c r="C306" s="2" t="str">
        <f ca="1">IFERROR(__xludf.DUMMYFUNCTION("GOOGLETRANSLATE(A306,""bn"",""en"")"),"Quality is very good and long lasting")</f>
        <v>Quality is very good and long lasting</v>
      </c>
    </row>
    <row r="307" spans="1:3" ht="15.75" customHeight="1" x14ac:dyDescent="0.25">
      <c r="A307" s="2" t="s">
        <v>309</v>
      </c>
      <c r="B307" s="3" t="s">
        <v>4</v>
      </c>
      <c r="C307" s="2" t="str">
        <f ca="1">IFERROR(__xludf.DUMMYFUNCTION("GOOGLETRANSLATE(A307,""bn"",""en"")"),"The flower keeps my mind happy")</f>
        <v>The flower keeps my mind happy</v>
      </c>
    </row>
    <row r="308" spans="1:3" ht="15.75" customHeight="1" x14ac:dyDescent="0.25">
      <c r="A308" s="2" t="s">
        <v>310</v>
      </c>
      <c r="B308" s="3" t="s">
        <v>6</v>
      </c>
      <c r="C308" s="2" t="str">
        <f ca="1">IFERROR(__xludf.DUMMYFUNCTION("GOOGLETRANSLATE(A308,""bn"",""en"")"),"Ignition button on portable grill stuck hard to start")</f>
        <v>Ignition button on portable grill stuck hard to start</v>
      </c>
    </row>
    <row r="309" spans="1:3" ht="15.75" customHeight="1" x14ac:dyDescent="0.25">
      <c r="A309" s="2" t="s">
        <v>311</v>
      </c>
      <c r="B309" s="3" t="s">
        <v>2</v>
      </c>
      <c r="C309" s="2" t="str">
        <f ca="1">IFERROR(__xludf.DUMMYFUNCTION("GOOGLETRANSLATE(A309,""bn"",""en"")"),"Smart fridge camera shows food but WiFi connection may be inconsistent")</f>
        <v>Smart fridge camera shows food but WiFi connection may be inconsistent</v>
      </c>
    </row>
    <row r="310" spans="1:3" ht="15.75" customHeight="1" x14ac:dyDescent="0.25">
      <c r="A310" s="2" t="s">
        <v>312</v>
      </c>
      <c r="B310" s="3" t="s">
        <v>6</v>
      </c>
      <c r="C310" s="2" t="str">
        <f ca="1">IFERROR(__xludf.DUMMYFUNCTION("GOOGLETRANSLATE(A310,""bn"",""en"")"),"Unsatisfactory customer service unresolved issues")</f>
        <v>Unsatisfactory customer service unresolved issues</v>
      </c>
    </row>
    <row r="311" spans="1:3" ht="15.75" customHeight="1" x14ac:dyDescent="0.25">
      <c r="A311" s="2" t="s">
        <v>313</v>
      </c>
      <c r="B311" s="3" t="s">
        <v>2</v>
      </c>
      <c r="C311" s="2" t="str">
        <f ca="1">IFERROR(__xludf.DUMMYFUNCTION("GOOGLETRANSLATE(A311,""bn"",""en"")"),"Its texture is light and not at all smooth")</f>
        <v>Its texture is light and not at all smooth</v>
      </c>
    </row>
    <row r="312" spans="1:3" ht="15.75" customHeight="1" x14ac:dyDescent="0.25">
      <c r="A312" s="2" t="s">
        <v>314</v>
      </c>
      <c r="B312" s="3" t="s">
        <v>6</v>
      </c>
      <c r="C312" s="2" t="str">
        <f ca="1">IFERROR(__xludf.DUMMYFUNCTION("GOOGLETRANSLATE(A312,""bn"",""en"")"),"The lack of a seal on the container was a concern about the quality of the product")</f>
        <v>The lack of a seal on the container was a concern about the quality of the product</v>
      </c>
    </row>
    <row r="313" spans="1:3" ht="15.75" customHeight="1" x14ac:dyDescent="0.25">
      <c r="A313" s="2" t="s">
        <v>315</v>
      </c>
      <c r="B313" s="3" t="s">
        <v>6</v>
      </c>
      <c r="C313" s="2" t="str">
        <f ca="1">IFERROR(__xludf.DUMMYFUNCTION("GOOGLETRANSLATE(A313,""bn"",""en"")"),"The drone's camera gimbal malfunctions resulting in shaky footage")</f>
        <v>The drone's camera gimbal malfunctions resulting in shaky footage</v>
      </c>
    </row>
    <row r="314" spans="1:3" ht="15.75" customHeight="1" x14ac:dyDescent="0.25">
      <c r="A314" s="2" t="s">
        <v>316</v>
      </c>
      <c r="B314" s="3" t="s">
        <v>4</v>
      </c>
      <c r="C314" s="2" t="str">
        <f ca="1">IFERROR(__xludf.DUMMYFUNCTION("GOOGLETRANSLATE(A314,""bn"",""en"")"),"The fitting of the shoe is perfect and comfortable to walk in")</f>
        <v>The fitting of the shoe is perfect and comfortable to walk in</v>
      </c>
    </row>
    <row r="315" spans="1:3" ht="15.75" customHeight="1" x14ac:dyDescent="0.25">
      <c r="A315" s="2" t="s">
        <v>317</v>
      </c>
      <c r="B315" s="3" t="s">
        <v>6</v>
      </c>
      <c r="C315" s="2" t="str">
        <f ca="1">IFERROR(__xludf.DUMMYFUNCTION("GOOGLETRANSLATE(A315,""bn"",""en"")")," The metal hardware rusted quickly compromising its appearance")</f>
        <v xml:space="preserve"> The metal hardware rusted quickly compromising its appearance</v>
      </c>
    </row>
    <row r="316" spans="1:3" ht="15.75" customHeight="1" x14ac:dyDescent="0.25">
      <c r="A316" s="2" t="s">
        <v>318</v>
      </c>
      <c r="B316" s="3" t="s">
        <v>2</v>
      </c>
      <c r="C316" s="2" t="str">
        <f ca="1">IFERROR(__xludf.DUMMYFUNCTION("GOOGLETRANSLATE(A316,""bn"",""en"")"),"Heating speed is average")</f>
        <v>Heating speed is average</v>
      </c>
    </row>
    <row r="317" spans="1:3" ht="15.75" customHeight="1" x14ac:dyDescent="0.25">
      <c r="A317" s="2" t="s">
        <v>319</v>
      </c>
      <c r="B317" s="3" t="s">
        <v>2</v>
      </c>
      <c r="C317" s="2" t="str">
        <f ca="1">IFERROR(__xludf.DUMMYFUNCTION("GOOGLETRANSLATE(A317,""bn"",""en"")"),"Expected much better but was a bit lacking")</f>
        <v>Expected much better but was a bit lacking</v>
      </c>
    </row>
    <row r="318" spans="1:3" ht="15.75" customHeight="1" x14ac:dyDescent="0.25">
      <c r="A318" s="2" t="s">
        <v>320</v>
      </c>
      <c r="B318" s="3" t="s">
        <v>2</v>
      </c>
      <c r="C318" s="2" t="str">
        <f ca="1">IFERROR(__xludf.DUMMYFUNCTION("GOOGLETRANSLATE(A318,""bn"",""en"")"),"The design is attractive but the color is not durable")</f>
        <v>The design is attractive but the color is not durable</v>
      </c>
    </row>
    <row r="319" spans="1:3" ht="15.75" customHeight="1" x14ac:dyDescent="0.25">
      <c r="A319" s="2" t="s">
        <v>321</v>
      </c>
      <c r="B319" s="3" t="s">
        <v>4</v>
      </c>
      <c r="C319" s="2" t="str">
        <f ca="1">IFERROR(__xludf.DUMMYFUNCTION("GOOGLETRANSLATE(A319,""bn"",""en"")"),"Its absorptive power is excellently preserved for a long time")</f>
        <v>Its absorptive power is excellently preserved for a long time</v>
      </c>
    </row>
    <row r="320" spans="1:3" ht="15.75" customHeight="1" x14ac:dyDescent="0.25">
      <c r="A320" s="2" t="s">
        <v>322</v>
      </c>
      <c r="B320" s="3" t="s">
        <v>2</v>
      </c>
      <c r="C320" s="2" t="str">
        <f ca="1">IFERROR(__xludf.DUMMYFUNCTION("GOOGLETRANSLATE(A320,""bn"",""en"")"),"The bread box can hold bread but space is limited")</f>
        <v>The bread box can hold bread but space is limited</v>
      </c>
    </row>
    <row r="321" spans="1:3" ht="15.75" customHeight="1" x14ac:dyDescent="0.25">
      <c r="A321" s="2" t="s">
        <v>323</v>
      </c>
      <c r="B321" s="3" t="s">
        <v>4</v>
      </c>
      <c r="C321" s="2" t="str">
        <f ca="1">IFERROR(__xludf.DUMMYFUNCTION("GOOGLETRANSLATE(A321,""bn"",""en"")"),"Its cool breeze makes hot days bearable")</f>
        <v>Its cool breeze makes hot days bearable</v>
      </c>
    </row>
    <row r="322" spans="1:3" ht="15.75" customHeight="1" x14ac:dyDescent="0.25">
      <c r="A322" s="2" t="s">
        <v>324</v>
      </c>
      <c r="B322" s="3" t="s">
        <v>4</v>
      </c>
      <c r="C322" s="2" t="str">
        <f ca="1">IFERROR(__xludf.DUMMYFUNCTION("GOOGLETRANSLATE(A322,""bn"",""en"")"),"Mom requested so I got the product right now")</f>
        <v>Mom requested so I got the product right now</v>
      </c>
    </row>
    <row r="323" spans="1:3" ht="15.75" customHeight="1" x14ac:dyDescent="0.25">
      <c r="A323" s="2" t="s">
        <v>325</v>
      </c>
      <c r="B323" s="3" t="s">
        <v>2</v>
      </c>
      <c r="C323" s="2" t="str">
        <f ca="1">IFERROR(__xludf.DUMMYFUNCTION("GOOGLETRANSLATE(A323,""bn"",""en"")"),"Digital luggage scale measures suitcase weight but accuracy is low")</f>
        <v>Digital luggage scale measures suitcase weight but accuracy is low</v>
      </c>
    </row>
    <row r="324" spans="1:3" ht="15.75" customHeight="1" x14ac:dyDescent="0.25">
      <c r="A324" s="2" t="s">
        <v>326</v>
      </c>
      <c r="B324" s="3" t="s">
        <v>6</v>
      </c>
      <c r="C324" s="2" t="str">
        <f ca="1">IFERROR(__xludf.DUMMYFUNCTION("GOOGLETRANSLATE(A324,""bn"",""en"")"),"Poor quality materials deteriorate quickly")</f>
        <v>Poor quality materials deteriorate quickly</v>
      </c>
    </row>
    <row r="325" spans="1:3" ht="15.75" customHeight="1" x14ac:dyDescent="0.25">
      <c r="A325" s="2" t="s">
        <v>327</v>
      </c>
      <c r="B325" s="3" t="s">
        <v>4</v>
      </c>
      <c r="C325" s="2" t="str">
        <f ca="1">IFERROR(__xludf.DUMMYFUNCTION("GOOGLETRANSLATE(A325,""bn"",""en"")"),"The handle of the umbrella has a rubber coating so it does not slip in the hand")</f>
        <v>The handle of the umbrella has a rubber coating so it does not slip in the hand</v>
      </c>
    </row>
    <row r="326" spans="1:3" ht="15.75" customHeight="1" x14ac:dyDescent="0.25">
      <c r="A326" s="2" t="s">
        <v>328</v>
      </c>
      <c r="B326" s="3" t="s">
        <v>4</v>
      </c>
      <c r="C326" s="2" t="str">
        <f ca="1">IFERROR(__xludf.DUMMYFUNCTION("GOOGLETRANSLATE(A326,""bn"",""en"")"),"Fan noise is acceptable")</f>
        <v>Fan noise is acceptable</v>
      </c>
    </row>
    <row r="327" spans="1:3" ht="15.75" customHeight="1" x14ac:dyDescent="0.25">
      <c r="A327" s="2" t="s">
        <v>329</v>
      </c>
      <c r="B327" s="3" t="s">
        <v>4</v>
      </c>
      <c r="C327" s="2" t="str">
        <f ca="1">IFERROR(__xludf.DUMMYFUNCTION("GOOGLETRANSLATE(A327,""bn"",""en"")"),"Car steering cover is comfortable to hold")</f>
        <v>Car steering cover is comfortable to hold</v>
      </c>
    </row>
    <row r="328" spans="1:3" ht="15.75" customHeight="1" x14ac:dyDescent="0.25">
      <c r="A328" s="2" t="s">
        <v>330</v>
      </c>
      <c r="B328" s="3" t="s">
        <v>2</v>
      </c>
      <c r="C328" s="2" t="str">
        <f ca="1">IFERROR(__xludf.DUMMYFUNCTION("GOOGLETRANSLATE(A328,""bn"",""en"")"),"Good quality but not outstanding")</f>
        <v>Good quality but not outstanding</v>
      </c>
    </row>
    <row r="329" spans="1:3" ht="15.75" customHeight="1" x14ac:dyDescent="0.25">
      <c r="A329" s="2" t="s">
        <v>331</v>
      </c>
      <c r="B329" s="3" t="s">
        <v>2</v>
      </c>
      <c r="C329" s="2" t="str">
        <f ca="1">IFERROR(__xludf.DUMMYFUNCTION("GOOGLETRANSLATE(A329,""bn"",""en"")"),"Acceptable outfit but lacking that wow factor")</f>
        <v>Acceptable outfit but lacking that wow factor</v>
      </c>
    </row>
    <row r="330" spans="1:3" ht="15.75" customHeight="1" x14ac:dyDescent="0.25">
      <c r="A330" s="2" t="s">
        <v>332</v>
      </c>
      <c r="B330" s="3" t="s">
        <v>4</v>
      </c>
      <c r="C330" s="2" t="str">
        <f ca="1">IFERROR(__xludf.DUMMYFUNCTION("GOOGLETRANSLATE(A330,""bn"",""en"")"),"This body wash preserves the skin's natural oils")</f>
        <v>This body wash preserves the skin's natural oils</v>
      </c>
    </row>
    <row r="331" spans="1:3" ht="15.75" customHeight="1" x14ac:dyDescent="0.25">
      <c r="A331" s="2" t="s">
        <v>333</v>
      </c>
      <c r="B331" s="3" t="s">
        <v>2</v>
      </c>
      <c r="C331" s="2" t="str">
        <f ca="1">IFERROR(__xludf.DUMMYFUNCTION("GOOGLETRANSLATE(A331,""bn"",""en"")"),"The brush needs to have a replaceable head")</f>
        <v>The brush needs to have a replaceable head</v>
      </c>
    </row>
    <row r="332" spans="1:3" ht="15.75" customHeight="1" x14ac:dyDescent="0.25">
      <c r="A332" s="2" t="s">
        <v>334</v>
      </c>
      <c r="B332" s="3" t="s">
        <v>6</v>
      </c>
      <c r="C332" s="2" t="str">
        <f ca="1">IFERROR(__xludf.DUMMYFUNCTION("GOOGLETRANSLATE(A332,""bn"",""en"")"),"The fridge came with missing parts requiring extra time and effort to replace")</f>
        <v>The fridge came with missing parts requiring extra time and effort to replace</v>
      </c>
    </row>
    <row r="333" spans="1:3" ht="15.75" customHeight="1" x14ac:dyDescent="0.25">
      <c r="A333" s="2" t="s">
        <v>335</v>
      </c>
      <c r="B333" s="3" t="s">
        <v>4</v>
      </c>
      <c r="C333" s="2" t="str">
        <f ca="1">IFERROR(__xludf.DUMMYFUNCTION("GOOGLETRANSLATE(A333,""bn"",""en"")"),"The quality is not bad as in the picture, it can hold a lot of clothes")</f>
        <v>The quality is not bad as in the picture, it can hold a lot of clothes</v>
      </c>
    </row>
    <row r="334" spans="1:3" ht="15.75" customHeight="1" x14ac:dyDescent="0.25">
      <c r="A334" s="2" t="s">
        <v>336</v>
      </c>
      <c r="B334" s="3" t="s">
        <v>2</v>
      </c>
      <c r="C334" s="2" t="str">
        <f ca="1">IFERROR(__xludf.DUMMYFUNCTION("GOOGLETRANSLATE(A334,""bn"",""en"")"),"The bottoms of the bowls are not flat")</f>
        <v>The bottoms of the bowls are not flat</v>
      </c>
    </row>
    <row r="335" spans="1:3" ht="15.75" customHeight="1" x14ac:dyDescent="0.25">
      <c r="A335" s="2" t="s">
        <v>337</v>
      </c>
      <c r="B335" s="3" t="s">
        <v>2</v>
      </c>
      <c r="C335" s="2" t="str">
        <f ca="1">IFERROR(__xludf.DUMMYFUNCTION("GOOGLETRANSLATE(A335,""bn"",""en"")"),"Whether it will be effective for home use is unknown")</f>
        <v>Whether it will be effective for home use is unknown</v>
      </c>
    </row>
    <row r="336" spans="1:3" ht="15.75" customHeight="1" x14ac:dyDescent="0.25">
      <c r="A336" s="2" t="s">
        <v>338</v>
      </c>
      <c r="B336" s="3" t="s">
        <v>2</v>
      </c>
      <c r="C336" s="2" t="str">
        <f ca="1">IFERROR(__xludf.DUMMYFUNCTION("GOOGLETRANSLATE(A336,""bn"",""en"")"),"It's a usable earbud but options are available")</f>
        <v>It's a usable earbud but options are available</v>
      </c>
    </row>
    <row r="337" spans="1:3" ht="15.75" customHeight="1" x14ac:dyDescent="0.25">
      <c r="A337" s="2" t="s">
        <v>339</v>
      </c>
      <c r="B337" s="3" t="s">
        <v>4</v>
      </c>
      <c r="C337" s="2" t="str">
        <f ca="1">IFERROR(__xludf.DUMMYFUNCTION("GOOGLETRANSLATE(A337,""bn"",""en"")"),"This pencil can be easily used by even children to improve their writing skills")</f>
        <v>This pencil can be easily used by even children to improve their writing skills</v>
      </c>
    </row>
    <row r="338" spans="1:3" ht="15.75" customHeight="1" x14ac:dyDescent="0.25">
      <c r="A338" s="2" t="s">
        <v>340</v>
      </c>
      <c r="B338" s="3" t="s">
        <v>6</v>
      </c>
      <c r="C338" s="2" t="str">
        <f ca="1">IFERROR(__xludf.DUMMYFUNCTION("GOOGLETRANSLATE(A338,""bn"",""en"")"),"Automatic water dispenser leaks spreading water everywhere")</f>
        <v>Automatic water dispenser leaks spreading water everywhere</v>
      </c>
    </row>
    <row r="339" spans="1:3" ht="15.75" customHeight="1" x14ac:dyDescent="0.25">
      <c r="A339" s="2" t="s">
        <v>341</v>
      </c>
      <c r="B339" s="3" t="s">
        <v>6</v>
      </c>
      <c r="C339" s="2" t="str">
        <f ca="1">IFERROR(__xludf.DUMMYFUNCTION("GOOGLETRANSLATE(A339,""bn"",""en"")"),"  The finish is uneven and prone to chipping giving it a cheap and worn out look")</f>
        <v xml:space="preserve">  The finish is uneven and prone to chipping giving it a cheap and worn out look</v>
      </c>
    </row>
    <row r="340" spans="1:3" ht="15.75" customHeight="1" x14ac:dyDescent="0.25">
      <c r="A340" s="2" t="s">
        <v>342</v>
      </c>
      <c r="B340" s="3" t="s">
        <v>2</v>
      </c>
      <c r="C340" s="2" t="str">
        <f ca="1">IFERROR(__xludf.DUMMYFUNCTION("GOOGLETRANSLATE(A340,""bn"",""en"")"),"Great cameras can be limited for price performance")</f>
        <v>Great cameras can be limited for price performance</v>
      </c>
    </row>
    <row r="341" spans="1:3" ht="15.75" customHeight="1" x14ac:dyDescent="0.25">
      <c r="A341" s="2" t="s">
        <v>343</v>
      </c>
      <c r="B341" s="3" t="s">
        <v>4</v>
      </c>
      <c r="C341" s="2" t="str">
        <f ca="1">IFERROR(__xludf.DUMMYFUNCTION("GOOGLETRANSLATE(A341,""bn"",""en"")"),"It keeps the room comfortable and cool")</f>
        <v>It keeps the room comfortable and cool</v>
      </c>
    </row>
    <row r="342" spans="1:3" ht="15.75" customHeight="1" x14ac:dyDescent="0.25">
      <c r="A342" s="2" t="s">
        <v>344</v>
      </c>
      <c r="B342" s="3" t="s">
        <v>2</v>
      </c>
      <c r="C342" s="2" t="str">
        <f ca="1">IFERROR(__xludf.DUMMYFUNCTION("GOOGLETRANSLATE(A342,""bn"",""en"")"),"Small cute with many features but reliability is questionable")</f>
        <v>Small cute with many features but reliability is questionable</v>
      </c>
    </row>
    <row r="343" spans="1:3" ht="15.75" customHeight="1" x14ac:dyDescent="0.25">
      <c r="A343" s="2" t="s">
        <v>345</v>
      </c>
      <c r="B343" s="3" t="s">
        <v>2</v>
      </c>
      <c r="C343" s="2" t="str">
        <f ca="1">IFERROR(__xludf.DUMMYFUNCTION("GOOGLETRANSLATE(A343,""bn"",""en"")"),"The mop head felt small")</f>
        <v>The mop head felt small</v>
      </c>
    </row>
    <row r="344" spans="1:3" ht="15.75" customHeight="1" x14ac:dyDescent="0.25">
      <c r="A344" s="2" t="s">
        <v>346</v>
      </c>
      <c r="B344" s="3" t="s">
        <v>6</v>
      </c>
      <c r="C344" s="2" t="str">
        <f ca="1">IFERROR(__xludf.DUMMYFUNCTION("GOOGLETRANSLATE(A344,""bn"",""en"")"),"Wireless headphones' Bluetooth connection drops frequently, interrupting music playback")</f>
        <v>Wireless headphones' Bluetooth connection drops frequently, interrupting music playback</v>
      </c>
    </row>
    <row r="345" spans="1:3" ht="15.75" customHeight="1" x14ac:dyDescent="0.25">
      <c r="A345" s="2" t="s">
        <v>347</v>
      </c>
      <c r="B345" s="3" t="s">
        <v>6</v>
      </c>
      <c r="C345" s="2" t="str">
        <f ca="1">IFERROR(__xludf.DUMMYFUNCTION("GOOGLETRANSLATE(A345,""bn"",""en"")")," The fog had a strange chemical smell that lingered")</f>
        <v xml:space="preserve"> The fog had a strange chemical smell that lingered</v>
      </c>
    </row>
    <row r="346" spans="1:3" ht="15.75" customHeight="1" x14ac:dyDescent="0.25">
      <c r="A346" s="2" t="s">
        <v>348</v>
      </c>
      <c r="B346" s="3" t="s">
        <v>2</v>
      </c>
      <c r="C346" s="2" t="str">
        <f ca="1">IFERROR(__xludf.DUMMYFUNCTION("GOOGLETRANSLATE(A346,""bn"",""en"")"),"I am verifying the product as a user")</f>
        <v>I am verifying the product as a user</v>
      </c>
    </row>
    <row r="347" spans="1:3" ht="15.75" customHeight="1" x14ac:dyDescent="0.25">
      <c r="A347" s="2" t="s">
        <v>349</v>
      </c>
      <c r="B347" s="3" t="s">
        <v>2</v>
      </c>
      <c r="C347" s="2" t="str">
        <f ca="1">IFERROR(__xludf.DUMMYFUNCTION("GOOGLETRANSLATE(A347,""bn"",""en"")"),"The cover of the book is nice but the content is not very interesting")</f>
        <v>The cover of the book is nice but the content is not very interesting</v>
      </c>
    </row>
    <row r="348" spans="1:3" ht="15.75" customHeight="1" x14ac:dyDescent="0.25">
      <c r="A348" s="2" t="s">
        <v>350</v>
      </c>
      <c r="B348" s="3" t="s">
        <v>2</v>
      </c>
      <c r="C348" s="2" t="str">
        <f ca="1">IFERROR(__xludf.DUMMYFUNCTION("GOOGLETRANSLATE(A348,""bn"",""en"")"),"There is no need to talk too much about color selection")</f>
        <v>There is no need to talk too much about color selection</v>
      </c>
    </row>
    <row r="349" spans="1:3" ht="15.75" customHeight="1" x14ac:dyDescent="0.25">
      <c r="A349" s="2" t="s">
        <v>351</v>
      </c>
      <c r="B349" s="3" t="s">
        <v>6</v>
      </c>
      <c r="C349" s="2" t="str">
        <f ca="1">IFERROR(__xludf.DUMMYFUNCTION("GOOGLETRANSLATE(A349,""bn"",""en"")"),"The wardrobe's finish scratches and chips easily and requires frequent touchups to maintain its appearance")</f>
        <v>The wardrobe's finish scratches and chips easily and requires frequent touchups to maintain its appearance</v>
      </c>
    </row>
    <row r="350" spans="1:3" ht="15.75" customHeight="1" x14ac:dyDescent="0.25">
      <c r="A350" s="2" t="s">
        <v>352</v>
      </c>
      <c r="B350" s="3" t="s">
        <v>2</v>
      </c>
      <c r="C350" s="2" t="str">
        <f ca="1">IFERROR(__xludf.DUMMYFUNCTION("GOOGLETRANSLATE(A350,""bn"",""en"")"),"Cost-effective but may not be suitable for long-term use")</f>
        <v>Cost-effective but may not be suitable for long-term use</v>
      </c>
    </row>
    <row r="351" spans="1:3" ht="15.75" customHeight="1" x14ac:dyDescent="0.25">
      <c r="A351" s="2" t="s">
        <v>353</v>
      </c>
      <c r="B351" s="3" t="s">
        <v>4</v>
      </c>
      <c r="C351" s="2" t="str">
        <f ca="1">IFERROR(__xludf.DUMMYFUNCTION("GOOGLETRANSLATE(A351,""bn"",""en"")"),"I've noticed that these pots respond very well to temperature changes, they don't heat up as quickly when serving hot food")</f>
        <v>I've noticed that these pots respond very well to temperature changes, they don't heat up as quickly when serving hot food</v>
      </c>
    </row>
    <row r="352" spans="1:3" ht="15.75" customHeight="1" x14ac:dyDescent="0.25">
      <c r="A352" s="2" t="s">
        <v>354</v>
      </c>
      <c r="B352" s="3" t="s">
        <v>6</v>
      </c>
      <c r="C352" s="2" t="str">
        <f ca="1">IFERROR(__xludf.DUMMYFUNCTION("GOOGLETRANSLATE(A352,""bn"",""en"")"),"Poorly designed spouts cause splashing when pouring")</f>
        <v>Poorly designed spouts cause splashing when pouring</v>
      </c>
    </row>
    <row r="353" spans="1:3" ht="15.75" customHeight="1" x14ac:dyDescent="0.25">
      <c r="A353" s="2" t="s">
        <v>355</v>
      </c>
      <c r="B353" s="3" t="s">
        <v>2</v>
      </c>
      <c r="C353" s="2" t="str">
        <f ca="1">IFERROR(__xludf.DUMMYFUNCTION("GOOGLETRANSLATE(A353,""bn"",""en"")"),"The kit is good some parts are of average quality")</f>
        <v>The kit is good some parts are of average quality</v>
      </c>
    </row>
    <row r="354" spans="1:3" ht="15.75" customHeight="1" x14ac:dyDescent="0.25">
      <c r="A354" s="2" t="s">
        <v>356</v>
      </c>
      <c r="B354" s="3" t="s">
        <v>4</v>
      </c>
      <c r="C354" s="2" t="str">
        <f ca="1">IFERROR(__xludf.DUMMYFUNCTION("GOOGLETRANSLATE(A354,""bn"",""en"")"),"It met my expectations")</f>
        <v>It met my expectations</v>
      </c>
    </row>
    <row r="355" spans="1:3" ht="15.75" customHeight="1" x14ac:dyDescent="0.25">
      <c r="A355" s="2" t="s">
        <v>357</v>
      </c>
      <c r="B355" s="3" t="s">
        <v>6</v>
      </c>
      <c r="C355" s="2" t="str">
        <f ca="1">IFERROR(__xludf.DUMMYFUNCTION("GOOGLETRANSLATE(A355,""bn"",""en"")"),"The smart thermostat's display screen is too dim to read")</f>
        <v>The smart thermostat's display screen is too dim to read</v>
      </c>
    </row>
    <row r="356" spans="1:3" ht="15.75" customHeight="1" x14ac:dyDescent="0.25">
      <c r="A356" s="2" t="s">
        <v>358</v>
      </c>
      <c r="B356" s="3" t="s">
        <v>6</v>
      </c>
      <c r="C356" s="2" t="str">
        <f ca="1">IFERROR(__xludf.DUMMYFUNCTION("GOOGLETRANSLATE(A356,""bn"",""en"")"),"Electric can opener stops working mid-operation inconvenient")</f>
        <v>Electric can opener stops working mid-operation inconvenient</v>
      </c>
    </row>
    <row r="357" spans="1:3" ht="15.75" customHeight="1" x14ac:dyDescent="0.25">
      <c r="A357" s="2" t="s">
        <v>359</v>
      </c>
      <c r="B357" s="3" t="s">
        <v>2</v>
      </c>
      <c r="C357" s="2" t="str">
        <f ca="1">IFERROR(__xludf.DUMMYFUNCTION("GOOGLETRANSLATE(A357,""bn"",""en"")"),"The first part of the book was great but the end felt rushed")</f>
        <v>The first part of the book was great but the end felt rushed</v>
      </c>
    </row>
    <row r="358" spans="1:3" ht="15.75" customHeight="1" x14ac:dyDescent="0.25">
      <c r="A358" s="2" t="s">
        <v>360</v>
      </c>
      <c r="B358" s="3" t="s">
        <v>6</v>
      </c>
      <c r="C358" s="2" t="str">
        <f ca="1">IFERROR(__xludf.DUMMYFUNCTION("GOOGLETRANSLATE(A358,""bn"",""en"")"),"The kitchen scale display screen is displaying incorrect measurements")</f>
        <v>The kitchen scale display screen is displaying incorrect measurements</v>
      </c>
    </row>
    <row r="359" spans="1:3" ht="15.75" customHeight="1" x14ac:dyDescent="0.25">
      <c r="A359" s="2" t="s">
        <v>361</v>
      </c>
      <c r="B359" s="3" t="s">
        <v>2</v>
      </c>
      <c r="C359" s="2" t="str">
        <f ca="1">IFERROR(__xludf.DUMMYFUNCTION("GOOGLETRANSLATE(A359,""bn"",""en"")"),"A portable espresso maker makes coffee but the quantity is less")</f>
        <v>A portable espresso maker makes coffee but the quantity is less</v>
      </c>
    </row>
    <row r="360" spans="1:3" ht="15.75" customHeight="1" x14ac:dyDescent="0.25">
      <c r="A360" s="2" t="s">
        <v>362</v>
      </c>
      <c r="B360" s="3" t="s">
        <v>6</v>
      </c>
      <c r="C360" s="2" t="str">
        <f ca="1">IFERROR(__xludf.DUMMYFUNCTION("GOOGLETRANSLATE(A360,""bn"",""en"")"),"The mesh sides of the baby's playpen are torn, creating a safety hazard for the baby")</f>
        <v>The mesh sides of the baby's playpen are torn, creating a safety hazard for the baby</v>
      </c>
    </row>
    <row r="361" spans="1:3" ht="15.75" customHeight="1" x14ac:dyDescent="0.25">
      <c r="A361" s="2" t="s">
        <v>363</v>
      </c>
      <c r="B361" s="3" t="s">
        <v>6</v>
      </c>
      <c r="C361" s="2" t="str">
        <f ca="1">IFERROR(__xludf.DUMMYFUNCTION("GOOGLETRANSLATE(A361,""bn"",""en"")"),"Re-sizing errors lead to increased frustration")</f>
        <v>Re-sizing errors lead to increased frustration</v>
      </c>
    </row>
    <row r="362" spans="1:3" ht="15.75" customHeight="1" x14ac:dyDescent="0.25">
      <c r="A362" s="2" t="s">
        <v>364</v>
      </c>
      <c r="B362" s="3" t="s">
        <v>6</v>
      </c>
      <c r="C362" s="2" t="str">
        <f ca="1">IFERROR(__xludf.DUMMYFUNCTION("GOOGLETRANSLATE(A362,""bn"",""en"")")," High chair trays are too small making it difficult to fit food and utensils")</f>
        <v xml:space="preserve"> High chair trays are too small making it difficult to fit food and utensils</v>
      </c>
    </row>
    <row r="363" spans="1:3" ht="15.75" customHeight="1" x14ac:dyDescent="0.25">
      <c r="A363" s="2" t="s">
        <v>365</v>
      </c>
      <c r="B363" s="3" t="s">
        <v>2</v>
      </c>
      <c r="C363" s="2" t="str">
        <f ca="1">IFERROR(__xludf.DUMMYFUNCTION("GOOGLETRANSLATE(A363,""bn"",""en"")"),"There is no mention of using environmentally friendly materials")</f>
        <v>There is no mention of using environmentally friendly materials</v>
      </c>
    </row>
    <row r="364" spans="1:3" ht="15.75" customHeight="1" x14ac:dyDescent="0.25">
      <c r="A364" s="2" t="s">
        <v>366</v>
      </c>
      <c r="B364" s="3" t="s">
        <v>2</v>
      </c>
      <c r="C364" s="2" t="str">
        <f ca="1">IFERROR(__xludf.DUMMYFUNCTION("GOOGLETRANSLATE(A364,""bn"",""en"")"),"Good for the price but the drink is a bit too dark")</f>
        <v>Good for the price but the drink is a bit too dark</v>
      </c>
    </row>
    <row r="365" spans="1:3" ht="15.75" customHeight="1" x14ac:dyDescent="0.25">
      <c r="A365" s="2" t="s">
        <v>367</v>
      </c>
      <c r="B365" s="3" t="s">
        <v>4</v>
      </c>
      <c r="C365" s="2" t="str">
        <f ca="1">IFERROR(__xludf.DUMMYFUNCTION("GOOGLETRANSLATE(A365,""bn"",""en"")"),"The color of the watch does not tarnish easily")</f>
        <v>The color of the watch does not tarnish easily</v>
      </c>
    </row>
    <row r="366" spans="1:3" ht="15.75" customHeight="1" x14ac:dyDescent="0.25">
      <c r="A366" s="2" t="s">
        <v>368</v>
      </c>
      <c r="B366" s="3" t="s">
        <v>2</v>
      </c>
      <c r="C366" s="2" t="str">
        <f ca="1">IFERROR(__xludf.DUMMYFUNCTION("GOOGLETRANSLATE(A366,""bn"",""en"")"),"It works and compares to other brands")</f>
        <v>It works and compares to other brands</v>
      </c>
    </row>
    <row r="367" spans="1:3" ht="15.75" customHeight="1" x14ac:dyDescent="0.25">
      <c r="A367" s="2" t="s">
        <v>369</v>
      </c>
      <c r="B367" s="3" t="s">
        <v>2</v>
      </c>
      <c r="C367" s="2" t="str">
        <f ca="1">IFERROR(__xludf.DUMMYFUNCTION("GOOGLETRANSLATE(A367,""bn"",""en"")"),"Hope it lasts a long time")</f>
        <v>Hope it lasts a long time</v>
      </c>
    </row>
    <row r="368" spans="1:3" ht="15.75" customHeight="1" x14ac:dyDescent="0.25">
      <c r="A368" s="2" t="s">
        <v>370</v>
      </c>
      <c r="B368" s="3" t="s">
        <v>4</v>
      </c>
      <c r="C368" s="2" t="str">
        <f ca="1">IFERROR(__xludf.DUMMYFUNCTION("GOOGLETRANSLATE(A368,""bn"",""en"")"),"Received a very useful supplement very quickly and at a very low price")</f>
        <v>Received a very useful supplement very quickly and at a very low price</v>
      </c>
    </row>
    <row r="369" spans="1:3" ht="15.75" customHeight="1" x14ac:dyDescent="0.25">
      <c r="A369" s="2" t="s">
        <v>371</v>
      </c>
      <c r="B369" s="3" t="s">
        <v>4</v>
      </c>
      <c r="C369" s="2" t="str">
        <f ca="1">IFERROR(__xludf.DUMMYFUNCTION("GOOGLETRANSLATE(A369,""bn"",""en"")"),"Hair growth increased with the use of shampoo")</f>
        <v>Hair growth increased with the use of shampoo</v>
      </c>
    </row>
    <row r="370" spans="1:3" ht="15.75" customHeight="1" x14ac:dyDescent="0.25">
      <c r="A370" s="2" t="s">
        <v>372</v>
      </c>
      <c r="B370" s="3" t="s">
        <v>4</v>
      </c>
      <c r="C370" s="2" t="str">
        <f ca="1">IFERROR(__xludf.DUMMYFUNCTION("GOOGLETRANSLATE(A370,""bn"",""en"")"),"Average quality colors look good too ")</f>
        <v xml:space="preserve">Average quality colors look good too </v>
      </c>
    </row>
    <row r="371" spans="1:3" ht="15.75" customHeight="1" x14ac:dyDescent="0.25">
      <c r="A371" s="2" t="s">
        <v>373</v>
      </c>
      <c r="B371" s="3" t="s">
        <v>4</v>
      </c>
      <c r="C371" s="2" t="str">
        <f ca="1">IFERROR(__xludf.DUMMYFUNCTION("GOOGLETRANSLATE(A371,""bn"",""en"")"),"The color of each piece is long lasting and does not fade easily")</f>
        <v>The color of each piece is long lasting and does not fade easily</v>
      </c>
    </row>
    <row r="372" spans="1:3" ht="15.75" customHeight="1" x14ac:dyDescent="0.25">
      <c r="A372" s="2" t="s">
        <v>374</v>
      </c>
      <c r="B372" s="3" t="s">
        <v>4</v>
      </c>
      <c r="C372" s="2" t="str">
        <f ca="1">IFERROR(__xludf.DUMMYFUNCTION("GOOGLETRANSLATE(A372,""bn"",""en"")"),"The mascara is hypoallergenic perfect for my sensitive eyes")</f>
        <v>The mascara is hypoallergenic perfect for my sensitive eyes</v>
      </c>
    </row>
    <row r="373" spans="1:3" ht="15.75" customHeight="1" x14ac:dyDescent="0.25">
      <c r="A373" s="2" t="s">
        <v>375</v>
      </c>
      <c r="B373" s="3" t="s">
        <v>4</v>
      </c>
      <c r="C373" s="2" t="str">
        <f ca="1">IFERROR(__xludf.DUMMYFUNCTION("GOOGLETRANSLATE(A373,""bn"",""en"")"),"The use of language is very beautiful")</f>
        <v>The use of language is very beautiful</v>
      </c>
    </row>
    <row r="374" spans="1:3" ht="15.75" customHeight="1" x14ac:dyDescent="0.25">
      <c r="A374" s="2" t="s">
        <v>376</v>
      </c>
      <c r="B374" s="3" t="s">
        <v>6</v>
      </c>
      <c r="C374" s="2" t="str">
        <f ca="1">IFERROR(__xludf.DUMMYFUNCTION("GOOGLETRANSLATE(A374,""bn"",""en"")"),"Short lifespan meant frequent replacements were required")</f>
        <v>Short lifespan meant frequent replacements were required</v>
      </c>
    </row>
    <row r="375" spans="1:3" ht="15.75" customHeight="1" x14ac:dyDescent="0.25">
      <c r="A375" s="2" t="s">
        <v>377</v>
      </c>
      <c r="B375" s="3" t="s">
        <v>6</v>
      </c>
      <c r="C375" s="2" t="str">
        <f ca="1">IFERROR(__xludf.DUMMYFUNCTION("GOOGLETRANSLATE(A375,""bn"",""en"")"),"Solar powered outdoor fan does not circulate air well Inefficient cooling")</f>
        <v>Solar powered outdoor fan does not circulate air well Inefficient cooling</v>
      </c>
    </row>
    <row r="376" spans="1:3" ht="15.75" customHeight="1" x14ac:dyDescent="0.25">
      <c r="A376" s="2" t="s">
        <v>378</v>
      </c>
      <c r="B376" s="3" t="s">
        <v>6</v>
      </c>
      <c r="C376" s="2" t="str">
        <f ca="1">IFERROR(__xludf.DUMMYFUNCTION("GOOGLETRANSLATE(A376,""bn"",""en"")"),"The interior space is poorly organized making it challenging to arrange items efficiently")</f>
        <v>The interior space is poorly organized making it challenging to arrange items efficiently</v>
      </c>
    </row>
    <row r="377" spans="1:3" ht="15.75" customHeight="1" x14ac:dyDescent="0.25">
      <c r="A377" s="2" t="s">
        <v>379</v>
      </c>
      <c r="B377" s="3" t="s">
        <v>2</v>
      </c>
      <c r="C377" s="2" t="str">
        <f ca="1">IFERROR(__xludf.DUMMYFUNCTION("GOOGLETRANSLATE(A377,""bn"",""en"")"),"The bag lacks attractiveness but has the necessary value")</f>
        <v>The bag lacks attractiveness but has the necessary value</v>
      </c>
    </row>
    <row r="378" spans="1:3" ht="15.75" customHeight="1" x14ac:dyDescent="0.25">
      <c r="A378" s="2" t="s">
        <v>380</v>
      </c>
      <c r="B378" s="3" t="s">
        <v>2</v>
      </c>
      <c r="C378" s="2" t="str">
        <f ca="1">IFERROR(__xludf.DUMMYFUNCTION("GOOGLETRANSLATE(A378,""bn"",""en"")"),"Quality is passable but not great")</f>
        <v>Quality is passable but not great</v>
      </c>
    </row>
    <row r="379" spans="1:3" ht="15.75" customHeight="1" x14ac:dyDescent="0.25">
      <c r="A379" s="2" t="s">
        <v>381</v>
      </c>
      <c r="B379" s="3" t="s">
        <v>6</v>
      </c>
      <c r="C379" s="2" t="str">
        <f ca="1">IFERROR(__xludf.DUMMYFUNCTION("GOOGLETRANSLATE(A379,""bn"",""en"")"),"The design lacks attention to detail resulting in sloppy craftsmanship")</f>
        <v>The design lacks attention to detail resulting in sloppy craftsmanship</v>
      </c>
    </row>
    <row r="380" spans="1:3" ht="15.75" customHeight="1" x14ac:dyDescent="0.25">
      <c r="A380" s="2" t="s">
        <v>382</v>
      </c>
      <c r="B380" s="3" t="s">
        <v>6</v>
      </c>
      <c r="C380" s="2" t="str">
        <f ca="1">IFERROR(__xludf.DUMMYFUNCTION("GOOGLETRANSLATE(A380,""bn"",""en"")"),"Packaged mashed potatoes had a sticky consistency and lacked the creaminess of homemade potatoes")</f>
        <v>Packaged mashed potatoes had a sticky consistency and lacked the creaminess of homemade potatoes</v>
      </c>
    </row>
    <row r="381" spans="1:3" ht="15.75" customHeight="1" x14ac:dyDescent="0.25">
      <c r="A381" s="2" t="s">
        <v>383</v>
      </c>
      <c r="B381" s="3" t="s">
        <v>2</v>
      </c>
      <c r="C381" s="2" t="str">
        <f ca="1">IFERROR(__xludf.DUMMYFUNCTION("GOOGLETRANSLATE(A381,""bn"",""en"")"),"It can also be used on mobile")</f>
        <v>It can also be used on mobile</v>
      </c>
    </row>
    <row r="382" spans="1:3" ht="15.75" customHeight="1" x14ac:dyDescent="0.25">
      <c r="A382" s="2" t="s">
        <v>384</v>
      </c>
      <c r="B382" s="3" t="s">
        <v>4</v>
      </c>
      <c r="C382" s="2" t="str">
        <f ca="1">IFERROR(__xludf.DUMMYFUNCTION("GOOGLETRANSLATE(A382,""bn"",""en"")"),"The pen writes very smoothly and is comfortable")</f>
        <v>The pen writes very smoothly and is comfortable</v>
      </c>
    </row>
    <row r="383" spans="1:3" ht="15.75" customHeight="1" x14ac:dyDescent="0.25">
      <c r="A383" s="2" t="s">
        <v>385</v>
      </c>
      <c r="B383" s="3" t="s">
        <v>4</v>
      </c>
      <c r="C383" s="2" t="str">
        <f ca="1">IFERROR(__xludf.DUMMYFUNCTION("GOOGLETRANSLATE(A383,""bn"",""en"")"),"Filters are easy to change")</f>
        <v>Filters are easy to change</v>
      </c>
    </row>
    <row r="384" spans="1:3" ht="15.75" customHeight="1" x14ac:dyDescent="0.25">
      <c r="A384" s="2" t="s">
        <v>386</v>
      </c>
      <c r="B384" s="3" t="s">
        <v>2</v>
      </c>
      <c r="C384" s="2" t="str">
        <f ca="1">IFERROR(__xludf.DUMMYFUNCTION("GOOGLETRANSLATE(A384,""bn"",""en"")"),"The drink is good but the taste needs some tweaking")</f>
        <v>The drink is good but the taste needs some tweaking</v>
      </c>
    </row>
    <row r="385" spans="1:3" ht="15.75" customHeight="1" x14ac:dyDescent="0.25">
      <c r="A385" s="2" t="s">
        <v>387</v>
      </c>
      <c r="B385" s="3" t="s">
        <v>4</v>
      </c>
      <c r="C385" s="2" t="str">
        <f ca="1">IFERROR(__xludf.DUMMYFUNCTION("GOOGLETRANSLATE(A385,""bn"",""en"")"),"Excellent radar detector")</f>
        <v>Excellent radar detector</v>
      </c>
    </row>
    <row r="386" spans="1:3" ht="15.75" customHeight="1" x14ac:dyDescent="0.25">
      <c r="A386" s="2" t="s">
        <v>388</v>
      </c>
      <c r="B386" s="3" t="s">
        <v>4</v>
      </c>
      <c r="C386" s="2" t="str">
        <f ca="1">IFERROR(__xludf.DUMMYFUNCTION("GOOGLETRANSLATE(A386,""bn"",""en"")"),"It is best to consume honey every morning")</f>
        <v>It is best to consume honey every morning</v>
      </c>
    </row>
    <row r="387" spans="1:3" ht="15.75" customHeight="1" x14ac:dyDescent="0.25">
      <c r="A387" s="2" t="s">
        <v>389</v>
      </c>
      <c r="B387" s="3" t="s">
        <v>6</v>
      </c>
      <c r="C387" s="2" t="str">
        <f ca="1">IFERROR(__xludf.DUMMYFUNCTION("GOOGLETRANSLATE(A387,""bn"",""en"")"),"Lid seals wear out quickly leading to premature wear")</f>
        <v>Lid seals wear out quickly leading to premature wear</v>
      </c>
    </row>
    <row r="388" spans="1:3" ht="15.75" customHeight="1" x14ac:dyDescent="0.25">
      <c r="A388" s="2" t="s">
        <v>390</v>
      </c>
      <c r="B388" s="3" t="s">
        <v>6</v>
      </c>
      <c r="C388" s="2" t="str">
        <f ca="1">IFERROR(__xludf.DUMMYFUNCTION("GOOGLETRANSLATE(A388,""bn"",""en"")"),"Robot vacuums damage furniture by scratching surfaces")</f>
        <v>Robot vacuums damage furniture by scratching surfaces</v>
      </c>
    </row>
    <row r="389" spans="1:3" ht="15.75" customHeight="1" x14ac:dyDescent="0.25">
      <c r="A389" s="2" t="s">
        <v>391</v>
      </c>
      <c r="B389" s="3" t="s">
        <v>2</v>
      </c>
      <c r="C389" s="2" t="str">
        <f ca="1">IFERROR(__xludf.DUMMYFUNCTION("GOOGLETRANSLATE(A389,""bn"",""en"")"),"The taste of the toothpaste will not be too strong")</f>
        <v>The taste of the toothpaste will not be too strong</v>
      </c>
    </row>
    <row r="390" spans="1:3" ht="15.75" customHeight="1" x14ac:dyDescent="0.25">
      <c r="A390" s="2" t="s">
        <v>392</v>
      </c>
      <c r="B390" s="3" t="s">
        <v>4</v>
      </c>
      <c r="C390" s="2" t="str">
        <f ca="1">IFERROR(__xludf.DUMMYFUNCTION("GOOGLETRANSLATE(A390,""bn"",""en"")"),"Our office boss always encourages us")</f>
        <v>Our office boss always encourages us</v>
      </c>
    </row>
    <row r="391" spans="1:3" ht="15.75" customHeight="1" x14ac:dyDescent="0.25">
      <c r="A391" s="2" t="s">
        <v>393</v>
      </c>
      <c r="B391" s="3" t="s">
        <v>6</v>
      </c>
      <c r="C391" s="2" t="str">
        <f ca="1">IFERROR(__xludf.DUMMYFUNCTION("GOOGLETRANSLATE(A391,""bn"",""en"")"),"Packaging not sealed properly allows coffee to go stale quickly")</f>
        <v>Packaging not sealed properly allows coffee to go stale quickly</v>
      </c>
    </row>
    <row r="392" spans="1:3" ht="15.75" customHeight="1" x14ac:dyDescent="0.25">
      <c r="A392" s="2" t="s">
        <v>394</v>
      </c>
      <c r="B392" s="3" t="s">
        <v>2</v>
      </c>
      <c r="C392" s="2" t="str">
        <f ca="1">IFERROR(__xludf.DUMMYFUNCTION("GOOGLETRANSLATE(A392,""bn"",""en"")"),"There are some problems if you use more")</f>
        <v>There are some problems if you use more</v>
      </c>
    </row>
    <row r="393" spans="1:3" ht="15.75" customHeight="1" x14ac:dyDescent="0.25">
      <c r="A393" s="2" t="s">
        <v>395</v>
      </c>
      <c r="B393" s="3" t="s">
        <v>4</v>
      </c>
      <c r="C393" s="2" t="str">
        <f ca="1">IFERROR(__xludf.DUMMYFUNCTION("GOOGLETRANSLATE(A393,""bn"",""en"")"),"The soap makes the skin soft and supple")</f>
        <v>The soap makes the skin soft and supple</v>
      </c>
    </row>
    <row r="394" spans="1:3" ht="15.75" customHeight="1" x14ac:dyDescent="0.25">
      <c r="A394" s="2" t="s">
        <v>396</v>
      </c>
      <c r="B394" s="3" t="s">
        <v>6</v>
      </c>
      <c r="C394" s="2" t="str">
        <f ca="1">IFERROR(__xludf.DUMMYFUNCTION("GOOGLETRANSLATE(A394,""bn"",""en"")"),"A get with an odd fit is not flattering or comfortable")</f>
        <v>A get with an odd fit is not flattering or comfortable</v>
      </c>
    </row>
    <row r="395" spans="1:3" ht="15.75" customHeight="1" x14ac:dyDescent="0.25">
      <c r="A395" s="2" t="s">
        <v>397</v>
      </c>
      <c r="B395" s="3" t="s">
        <v>4</v>
      </c>
      <c r="C395" s="2" t="str">
        <f ca="1">IFERROR(__xludf.DUMMYFUNCTION("GOOGLETRANSLATE(A395,""bn"",""en"")"),"The combination of toothpaste and brush is simply amazing")</f>
        <v>The combination of toothpaste and brush is simply amazing</v>
      </c>
    </row>
    <row r="396" spans="1:3" ht="15.75" customHeight="1" x14ac:dyDescent="0.25">
      <c r="A396" s="2" t="s">
        <v>398</v>
      </c>
      <c r="B396" s="3" t="s">
        <v>4</v>
      </c>
      <c r="C396" s="2" t="str">
        <f ca="1">IFERROR(__xludf.DUMMYFUNCTION("GOOGLETRANSLATE(A396,""bn"",""en"")"),"There is something new to discover in every part of the painting")</f>
        <v>There is something new to discover in every part of the painting</v>
      </c>
    </row>
    <row r="397" spans="1:3" ht="15.75" customHeight="1" x14ac:dyDescent="0.25">
      <c r="A397" s="2" t="s">
        <v>399</v>
      </c>
      <c r="B397" s="3" t="s">
        <v>6</v>
      </c>
      <c r="C397" s="2" t="str">
        <f ca="1">IFERROR(__xludf.DUMMYFUNCTION("GOOGLETRANSLATE(A397,""bn"",""en"")"),"The leak caused chaos everywhere")</f>
        <v>The leak caused chaos everywhere</v>
      </c>
    </row>
    <row r="398" spans="1:3" ht="15.75" customHeight="1" x14ac:dyDescent="0.25">
      <c r="A398" s="2" t="s">
        <v>400</v>
      </c>
      <c r="B398" s="3" t="s">
        <v>2</v>
      </c>
      <c r="C398" s="2" t="str">
        <f ca="1">IFERROR(__xludf.DUMMYFUNCTION("GOOGLETRANSLATE(A398,""bn"",""en"")"),"The fabric is fine but the color is faded")</f>
        <v>The fabric is fine but the color is faded</v>
      </c>
    </row>
    <row r="399" spans="1:3" ht="15.75" customHeight="1" x14ac:dyDescent="0.25">
      <c r="A399" s="2" t="s">
        <v>401</v>
      </c>
      <c r="B399" s="3" t="s">
        <v>4</v>
      </c>
      <c r="C399" s="2" t="str">
        <f ca="1">IFERROR(__xludf.DUMMYFUNCTION("GOOGLETRANSLATE(A399,""bn"",""en"")"),"The sound system is perfect for the room")</f>
        <v>The sound system is perfect for the room</v>
      </c>
    </row>
    <row r="400" spans="1:3" ht="15.75" customHeight="1" x14ac:dyDescent="0.25">
      <c r="A400" s="2" t="s">
        <v>402</v>
      </c>
      <c r="B400" s="3" t="s">
        <v>6</v>
      </c>
      <c r="C400" s="2" t="str">
        <f ca="1">IFERROR(__xludf.DUMMYFUNCTION("GOOGLETRANSLATE(A400,""bn"",""en"")"),"The memory card promised high quality recording but I experienced frequent data corruption issues ")</f>
        <v xml:space="preserve">The memory card promised high quality recording but I experienced frequent data corruption issues </v>
      </c>
    </row>
    <row r="401" spans="1:3" ht="15.75" customHeight="1" x14ac:dyDescent="0.25">
      <c r="A401" s="2" t="s">
        <v>403</v>
      </c>
      <c r="B401" s="3" t="s">
        <v>6</v>
      </c>
      <c r="C401" s="2" t="str">
        <f ca="1">IFERROR(__xludf.DUMMYFUNCTION("GOOGLETRANSLATE(A401,""bn"",""en"")"),"Overpriced for the lack of quality provided")</f>
        <v>Overpriced for the lack of quality provided</v>
      </c>
    </row>
    <row r="402" spans="1:3" ht="15.75" customHeight="1" x14ac:dyDescent="0.25">
      <c r="A402" s="2" t="s">
        <v>404</v>
      </c>
      <c r="B402" s="3" t="s">
        <v>4</v>
      </c>
      <c r="C402" s="2" t="str">
        <f ca="1">IFERROR(__xludf.DUMMYFUNCTION("GOOGLETRANSLATE(A402,""bn"",""en"")"),"Many books are available in the school library")</f>
        <v>Many books are available in the school library</v>
      </c>
    </row>
    <row r="403" spans="1:3" ht="15.75" customHeight="1" x14ac:dyDescent="0.25">
      <c r="A403" s="2" t="s">
        <v>405</v>
      </c>
      <c r="B403" s="3" t="s">
        <v>2</v>
      </c>
      <c r="C403" s="2" t="str">
        <f ca="1">IFERROR(__xludf.DUMMYFUNCTION("GOOGLETRANSLATE(A403,""bn"",""en"")"),"The product can be used to save time")</f>
        <v>The product can be used to save time</v>
      </c>
    </row>
    <row r="404" spans="1:3" ht="15.75" customHeight="1" x14ac:dyDescent="0.25">
      <c r="A404" s="2" t="s">
        <v>406</v>
      </c>
      <c r="B404" s="3" t="s">
        <v>4</v>
      </c>
      <c r="C404" s="2" t="str">
        <f ca="1">IFERROR(__xludf.DUMMYFUNCTION("GOOGLETRANSLATE(A404,""bn"",""en"")"),"The filling material of the pillow is of high quality, it retains its shape but at the same time is comfortably soft")</f>
        <v>The filling material of the pillow is of high quality, it retains its shape but at the same time is comfortably soft</v>
      </c>
    </row>
    <row r="405" spans="1:3" ht="15.75" customHeight="1" x14ac:dyDescent="0.25">
      <c r="A405" s="2" t="s">
        <v>407</v>
      </c>
      <c r="B405" s="3" t="s">
        <v>2</v>
      </c>
      <c r="C405" s="2" t="str">
        <f ca="1">IFERROR(__xludf.DUMMYFUNCTION("GOOGLETRANSLATE(A405,""bn"",""en"")"),"Quality is good but not exceptional")</f>
        <v>Quality is good but not exceptional</v>
      </c>
    </row>
    <row r="406" spans="1:3" ht="15.75" customHeight="1" x14ac:dyDescent="0.25">
      <c r="A406" s="2" t="s">
        <v>408</v>
      </c>
      <c r="B406" s="3" t="s">
        <v>4</v>
      </c>
      <c r="C406" s="2" t="str">
        <f ca="1">IFERROR(__xludf.DUMMYFUNCTION("GOOGLETRANSLATE(A406,""bn"",""en"")"),"Amazing audio quality and active noise cancellation")</f>
        <v>Amazing audio quality and active noise cancellation</v>
      </c>
    </row>
    <row r="407" spans="1:3" ht="15.75" customHeight="1" x14ac:dyDescent="0.25">
      <c r="A407" s="2" t="s">
        <v>409</v>
      </c>
      <c r="B407" s="3" t="s">
        <v>6</v>
      </c>
      <c r="C407" s="2" t="str">
        <f ca="1">IFERROR(__xludf.DUMMYFUNCTION("GOOGLETRANSLATE(A407,""bn"",""en"")"),"A garment has no shape like a shapeless sack")</f>
        <v>A garment has no shape like a shapeless sack</v>
      </c>
    </row>
    <row r="408" spans="1:3" ht="15.75" customHeight="1" x14ac:dyDescent="0.25">
      <c r="A408" s="2" t="s">
        <v>410</v>
      </c>
      <c r="B408" s="3" t="s">
        <v>4</v>
      </c>
      <c r="C408" s="2" t="str">
        <f ca="1">IFERROR(__xludf.DUMMYFUNCTION("GOOGLETRANSLATE(A408,""bn"",""en"")"),"They are working well and are really good ")</f>
        <v xml:space="preserve">They are working well and are really good </v>
      </c>
    </row>
    <row r="409" spans="1:3" ht="15.75" customHeight="1" x14ac:dyDescent="0.25">
      <c r="A409" s="2" t="s">
        <v>411</v>
      </c>
      <c r="B409" s="3" t="s">
        <v>4</v>
      </c>
      <c r="C409" s="2" t="str">
        <f ca="1">IFERROR(__xludf.DUMMYFUNCTION("GOOGLETRANSLATE(A409,""bn"",""en"")"),"The story of the book was deep")</f>
        <v>The story of the book was deep</v>
      </c>
    </row>
    <row r="410" spans="1:3" ht="15.75" customHeight="1" x14ac:dyDescent="0.25">
      <c r="A410" s="2" t="s">
        <v>412</v>
      </c>
      <c r="B410" s="3" t="s">
        <v>4</v>
      </c>
      <c r="C410" s="2" t="str">
        <f ca="1">IFERROR(__xludf.DUMMYFUNCTION("GOOGLETRANSLATE(A410,""bn"",""en"")"),"The fan is a very popular and established product")</f>
        <v>The fan is a very popular and established product</v>
      </c>
    </row>
    <row r="411" spans="1:3" ht="15.75" customHeight="1" x14ac:dyDescent="0.25">
      <c r="A411" s="2" t="s">
        <v>413</v>
      </c>
      <c r="B411" s="3" t="s">
        <v>2</v>
      </c>
      <c r="C411" s="2" t="str">
        <f ca="1">IFERROR(__xludf.DUMMYFUNCTION("GOOGLETRANSLATE(A411,""bn"",""en"")"),"Usable but did not meet my expectations")</f>
        <v>Usable but did not meet my expectations</v>
      </c>
    </row>
    <row r="412" spans="1:3" ht="15.75" customHeight="1" x14ac:dyDescent="0.25">
      <c r="A412" s="2" t="s">
        <v>414</v>
      </c>
      <c r="B412" s="3" t="s">
        <v>6</v>
      </c>
      <c r="C412" s="2" t="str">
        <f ca="1">IFERROR(__xludf.DUMMYFUNCTION("GOOGLETRANSLATE(A412,""bn"",""en"")"),"The bath bomb dye stained the tub which required vigorous scrubbing to remove")</f>
        <v>The bath bomb dye stained the tub which required vigorous scrubbing to remove</v>
      </c>
    </row>
    <row r="413" spans="1:3" ht="15.75" customHeight="1" x14ac:dyDescent="0.25">
      <c r="A413" s="2" t="s">
        <v>415</v>
      </c>
      <c r="B413" s="3" t="s">
        <v>6</v>
      </c>
      <c r="C413" s="2" t="str">
        <f ca="1">IFERROR(__xludf.DUMMYFUNCTION("GOOGLETRANSLATE(A413,""bn"",""en"")"),"The innovative kitchen tool claims to revolutionize cooking but falls short due to its flimsy construction and lackluster results.")</f>
        <v>The innovative kitchen tool claims to revolutionize cooking but falls short due to its flimsy construction and lackluster results.</v>
      </c>
    </row>
    <row r="414" spans="1:3" ht="15.75" customHeight="1" x14ac:dyDescent="0.25">
      <c r="A414" s="2" t="s">
        <v>416</v>
      </c>
      <c r="B414" s="3" t="s">
        <v>2</v>
      </c>
      <c r="C414" s="2" t="str">
        <f ca="1">IFERROR(__xludf.DUMMYFUNCTION("GOOGLETRANSLATE(A414,""bn"",""en"")"),"Soil quality has improved slightly but no significant change has been observed")</f>
        <v>Soil quality has improved slightly but no significant change has been observed</v>
      </c>
    </row>
    <row r="415" spans="1:3" ht="15.75" customHeight="1" x14ac:dyDescent="0.25">
      <c r="A415" s="2" t="s">
        <v>417</v>
      </c>
      <c r="B415" s="3" t="s">
        <v>2</v>
      </c>
      <c r="C415" s="2" t="str">
        <f ca="1">IFERROR(__xludf.DUMMYFUNCTION("GOOGLETRANSLATE(A415,""bn"",""en"")"),"The packaging is a bit difficult to open")</f>
        <v>The packaging is a bit difficult to open</v>
      </c>
    </row>
    <row r="416" spans="1:3" ht="15.75" customHeight="1" x14ac:dyDescent="0.25">
      <c r="A416" s="2" t="s">
        <v>418</v>
      </c>
      <c r="B416" s="3" t="s">
        <v>2</v>
      </c>
      <c r="C416" s="2" t="str">
        <f ca="1">IFERROR(__xludf.DUMMYFUNCTION("GOOGLETRANSLATE(A416,""bn"",""en"")"),"Colors are simple and more attractive options are possible")</f>
        <v>Colors are simple and more attractive options are possible</v>
      </c>
    </row>
    <row r="417" spans="1:3" ht="15.75" customHeight="1" x14ac:dyDescent="0.25">
      <c r="A417" s="2" t="s">
        <v>419</v>
      </c>
      <c r="B417" s="3" t="s">
        <v>4</v>
      </c>
      <c r="C417" s="2" t="str">
        <f ca="1">IFERROR(__xludf.DUMMYFUNCTION("GOOGLETRANSLATE(A417,""bn"",""en"")"),"The fit of the dress is excellent")</f>
        <v>The fit of the dress is excellent</v>
      </c>
    </row>
    <row r="418" spans="1:3" ht="15.75" customHeight="1" x14ac:dyDescent="0.25">
      <c r="A418" s="2" t="s">
        <v>420</v>
      </c>
      <c r="B418" s="3" t="s">
        <v>4</v>
      </c>
      <c r="C418" s="2" t="str">
        <f ca="1">IFERROR(__xludf.DUMMYFUNCTION("GOOGLETRANSLATE(A418,""bn"",""en"")"),"PD offers super fast charging Galaxy S Ultra")</f>
        <v>PD offers super fast charging Galaxy S Ultra</v>
      </c>
    </row>
    <row r="419" spans="1:3" ht="15.75" customHeight="1" x14ac:dyDescent="0.25">
      <c r="A419" s="2" t="s">
        <v>421</v>
      </c>
      <c r="B419" s="3" t="s">
        <v>4</v>
      </c>
      <c r="C419" s="2" t="str">
        <f ca="1">IFERROR(__xludf.DUMMYFUNCTION("GOOGLETRANSLATE(A419,""bn"",""en"")"),"Very impressive fitness tracker")</f>
        <v>Very impressive fitness tracker</v>
      </c>
    </row>
    <row r="420" spans="1:3" ht="15.75" customHeight="1" x14ac:dyDescent="0.25">
      <c r="A420" s="2" t="s">
        <v>422</v>
      </c>
      <c r="B420" s="3" t="s">
        <v>4</v>
      </c>
      <c r="C420" s="2" t="str">
        <f ca="1">IFERROR(__xludf.DUMMYFUNCTION("GOOGLETRANSLATE(A420,""bn"",""en"")"),"Covers fit easily on car seats")</f>
        <v>Covers fit easily on car seats</v>
      </c>
    </row>
    <row r="421" spans="1:3" ht="15.75" customHeight="1" x14ac:dyDescent="0.25">
      <c r="A421" s="2" t="s">
        <v>423</v>
      </c>
      <c r="B421" s="3" t="s">
        <v>4</v>
      </c>
      <c r="C421" s="2" t="str">
        <f ca="1">IFERROR(__xludf.DUMMYFUNCTION("GOOGLETRANSLATE(A421,""bn"",""en"")"),"The quality of the dinner set is exceptional, each utensil is strong and durable but at the same time light and easy to use")</f>
        <v>The quality of the dinner set is exceptional, each utensil is strong and durable but at the same time light and easy to use</v>
      </c>
    </row>
    <row r="422" spans="1:3" ht="15.75" customHeight="1" x14ac:dyDescent="0.25">
      <c r="A422" s="2" t="s">
        <v>424</v>
      </c>
      <c r="B422" s="3" t="s">
        <v>2</v>
      </c>
      <c r="C422" s="2" t="str">
        <f ca="1">IFERROR(__xludf.DUMMYFUNCTION("GOOGLETRANSLATE(A422,""bn"",""en"")"),"A little thick for pen writing")</f>
        <v>A little thick for pen writing</v>
      </c>
    </row>
    <row r="423" spans="1:3" ht="15.75" customHeight="1" x14ac:dyDescent="0.25">
      <c r="A423" s="2" t="s">
        <v>425</v>
      </c>
      <c r="B423" s="3" t="s">
        <v>6</v>
      </c>
      <c r="C423" s="2" t="str">
        <f ca="1">IFERROR(__xludf.DUMMYFUNCTION("GOOGLETRANSLATE(A423,""bn"",""en"")"),"Concerned about the possibility of tampering or contamination due to lack of seals")</f>
        <v>Concerned about the possibility of tampering or contamination due to lack of seals</v>
      </c>
    </row>
    <row r="424" spans="1:3" ht="15.75" customHeight="1" x14ac:dyDescent="0.25">
      <c r="A424" s="2" t="s">
        <v>426</v>
      </c>
      <c r="B424" s="3" t="s">
        <v>4</v>
      </c>
      <c r="C424" s="2" t="str">
        <f ca="1">IFERROR(__xludf.DUMMYFUNCTION("GOOGLETRANSLATE(A424,""bn"",""en"")"),"It's not too sweet which I like")</f>
        <v>It's not too sweet which I like</v>
      </c>
    </row>
    <row r="425" spans="1:3" ht="15.75" customHeight="1" x14ac:dyDescent="0.25">
      <c r="A425" s="2" t="s">
        <v>427</v>
      </c>
      <c r="B425" s="3" t="s">
        <v>6</v>
      </c>
      <c r="C425" s="2" t="str">
        <f ca="1">IFERROR(__xludf.DUMMYFUNCTION("GOOGLETRANSLATE(A425,""bn"",""en"")")," The soundstage is narrow and lacks depth resulting in a cramped and uninspiring listening experience")</f>
        <v xml:space="preserve"> The soundstage is narrow and lacks depth resulting in a cramped and uninspiring listening experience</v>
      </c>
    </row>
    <row r="426" spans="1:3" ht="15.75" customHeight="1" x14ac:dyDescent="0.25">
      <c r="A426" s="2" t="s">
        <v>428</v>
      </c>
      <c r="B426" s="3" t="s">
        <v>2</v>
      </c>
      <c r="C426" s="2" t="str">
        <f ca="1">IFERROR(__xludf.DUMMYFUNCTION("GOOGLETRANSLATE(A426,""bn"",""en"")"),"Hence price effectiveness may be limited")</f>
        <v>Hence price effectiveness may be limited</v>
      </c>
    </row>
    <row r="427" spans="1:3" ht="15.75" customHeight="1" x14ac:dyDescent="0.25">
      <c r="A427" s="2" t="s">
        <v>429</v>
      </c>
      <c r="B427" s="3" t="s">
        <v>2</v>
      </c>
      <c r="C427" s="2" t="str">
        <f ca="1">IFERROR(__xludf.DUMMYFUNCTION("GOOGLETRANSLATE(A427,""bn"",""en"")"),"Slight discomfort on first use")</f>
        <v>Slight discomfort on first use</v>
      </c>
    </row>
    <row r="428" spans="1:3" ht="15.75" customHeight="1" x14ac:dyDescent="0.25">
      <c r="A428" s="2" t="s">
        <v>430</v>
      </c>
      <c r="B428" s="3" t="s">
        <v>4</v>
      </c>
      <c r="C428" s="2" t="str">
        <f ca="1">IFERROR(__xludf.DUMMYFUNCTION("GOOGLETRANSLATE(A428,""bn"",""en"")"),"Ideal for daily use")</f>
        <v>Ideal for daily use</v>
      </c>
    </row>
    <row r="429" spans="1:3" ht="15.75" customHeight="1" x14ac:dyDescent="0.25">
      <c r="A429" s="2" t="s">
        <v>431</v>
      </c>
      <c r="B429" s="3" t="s">
        <v>2</v>
      </c>
      <c r="C429" s="2" t="str">
        <f ca="1">IFERROR(__xludf.DUMMYFUNCTION("GOOGLETRANSLATE(A429,""bn"",""en"")"),"Plant health is somewhat good but yield was not as expected")</f>
        <v>Plant health is somewhat good but yield was not as expected</v>
      </c>
    </row>
    <row r="430" spans="1:3" ht="15.75" customHeight="1" x14ac:dyDescent="0.25">
      <c r="A430" s="2" t="s">
        <v>432</v>
      </c>
      <c r="B430" s="3" t="s">
        <v>6</v>
      </c>
      <c r="C430" s="2" t="str">
        <f ca="1">IFERROR(__xludf.DUMMYFUNCTION("GOOGLETRANSLATE(A430,""bn"",""en"")"),"Laptop batteries drain quickly even with minimal use making it inconvenient for long-term use")</f>
        <v>Laptop batteries drain quickly even with minimal use making it inconvenient for long-term use</v>
      </c>
    </row>
    <row r="431" spans="1:3" ht="15.75" customHeight="1" x14ac:dyDescent="0.25">
      <c r="A431" s="2" t="s">
        <v>433</v>
      </c>
      <c r="B431" s="3" t="s">
        <v>4</v>
      </c>
      <c r="C431" s="2" t="str">
        <f ca="1">IFERROR(__xludf.DUMMYFUNCTION("GOOGLETRANSLATE(A431,""bn"",""en"")"),"The product exceeded my expectations")</f>
        <v>The product exceeded my expectations</v>
      </c>
    </row>
    <row r="432" spans="1:3" ht="15.75" customHeight="1" x14ac:dyDescent="0.25">
      <c r="A432" s="2" t="s">
        <v>434</v>
      </c>
      <c r="B432" s="3" t="s">
        <v>4</v>
      </c>
      <c r="C432" s="2" t="str">
        <f ca="1">IFERROR(__xludf.DUMMYFUNCTION("GOOGLETRANSLATE(A432,""bn"",""en"")"),"Pretty big size that covers me completely")</f>
        <v>Pretty big size that covers me completely</v>
      </c>
    </row>
    <row r="433" spans="1:3" ht="15.75" customHeight="1" x14ac:dyDescent="0.25">
      <c r="A433" s="2" t="s">
        <v>435</v>
      </c>
      <c r="B433" s="3" t="s">
        <v>4</v>
      </c>
      <c r="C433" s="2" t="str">
        <f ca="1">IFERROR(__xludf.DUMMYFUNCTION("GOOGLETRANSLATE(A433,""bn"",""en"")"),"Shurak shelves are easy to clean")</f>
        <v>Shurak shelves are easy to clean</v>
      </c>
    </row>
    <row r="434" spans="1:3" ht="15.75" customHeight="1" x14ac:dyDescent="0.25">
      <c r="A434" s="2" t="s">
        <v>436</v>
      </c>
      <c r="B434" s="3" t="s">
        <v>6</v>
      </c>
      <c r="C434" s="2" t="str">
        <f ca="1">IFERROR(__xludf.DUMMYFUNCTION("GOOGLETRANSLATE(A434,""bn"",""en"")"),"Paint peels easily exposing the bare wood underneath and requires frequent touchups")</f>
        <v>Paint peels easily exposing the bare wood underneath and requires frequent touchups</v>
      </c>
    </row>
    <row r="435" spans="1:3" ht="15.75" customHeight="1" x14ac:dyDescent="0.25">
      <c r="A435" s="2" t="s">
        <v>437</v>
      </c>
      <c r="B435" s="3" t="s">
        <v>2</v>
      </c>
      <c r="C435" s="2" t="str">
        <f ca="1">IFERROR(__xludf.DUMMYFUNCTION("GOOGLETRANSLATE(A435,""bn"",""en"")"),"Arrived on time but slightly damaged")</f>
        <v>Arrived on time but slightly damaged</v>
      </c>
    </row>
    <row r="436" spans="1:3" ht="15.75" customHeight="1" x14ac:dyDescent="0.25">
      <c r="A436" s="2" t="s">
        <v>438</v>
      </c>
      <c r="B436" s="3" t="s">
        <v>6</v>
      </c>
      <c r="C436" s="2" t="str">
        <f ca="1">IFERROR(__xludf.DUMMYFUNCTION("GOOGLETRANSLATE(A436,""bn"",""en"")"),"  The material used for felt is cheap and tears easily")</f>
        <v xml:space="preserve">  The material used for felt is cheap and tears easily</v>
      </c>
    </row>
    <row r="437" spans="1:3" ht="15.75" customHeight="1" x14ac:dyDescent="0.25">
      <c r="A437" s="2" t="s">
        <v>439</v>
      </c>
      <c r="B437" s="3" t="s">
        <v>4</v>
      </c>
      <c r="C437" s="2" t="str">
        <f ca="1">IFERROR(__xludf.DUMMYFUNCTION("GOOGLETRANSLATE(A437,""bn"",""en"")"),"Expert reviews are positive")</f>
        <v>Expert reviews are positive</v>
      </c>
    </row>
    <row r="438" spans="1:3" ht="15.75" customHeight="1" x14ac:dyDescent="0.25">
      <c r="A438" s="2" t="s">
        <v>440</v>
      </c>
      <c r="B438" s="3" t="s">
        <v>6</v>
      </c>
      <c r="C438" s="2" t="str">
        <f ca="1">IFERROR(__xludf.DUMMYFUNCTION("GOOGLETRANSLATE(A438,""bn"",""en"")"),"Holes within weeks of unacceptable wear")</f>
        <v>Holes within weeks of unacceptable wear</v>
      </c>
    </row>
    <row r="439" spans="1:3" ht="15.75" customHeight="1" x14ac:dyDescent="0.25">
      <c r="A439" s="2" t="s">
        <v>441</v>
      </c>
      <c r="B439" s="3" t="s">
        <v>6</v>
      </c>
      <c r="C439" s="2" t="str">
        <f ca="1">IFERROR(__xludf.DUMMYFUNCTION("GOOGLETRANSLATE(A439,""bn"",""en"")"),"Toys were too small to be easily lost or swallowed")</f>
        <v>Toys were too small to be easily lost or swallowed</v>
      </c>
    </row>
    <row r="440" spans="1:3" ht="15.75" customHeight="1" x14ac:dyDescent="0.25">
      <c r="A440" s="2" t="s">
        <v>442</v>
      </c>
      <c r="B440" s="3" t="s">
        <v>6</v>
      </c>
      <c r="C440" s="2" t="str">
        <f ca="1">IFERROR(__xludf.DUMMYFUNCTION("GOOGLETRANSLATE(A440,""bn"",""en"")"),"The styling gel dried out my hair leaving it brittle and prone to breakage")</f>
        <v>The styling gel dried out my hair leaving it brittle and prone to breakage</v>
      </c>
    </row>
    <row r="441" spans="1:3" ht="15.75" customHeight="1" x14ac:dyDescent="0.25">
      <c r="A441" s="2" t="s">
        <v>443</v>
      </c>
      <c r="B441" s="3" t="s">
        <v>4</v>
      </c>
      <c r="C441" s="2" t="str">
        <f ca="1">IFERROR(__xludf.DUMMYFUNCTION("GOOGLETRANSLATE(A441,""bn"",""en"")"),"The mosquito net is strong and long lasting")</f>
        <v>The mosquito net is strong and long lasting</v>
      </c>
    </row>
    <row r="442" spans="1:3" ht="15.75" customHeight="1" x14ac:dyDescent="0.25">
      <c r="A442" s="2" t="s">
        <v>444</v>
      </c>
      <c r="B442" s="3" t="s">
        <v>4</v>
      </c>
      <c r="C442" s="2" t="str">
        <f ca="1">IFERROR(__xludf.DUMMYFUNCTION("GOOGLETRANSLATE(A442,""bn"",""en"")"),"The surface of the glass is perfectly clean and shiny")</f>
        <v>The surface of the glass is perfectly clean and shiny</v>
      </c>
    </row>
    <row r="443" spans="1:3" ht="15.75" customHeight="1" x14ac:dyDescent="0.25">
      <c r="A443" s="2" t="s">
        <v>445</v>
      </c>
      <c r="B443" s="3" t="s">
        <v>2</v>
      </c>
      <c r="C443" s="2" t="str">
        <f ca="1">IFERROR(__xludf.DUMMYFUNCTION("GOOGLETRANSLATE(A443,""bn"",""en"")"),"Easy set up is somewhat mediocre")</f>
        <v>Easy set up is somewhat mediocre</v>
      </c>
    </row>
    <row r="444" spans="1:3" ht="15.75" customHeight="1" x14ac:dyDescent="0.25">
      <c r="A444" s="2" t="s">
        <v>446</v>
      </c>
      <c r="B444" s="3" t="s">
        <v>4</v>
      </c>
      <c r="C444" s="2" t="str">
        <f ca="1">IFERROR(__xludf.DUMMYFUNCTION("GOOGLETRANSLATE(A444,""bn"",""en"")"),"Family favorite")</f>
        <v>Family favorite</v>
      </c>
    </row>
    <row r="445" spans="1:3" ht="15.75" customHeight="1" x14ac:dyDescent="0.25">
      <c r="A445" s="2" t="s">
        <v>447</v>
      </c>
      <c r="B445" s="3" t="s">
        <v>2</v>
      </c>
      <c r="C445" s="2" t="str">
        <f ca="1">IFERROR(__xludf.DUMMYFUNCTION("GOOGLETRANSLATE(A445,""bn"",""en"")"),"The electronic nose clip reduces snoring even though it may feel uncomfortable")</f>
        <v>The electronic nose clip reduces snoring even though it may feel uncomfortable</v>
      </c>
    </row>
    <row r="446" spans="1:3" ht="15.75" customHeight="1" x14ac:dyDescent="0.25">
      <c r="A446" s="2" t="s">
        <v>448</v>
      </c>
      <c r="B446" s="3" t="s">
        <v>4</v>
      </c>
      <c r="C446" s="2" t="str">
        <f ca="1">IFERROR(__xludf.DUMMYFUNCTION("GOOGLETRANSLATE(A446,""bn"",""en"")"),"Got the q version works great ")</f>
        <v xml:space="preserve">Got the q version works great </v>
      </c>
    </row>
    <row r="447" spans="1:3" ht="15.75" customHeight="1" x14ac:dyDescent="0.25">
      <c r="A447" s="2" t="s">
        <v>449</v>
      </c>
      <c r="B447" s="3" t="s">
        <v>6</v>
      </c>
      <c r="C447" s="2" t="str">
        <f ca="1">IFERROR(__xludf.DUMMYFUNCTION("GOOGLETRANSLATE(A447,""bn"",""en"")"),"The grind was too coarse for my liking resulting in weak coffee")</f>
        <v>The grind was too coarse for my liking resulting in weak coffee</v>
      </c>
    </row>
    <row r="448" spans="1:3" ht="15.75" customHeight="1" x14ac:dyDescent="0.25">
      <c r="A448" s="2" t="s">
        <v>450</v>
      </c>
      <c r="B448" s="3" t="s">
        <v>4</v>
      </c>
      <c r="C448" s="2" t="str">
        <f ca="1">IFERROR(__xludf.DUMMYFUNCTION("GOOGLETRANSLATE(A448,""bn"",""en"")"),"Received very quickly and at a very low price")</f>
        <v>Received very quickly and at a very low price</v>
      </c>
    </row>
    <row r="449" spans="1:3" ht="15.75" customHeight="1" x14ac:dyDescent="0.25">
      <c r="A449" s="2" t="s">
        <v>451</v>
      </c>
      <c r="B449" s="3" t="s">
        <v>6</v>
      </c>
      <c r="C449" s="2" t="str">
        <f ca="1">IFERROR(__xludf.DUMMYFUNCTION("GOOGLETRANSLATE(A449,""bn"",""en"")"),"Paint colors on the palette dry quickly")</f>
        <v>Paint colors on the palette dry quickly</v>
      </c>
    </row>
    <row r="450" spans="1:3" ht="15.75" customHeight="1" x14ac:dyDescent="0.25">
      <c r="A450" s="2" t="s">
        <v>452</v>
      </c>
      <c r="B450" s="3" t="s">
        <v>6</v>
      </c>
      <c r="C450" s="2" t="str">
        <f ca="1">IFERROR(__xludf.DUMMYFUNCTION("GOOGLETRANSLATE(A450,""bn"",""en"")"),"Thin lips make drinking uncomfortable")</f>
        <v>Thin lips make drinking uncomfortable</v>
      </c>
    </row>
    <row r="451" spans="1:3" ht="15.75" customHeight="1" x14ac:dyDescent="0.25">
      <c r="A451" s="2" t="s">
        <v>453</v>
      </c>
      <c r="B451" s="3" t="s">
        <v>4</v>
      </c>
      <c r="C451" s="2" t="str">
        <f ca="1">IFERROR(__xludf.DUMMYFUNCTION("GOOGLETRANSLATE(A451,""bn"",""en"")"),"The description of each scene was very vivid")</f>
        <v>The description of each scene was very vivid</v>
      </c>
    </row>
    <row r="452" spans="1:3" ht="15.75" customHeight="1" x14ac:dyDescent="0.25">
      <c r="A452" s="2" t="s">
        <v>454</v>
      </c>
      <c r="B452" s="3" t="s">
        <v>4</v>
      </c>
      <c r="C452" s="2" t="str">
        <f ca="1">IFERROR(__xludf.DUMMYFUNCTION("GOOGLETRANSLATE(A452,""bn"",""en"")"),"I recommend everyone to eat it")</f>
        <v>I recommend everyone to eat it</v>
      </c>
    </row>
    <row r="453" spans="1:3" ht="15.75" customHeight="1" x14ac:dyDescent="0.25">
      <c r="A453" s="2" t="s">
        <v>455</v>
      </c>
      <c r="B453" s="3" t="s">
        <v>2</v>
      </c>
      <c r="C453" s="2" t="str">
        <f ca="1">IFERROR(__xludf.DUMMYFUNCTION("GOOGLETRANSLATE(A453,""bn"",""en"")"),"Doesn't work that well but looks nice")</f>
        <v>Doesn't work that well but looks nice</v>
      </c>
    </row>
    <row r="454" spans="1:3" ht="15.75" customHeight="1" x14ac:dyDescent="0.25">
      <c r="A454" s="2" t="s">
        <v>456</v>
      </c>
      <c r="B454" s="3" t="s">
        <v>4</v>
      </c>
      <c r="C454" s="2" t="str">
        <f ca="1">IFERROR(__xludf.DUMMYFUNCTION("GOOGLETRANSLATE(A454,""bn"",""en"")"),"Its design is very beautiful and modern")</f>
        <v>Its design is very beautiful and modern</v>
      </c>
    </row>
    <row r="455" spans="1:3" ht="15.75" customHeight="1" x14ac:dyDescent="0.25">
      <c r="A455" s="2" t="s">
        <v>457</v>
      </c>
      <c r="B455" s="3" t="s">
        <v>4</v>
      </c>
      <c r="C455" s="2" t="str">
        <f ca="1">IFERROR(__xludf.DUMMYFUNCTION("GOOGLETRANSLATE(A455,""bn"",""en"")"),"It feels so good to use it every morning")</f>
        <v>It feels so good to use it every morning</v>
      </c>
    </row>
    <row r="456" spans="1:3" ht="15.75" customHeight="1" x14ac:dyDescent="0.25">
      <c r="A456" s="2" t="s">
        <v>458</v>
      </c>
      <c r="B456" s="3" t="s">
        <v>4</v>
      </c>
      <c r="C456" s="2" t="str">
        <f ca="1">IFERROR(__xludf.DUMMYFUNCTION("GOOGLETRANSLATE(A456,""bn"",""en"")"),"The new laptop is great for work")</f>
        <v>The new laptop is great for work</v>
      </c>
    </row>
    <row r="457" spans="1:3" ht="15.75" customHeight="1" x14ac:dyDescent="0.25">
      <c r="A457" s="2" t="s">
        <v>459</v>
      </c>
      <c r="B457" s="3" t="s">
        <v>4</v>
      </c>
      <c r="C457" s="2" t="str">
        <f ca="1">IFERROR(__xludf.DUMMYFUNCTION("GOOGLETRANSLATE(A457,""bn"",""en"")"),"The sound quality is great they are super comfortable and the mic works perfectly")</f>
        <v>The sound quality is great they are super comfortable and the mic works perfectly</v>
      </c>
    </row>
    <row r="458" spans="1:3" ht="15.75" customHeight="1" x14ac:dyDescent="0.25">
      <c r="A458" s="2" t="s">
        <v>460</v>
      </c>
      <c r="B458" s="3" t="s">
        <v>2</v>
      </c>
      <c r="C458" s="2" t="str">
        <f ca="1">IFERROR(__xludf.DUMMYFUNCTION("GOOGLETRANSLATE(A458,""bn"",""en"")"),"The price is quite low but the taste is a bit unusual")</f>
        <v>The price is quite low but the taste is a bit unusual</v>
      </c>
    </row>
    <row r="459" spans="1:3" ht="15.75" customHeight="1" x14ac:dyDescent="0.25">
      <c r="A459" s="2" t="s">
        <v>461</v>
      </c>
      <c r="B459" s="3" t="s">
        <v>4</v>
      </c>
      <c r="C459" s="2" t="str">
        <f ca="1">IFERROR(__xludf.DUMMYFUNCTION("GOOGLETRANSLATE(A459,""bn"",""en"")"),"Hair breakage is reduced by using the shampoo")</f>
        <v>Hair breakage is reduced by using the shampoo</v>
      </c>
    </row>
    <row r="460" spans="1:3" ht="15.75" customHeight="1" x14ac:dyDescent="0.25">
      <c r="A460" s="2" t="s">
        <v>462</v>
      </c>
      <c r="B460" s="3" t="s">
        <v>4</v>
      </c>
      <c r="C460" s="2" t="str">
        <f ca="1">IFERROR(__xludf.DUMMYFUNCTION("GOOGLETRANSLATE(A460,""bn"",""en"")"),"Essential travel companion")</f>
        <v>Essential travel companion</v>
      </c>
    </row>
    <row r="461" spans="1:3" ht="15.75" customHeight="1" x14ac:dyDescent="0.25">
      <c r="A461" s="2" t="s">
        <v>463</v>
      </c>
      <c r="B461" s="3" t="s">
        <v>2</v>
      </c>
      <c r="C461" s="2" t="str">
        <f ca="1">IFERROR(__xludf.DUMMYFUNCTION("GOOGLETRANSLATE(A461,""bn"",""en"")"),"Suitable for food storage but not airtight")</f>
        <v>Suitable for food storage but not airtight</v>
      </c>
    </row>
    <row r="462" spans="1:3" ht="15.75" customHeight="1" x14ac:dyDescent="0.25">
      <c r="A462" s="2" t="s">
        <v>464</v>
      </c>
      <c r="B462" s="3" t="s">
        <v>4</v>
      </c>
      <c r="C462" s="2" t="str">
        <f ca="1">IFERROR(__xludf.DUMMYFUNCTION("GOOGLETRANSLATE(A462,""bn"",""en"")"),"Each level of the shelf is suitable for keeping books of different sizes")</f>
        <v>Each level of the shelf is suitable for keeping books of different sizes</v>
      </c>
    </row>
    <row r="463" spans="1:3" ht="15.75" customHeight="1" x14ac:dyDescent="0.25">
      <c r="A463" s="2" t="s">
        <v>465</v>
      </c>
      <c r="B463" s="3" t="s">
        <v>6</v>
      </c>
      <c r="C463" s="2" t="str">
        <f ca="1">IFERROR(__xludf.DUMMYFUNCTION("GOOGLETRANSLATE(A463,""bn"",""en"")"),"Lip liner is very hard and requires excessive pressure which leads to discomfort and uneven lines")</f>
        <v>Lip liner is very hard and requires excessive pressure which leads to discomfort and uneven lines</v>
      </c>
    </row>
    <row r="464" spans="1:3" ht="15.75" customHeight="1" x14ac:dyDescent="0.25">
      <c r="A464" s="2" t="s">
        <v>466</v>
      </c>
      <c r="B464" s="3" t="s">
        <v>6</v>
      </c>
      <c r="C464" s="2" t="str">
        <f ca="1">IFERROR(__xludf.DUMMYFUNCTION("GOOGLETRANSLATE(A464,""bn"",""en"")"),"Hiking boot soles wore out quickly and lacked durability for rough terrain")</f>
        <v>Hiking boot soles wore out quickly and lacked durability for rough terrain</v>
      </c>
    </row>
    <row r="465" spans="1:3" ht="15.75" customHeight="1" x14ac:dyDescent="0.25">
      <c r="A465" s="2" t="s">
        <v>467</v>
      </c>
      <c r="B465" s="3" t="s">
        <v>4</v>
      </c>
      <c r="C465" s="2" t="str">
        <f ca="1">IFERROR(__xludf.DUMMYFUNCTION("GOOGLETRANSLATE(A465,""bn"",""en"")"),"Love taking selfies wearing these earrings")</f>
        <v>Love taking selfies wearing these earrings</v>
      </c>
    </row>
    <row r="466" spans="1:3" ht="15.75" customHeight="1" x14ac:dyDescent="0.25">
      <c r="A466" s="2" t="s">
        <v>468</v>
      </c>
      <c r="B466" s="3" t="s">
        <v>2</v>
      </c>
      <c r="C466" s="2" t="str">
        <f ca="1">IFERROR(__xludf.DUMMYFUNCTION("GOOGLETRANSLATE(A466,""bn"",""en"")"),"The look of the dress is nice but the finishing is not good")</f>
        <v>The look of the dress is nice but the finishing is not good</v>
      </c>
    </row>
    <row r="467" spans="1:3" ht="15.75" customHeight="1" x14ac:dyDescent="0.25">
      <c r="A467" s="2" t="s">
        <v>469</v>
      </c>
      <c r="B467" s="3" t="s">
        <v>4</v>
      </c>
      <c r="C467" s="2" t="str">
        <f ca="1">IFERROR(__xludf.DUMMYFUNCTION("GOOGLETRANSLATE(A467,""bn"",""en"")"),"The scent of the candle is absolutely mesmerizing")</f>
        <v>The scent of the candle is absolutely mesmerizing</v>
      </c>
    </row>
    <row r="468" spans="1:3" ht="15.75" customHeight="1" x14ac:dyDescent="0.25">
      <c r="A468" s="2" t="s">
        <v>470</v>
      </c>
      <c r="B468" s="3" t="s">
        <v>2</v>
      </c>
      <c r="C468" s="2" t="str">
        <f ca="1">IFERROR(__xludf.DUMMYFUNCTION("GOOGLETRANSLATE(A468,""bn"",""en"")"),"The design is passable but not outstanding")</f>
        <v>The design is passable but not outstanding</v>
      </c>
    </row>
    <row r="469" spans="1:3" ht="15.75" customHeight="1" x14ac:dyDescent="0.25">
      <c r="A469" s="2" t="s">
        <v>471</v>
      </c>
      <c r="B469" s="3" t="s">
        <v>6</v>
      </c>
      <c r="C469" s="2" t="str">
        <f ca="1">IFERROR(__xludf.DUMMYFUNCTION("GOOGLETRANSLATE(A469,""bn"",""en"")"),"The back panel is flimsy and prone to warping, compromising the stability of the entire structure")</f>
        <v>The back panel is flimsy and prone to warping, compromising the stability of the entire structure</v>
      </c>
    </row>
    <row r="470" spans="1:3" ht="15.75" customHeight="1" x14ac:dyDescent="0.25">
      <c r="A470" s="2" t="s">
        <v>472</v>
      </c>
      <c r="B470" s="3" t="s">
        <v>6</v>
      </c>
      <c r="C470" s="2" t="str">
        <f ca="1">IFERROR(__xludf.DUMMYFUNCTION("GOOGLETRANSLATE(A470,""bn"",""en"")"),"Quality is not so good")</f>
        <v>Quality is not so good</v>
      </c>
    </row>
    <row r="471" spans="1:3" ht="15.75" customHeight="1" x14ac:dyDescent="0.25">
      <c r="A471" s="2" t="s">
        <v>473</v>
      </c>
      <c r="B471" s="3" t="s">
        <v>2</v>
      </c>
      <c r="C471" s="2" t="str">
        <f ca="1">IFERROR(__xludf.DUMMYFUNCTION("GOOGLETRANSLATE(A471,""bn"",""en"")"),"The smart light bulb changes color but the app is complicated")</f>
        <v>The smart light bulb changes color but the app is complicated</v>
      </c>
    </row>
    <row r="472" spans="1:3" ht="15.75" customHeight="1" x14ac:dyDescent="0.25">
      <c r="A472" s="2" t="s">
        <v>474</v>
      </c>
      <c r="B472" s="3" t="s">
        <v>4</v>
      </c>
      <c r="C472" s="2" t="str">
        <f ca="1">IFERROR(__xludf.DUMMYFUNCTION("GOOGLETRANSLATE(A472,""bn"",""en"")"),"It displays very fast and efficient")</f>
        <v>It displays very fast and efficient</v>
      </c>
    </row>
    <row r="473" spans="1:3" ht="15.75" customHeight="1" x14ac:dyDescent="0.25">
      <c r="A473" s="2" t="s">
        <v>475</v>
      </c>
      <c r="B473" s="3" t="s">
        <v>6</v>
      </c>
      <c r="C473" s="2" t="str">
        <f ca="1">IFERROR(__xludf.DUMMYFUNCTION("GOOGLETRANSLATE(A473,""bn"",""en"")"),"Leavein conditioner makes my hair feel heavy and dull and lacks natural movement")</f>
        <v>Leavein conditioner makes my hair feel heavy and dull and lacks natural movement</v>
      </c>
    </row>
    <row r="474" spans="1:3" ht="15.75" customHeight="1" x14ac:dyDescent="0.25">
      <c r="A474" s="2" t="s">
        <v>476</v>
      </c>
      <c r="B474" s="3" t="s">
        <v>6</v>
      </c>
      <c r="C474" s="2" t="str">
        <f ca="1">IFERROR(__xludf.DUMMYFUNCTION("GOOGLETRANSLATE(A474,""bn"",""en"")"),"The smell of toys is toxic to children's health")</f>
        <v>The smell of toys is toxic to children's health</v>
      </c>
    </row>
    <row r="475" spans="1:3" ht="15.75" customHeight="1" x14ac:dyDescent="0.25">
      <c r="A475" s="2" t="s">
        <v>477</v>
      </c>
      <c r="B475" s="3" t="s">
        <v>6</v>
      </c>
      <c r="C475" s="2" t="str">
        <f ca="1">IFERROR(__xludf.DUMMYFUNCTION("GOOGLETRANSLATE(A475,""bn"",""en"")"),"The handle of the baby feeding spoon is too short making it difficult for the baby to feed comfortably")</f>
        <v>The handle of the baby feeding spoon is too short making it difficult for the baby to feed comfortably</v>
      </c>
    </row>
    <row r="476" spans="1:3" ht="15.75" customHeight="1" x14ac:dyDescent="0.25">
      <c r="A476" s="2" t="s">
        <v>478</v>
      </c>
      <c r="B476" s="3" t="s">
        <v>4</v>
      </c>
      <c r="C476" s="2" t="str">
        <f ca="1">IFERROR(__xludf.DUMMYFUNCTION("GOOGLETRANSLATE(A476,""bn"",""en"")"),"Charging speed is amazing")</f>
        <v>Charging speed is amazing</v>
      </c>
    </row>
    <row r="477" spans="1:3" ht="15.75" customHeight="1" x14ac:dyDescent="0.25">
      <c r="A477" s="2" t="s">
        <v>479</v>
      </c>
      <c r="B477" s="3" t="s">
        <v>6</v>
      </c>
      <c r="C477" s="2" t="str">
        <f ca="1">IFERROR(__xludf.DUMMYFUNCTION("GOOGLETRANSLATE(A477,""bn"",""en"")"),"The microwaveable lasagna had a mushy texture and lacked cheese and sauce")</f>
        <v>The microwaveable lasagna had a mushy texture and lacked cheese and sauce</v>
      </c>
    </row>
    <row r="478" spans="1:3" ht="15.75" customHeight="1" x14ac:dyDescent="0.25">
      <c r="A478" s="2" t="s">
        <v>480</v>
      </c>
      <c r="B478" s="3" t="s">
        <v>4</v>
      </c>
      <c r="C478" s="2" t="str">
        <f ca="1">IFERROR(__xludf.DUMMYFUNCTION("GOOGLETRANSLATE(A478,""bn"",""en"")"),"The flowers in my garden are blooming beautifully")</f>
        <v>The flowers in my garden are blooming beautifully</v>
      </c>
    </row>
    <row r="479" spans="1:3" ht="15.75" customHeight="1" x14ac:dyDescent="0.25">
      <c r="A479" s="2" t="s">
        <v>481</v>
      </c>
      <c r="B479" s="3" t="s">
        <v>6</v>
      </c>
      <c r="C479" s="2" t="str">
        <f ca="1">IFERROR(__xludf.DUMMYFUNCTION("GOOGLETRANSLATE(A479,""bn"",""en"")"),"After a few wears the seam started to separate")</f>
        <v>After a few wears the seam started to separate</v>
      </c>
    </row>
    <row r="480" spans="1:3" ht="15.75" customHeight="1" x14ac:dyDescent="0.25">
      <c r="A480" s="2" t="s">
        <v>482</v>
      </c>
      <c r="B480" s="3" t="s">
        <v>6</v>
      </c>
      <c r="C480" s="2" t="str">
        <f ca="1">IFERROR(__xludf.DUMMYFUNCTION("GOOGLETRANSLATE(A480,""bn"",""en"")"),"Limited color options fail to suit individual preferences")</f>
        <v>Limited color options fail to suit individual preferences</v>
      </c>
    </row>
    <row r="481" spans="1:3" ht="15.75" customHeight="1" x14ac:dyDescent="0.25">
      <c r="A481" s="2" t="s">
        <v>483</v>
      </c>
      <c r="B481" s="3" t="s">
        <v>4</v>
      </c>
      <c r="C481" s="2" t="str">
        <f ca="1">IFERROR(__xludf.DUMMYFUNCTION("GOOGLETRANSLATE(A481,""bn"",""en"")"),"Best Key Chain Airtag worked so well I bought a second one")</f>
        <v>Best Key Chain Airtag worked so well I bought a second one</v>
      </c>
    </row>
    <row r="482" spans="1:3" ht="15.75" customHeight="1" x14ac:dyDescent="0.25">
      <c r="A482" s="2" t="s">
        <v>484</v>
      </c>
      <c r="B482" s="3" t="s">
        <v>6</v>
      </c>
      <c r="C482" s="2" t="str">
        <f ca="1">IFERROR(__xludf.DUMMYFUNCTION("GOOGLETRANSLATE(A482,""bn"",""en"")"),"The eyeliner smudges and fades within hours of wear")</f>
        <v>The eyeliner smudges and fades within hours of wear</v>
      </c>
    </row>
    <row r="483" spans="1:3" ht="15.75" customHeight="1" x14ac:dyDescent="0.25">
      <c r="A483" s="2" t="s">
        <v>485</v>
      </c>
      <c r="B483" s="3" t="s">
        <v>4</v>
      </c>
      <c r="C483" s="2" t="str">
        <f ca="1">IFERROR(__xludf.DUMMYFUNCTION("GOOGLETRANSLATE(A483,""bn"",""en"")"),"The texture of the biscuits is also very good")</f>
        <v>The texture of the biscuits is also very good</v>
      </c>
    </row>
    <row r="484" spans="1:3" ht="15.75" customHeight="1" x14ac:dyDescent="0.25">
      <c r="A484" s="2" t="s">
        <v>486</v>
      </c>
      <c r="B484" s="3" t="s">
        <v>2</v>
      </c>
      <c r="C484" s="2" t="str">
        <f ca="1">IFERROR(__xludf.DUMMYFUNCTION("GOOGLETRANSLATE(A484,""bn"",""en"")"),"Gives a matte finish")</f>
        <v>Gives a matte finish</v>
      </c>
    </row>
    <row r="485" spans="1:3" ht="15.75" customHeight="1" x14ac:dyDescent="0.25">
      <c r="A485" s="2" t="s">
        <v>487</v>
      </c>
      <c r="B485" s="3" t="s">
        <v>6</v>
      </c>
      <c r="C485" s="2" t="str">
        <f ca="1">IFERROR(__xludf.DUMMYFUNCTION("GOOGLETRANSLATE(A485,""bn"",""en"")"),"The flavor was very weak even after brewing for an extended period of time")</f>
        <v>The flavor was very weak even after brewing for an extended period of time</v>
      </c>
    </row>
    <row r="486" spans="1:3" ht="15.75" customHeight="1" x14ac:dyDescent="0.25">
      <c r="A486" s="2" t="s">
        <v>488</v>
      </c>
      <c r="B486" s="3" t="s">
        <v>2</v>
      </c>
      <c r="C486" s="2" t="str">
        <f ca="1">IFERROR(__xludf.DUMMYFUNCTION("GOOGLETRANSLATE(A486,""bn"",""en"")"),"Rubber pencils show limited effectiveness in sharpening")</f>
        <v>Rubber pencils show limited effectiveness in sharpening</v>
      </c>
    </row>
    <row r="487" spans="1:3" ht="15.75" customHeight="1" x14ac:dyDescent="0.25">
      <c r="A487" s="2" t="s">
        <v>489</v>
      </c>
      <c r="B487" s="3" t="s">
        <v>6</v>
      </c>
      <c r="C487" s="2" t="str">
        <f ca="1">IFERROR(__xludf.DUMMYFUNCTION("GOOGLETRANSLATE(A487,""bn"",""en"")"),"Wearable fitness trackers give misleading readings")</f>
        <v>Wearable fitness trackers give misleading readings</v>
      </c>
    </row>
    <row r="488" spans="1:3" ht="15.75" customHeight="1" x14ac:dyDescent="0.25">
      <c r="A488" s="2" t="s">
        <v>490</v>
      </c>
      <c r="B488" s="3" t="s">
        <v>6</v>
      </c>
      <c r="C488" s="2" t="str">
        <f ca="1">IFERROR(__xludf.DUMMYFUNCTION("GOOGLETRANSLATE(A488,""bn"",""en"")")," Audio drivers are prone to distortion at high volumes, reducing overall sound quality and clarity")</f>
        <v xml:space="preserve"> Audio drivers are prone to distortion at high volumes, reducing overall sound quality and clarity</v>
      </c>
    </row>
    <row r="489" spans="1:3" ht="15.75" customHeight="1" x14ac:dyDescent="0.25">
      <c r="A489" s="2" t="s">
        <v>491</v>
      </c>
      <c r="B489" s="3" t="s">
        <v>4</v>
      </c>
      <c r="C489" s="2" t="str">
        <f ca="1">IFERROR(__xludf.DUMMYFUNCTION("GOOGLETRANSLATE(A489,""bn"",""en"")"),"Excellent and durable")</f>
        <v>Excellent and durable</v>
      </c>
    </row>
    <row r="490" spans="1:3" ht="15.75" customHeight="1" x14ac:dyDescent="0.25">
      <c r="A490" s="2" t="s">
        <v>492</v>
      </c>
      <c r="B490" s="3" t="s">
        <v>2</v>
      </c>
      <c r="C490" s="2" t="str">
        <f ca="1">IFERROR(__xludf.DUMMYFUNCTION("GOOGLETRANSLATE(A490,""bn"",""en"")"),"There is no management system which can create some difficulties")</f>
        <v>There is no management system which can create some difficulties</v>
      </c>
    </row>
    <row r="491" spans="1:3" ht="15.75" customHeight="1" x14ac:dyDescent="0.25">
      <c r="A491" s="2" t="s">
        <v>493</v>
      </c>
      <c r="B491" s="3" t="s">
        <v>2</v>
      </c>
      <c r="C491" s="2" t="str">
        <f ca="1">IFERROR(__xludf.DUMMYFUNCTION("GOOGLETRANSLATE(A491,""bn"",""en"")"),"The book is instructive but felt boring while reading")</f>
        <v>The book is instructive but felt boring while reading</v>
      </c>
    </row>
    <row r="492" spans="1:3" ht="15.75" customHeight="1" x14ac:dyDescent="0.25">
      <c r="A492" s="2" t="s">
        <v>494</v>
      </c>
      <c r="B492" s="3" t="s">
        <v>2</v>
      </c>
      <c r="C492" s="2" t="str">
        <f ca="1">IFERROR(__xludf.DUMMYFUNCTION("GOOGLETRANSLATE(A492,""bn"",""en"")"),"Compatibility may be limited if purchased second")</f>
        <v>Compatibility may be limited if purchased second</v>
      </c>
    </row>
    <row r="493" spans="1:3" ht="15.75" customHeight="1" x14ac:dyDescent="0.25">
      <c r="A493" s="2" t="s">
        <v>495</v>
      </c>
      <c r="B493" s="3" t="s">
        <v>4</v>
      </c>
      <c r="C493" s="2" t="str">
        <f ca="1">IFERROR(__xludf.DUMMYFUNCTION("GOOGLETRANSLATE(A493,""bn"",""en"")"),"Each product in the kit is made of high quality materials")</f>
        <v>Each product in the kit is made of high quality materials</v>
      </c>
    </row>
    <row r="494" spans="1:3" ht="15.75" customHeight="1" x14ac:dyDescent="0.25">
      <c r="A494" s="2" t="s">
        <v>496</v>
      </c>
      <c r="B494" s="3" t="s">
        <v>6</v>
      </c>
      <c r="C494" s="2" t="str">
        <f ca="1">IFERROR(__xludf.DUMMYFUNCTION("GOOGLETRANSLATE(A494,""bn"",""en"")"),"Lid hinge loosens with repeated use")</f>
        <v>Lid hinge loosens with repeated use</v>
      </c>
    </row>
    <row r="495" spans="1:3" ht="15.75" customHeight="1" x14ac:dyDescent="0.25">
      <c r="A495" s="2" t="s">
        <v>497</v>
      </c>
      <c r="B495" s="3" t="s">
        <v>6</v>
      </c>
      <c r="C495" s="2" t="str">
        <f ca="1">IFERROR(__xludf.DUMMYFUNCTION("GOOGLETRANSLATE(A495,""bn"",""en"")"),"The microwave popcorn was burnt and left a burnt taste in the mouth")</f>
        <v>The microwave popcorn was burnt and left a burnt taste in the mouth</v>
      </c>
    </row>
    <row r="496" spans="1:3" ht="15.75" customHeight="1" x14ac:dyDescent="0.25">
      <c r="A496" s="2" t="s">
        <v>498</v>
      </c>
      <c r="B496" s="3" t="s">
        <v>4</v>
      </c>
      <c r="C496" s="2" t="str">
        <f ca="1">IFERROR(__xludf.DUMMYFUNCTION("GOOGLETRANSLATE(A496,""bn"",""en"")"),"iPhone charger pack is expensive but also good value")</f>
        <v>iPhone charger pack is expensive but also good value</v>
      </c>
    </row>
    <row r="497" spans="1:3" ht="15.75" customHeight="1" x14ac:dyDescent="0.25">
      <c r="A497" s="2" t="s">
        <v>499</v>
      </c>
      <c r="B497" s="3" t="s">
        <v>6</v>
      </c>
      <c r="C497" s="2" t="str">
        <f ca="1">IFERROR(__xludf.DUMMYFUNCTION("GOOGLETRANSLATE(A497,""bn"",""en"")"),"The bathrobe fabric peels after a few washes and looks worn and old")</f>
        <v>The bathrobe fabric peels after a few washes and looks worn and old</v>
      </c>
    </row>
    <row r="498" spans="1:3" ht="15.75" customHeight="1" x14ac:dyDescent="0.25">
      <c r="A498" s="2" t="s">
        <v>500</v>
      </c>
      <c r="B498" s="3" t="s">
        <v>4</v>
      </c>
      <c r="C498" s="2" t="str">
        <f ca="1">IFERROR(__xludf.DUMMYFUNCTION("GOOGLETRANSLATE(A498,""bn"",""en"")"),"Doesn't overheat which is a big plus for me")</f>
        <v>Doesn't overheat which is a big plus for me</v>
      </c>
    </row>
    <row r="499" spans="1:3" ht="15.75" customHeight="1" x14ac:dyDescent="0.25">
      <c r="A499" s="2" t="s">
        <v>501</v>
      </c>
      <c r="B499" s="3" t="s">
        <v>4</v>
      </c>
      <c r="C499" s="2" t="str">
        <f ca="1">IFERROR(__xludf.DUMMYFUNCTION("GOOGLETRANSLATE(A499,""bn"",""en"")"),"The quality of the coffee indicates that it has been produced in an environmentally friendly manner")</f>
        <v>The quality of the coffee indicates that it has been produced in an environmentally friendly manner</v>
      </c>
    </row>
    <row r="500" spans="1:3" ht="15.75" customHeight="1" x14ac:dyDescent="0.25">
      <c r="A500" s="2" t="s">
        <v>502</v>
      </c>
      <c r="B500" s="3" t="s">
        <v>4</v>
      </c>
      <c r="C500" s="2" t="str">
        <f ca="1">IFERROR(__xludf.DUMMYFUNCTION("GOOGLETRANSLATE(A500,""bn"",""en"")"),"The handle is strong and does not break easily")</f>
        <v>The handle is strong and does not break easily</v>
      </c>
    </row>
    <row r="501" spans="1:3" ht="15.75" customHeight="1" x14ac:dyDescent="0.25">
      <c r="A501" s="2" t="s">
        <v>503</v>
      </c>
      <c r="B501" s="3" t="s">
        <v>4</v>
      </c>
      <c r="C501" s="2" t="str">
        <f ca="1">IFERROR(__xludf.DUMMYFUNCTION("GOOGLETRANSLATE(A501,""bn"",""en"")"),"The size of the plates is perfect and can be arranged very nicely")</f>
        <v>The size of the plates is perfect and can be arranged very nicely</v>
      </c>
    </row>
    <row r="502" spans="1:3" ht="15.75" customHeight="1" x14ac:dyDescent="0.25">
      <c r="A502" s="2" t="s">
        <v>504</v>
      </c>
      <c r="B502" s="3" t="s">
        <v>2</v>
      </c>
      <c r="C502" s="2" t="str">
        <f ca="1">IFERROR(__xludf.DUMMYFUNCTION("GOOGLETRANSLATE(A502,""bn"",""en"")"),"Can be seen used as new")</f>
        <v>Can be seen used as new</v>
      </c>
    </row>
    <row r="503" spans="1:3" ht="15.75" customHeight="1" x14ac:dyDescent="0.25">
      <c r="A503" s="2" t="s">
        <v>505</v>
      </c>
      <c r="B503" s="3" t="s">
        <v>2</v>
      </c>
      <c r="C503" s="2" t="str">
        <f ca="1">IFERROR(__xludf.DUMMYFUNCTION("GOOGLETRANSLATE(A503,""bn"",""en"")"),"Display inches ")</f>
        <v xml:space="preserve">Display inches </v>
      </c>
    </row>
    <row r="504" spans="1:3" ht="15.75" customHeight="1" x14ac:dyDescent="0.25">
      <c r="A504" s="2" t="s">
        <v>506</v>
      </c>
      <c r="B504" s="3" t="s">
        <v>2</v>
      </c>
      <c r="C504" s="2" t="str">
        <f ca="1">IFERROR(__xludf.DUMMYFUNCTION("GOOGLETRANSLATE(A504,""bn"",""en"")"),"Does the job properly but the quality is not very good")</f>
        <v>Does the job properly but the quality is not very good</v>
      </c>
    </row>
    <row r="505" spans="1:3" ht="15.75" customHeight="1" x14ac:dyDescent="0.25">
      <c r="A505" s="2" t="s">
        <v>507</v>
      </c>
      <c r="B505" s="3" t="s">
        <v>4</v>
      </c>
      <c r="C505" s="2" t="str">
        <f ca="1">IFERROR(__xludf.DUMMYFUNCTION("GOOGLETRANSLATE(A505,""bn"",""en"")"),"The natural look of artificial flowers fills the mind")</f>
        <v>The natural look of artificial flowers fills the mind</v>
      </c>
    </row>
    <row r="506" spans="1:3" ht="15.75" customHeight="1" x14ac:dyDescent="0.25">
      <c r="A506" s="2" t="s">
        <v>508</v>
      </c>
      <c r="B506" s="3" t="s">
        <v>4</v>
      </c>
      <c r="C506" s="2" t="str">
        <f ca="1">IFERROR(__xludf.DUMMYFUNCTION("GOOGLETRANSLATE(A506,""bn"",""en"")"),"So far so good")</f>
        <v>So far so good</v>
      </c>
    </row>
    <row r="507" spans="1:3" ht="15.75" customHeight="1" x14ac:dyDescent="0.25">
      <c r="A507" s="2" t="s">
        <v>509</v>
      </c>
      <c r="B507" s="3" t="s">
        <v>6</v>
      </c>
      <c r="C507" s="2" t="str">
        <f ca="1">IFERROR(__xludf.DUMMYFUNCTION("GOOGLETRANSLATE(A507,""bn"",""en"")"),"  The gel left a sticky residue on my skin")</f>
        <v xml:space="preserve">  The gel left a sticky residue on my skin</v>
      </c>
    </row>
    <row r="508" spans="1:3" ht="15.75" customHeight="1" x14ac:dyDescent="0.25">
      <c r="A508" s="2" t="s">
        <v>510</v>
      </c>
      <c r="B508" s="3" t="s">
        <v>6</v>
      </c>
      <c r="C508" s="2" t="str">
        <f ca="1">IFERROR(__xludf.DUMMYFUNCTION("GOOGLETRANSLATE(A508,""bn"",""en"")"),"The tea had a medicinal taste that suggested contamination or adulteration")</f>
        <v>The tea had a medicinal taste that suggested contamination or adulteration</v>
      </c>
    </row>
    <row r="509" spans="1:3" ht="15.75" customHeight="1" x14ac:dyDescent="0.25">
      <c r="A509" s="2" t="s">
        <v>511</v>
      </c>
      <c r="B509" s="3" t="s">
        <v>6</v>
      </c>
      <c r="C509" s="2" t="str">
        <f ca="1">IFERROR(__xludf.DUMMYFUNCTION("GOOGLETRANSLATE(A509,""bn"",""en"")"),"The hair serum promised shine but left my locks looking dull and lifeless")</f>
        <v>The hair serum promised shine but left my locks looking dull and lifeless</v>
      </c>
    </row>
    <row r="510" spans="1:3" ht="15.75" customHeight="1" x14ac:dyDescent="0.25">
      <c r="A510" s="2" t="s">
        <v>512</v>
      </c>
      <c r="B510" s="3" t="s">
        <v>6</v>
      </c>
      <c r="C510" s="2" t="str">
        <f ca="1">IFERROR(__xludf.DUMMYFUNCTION("GOOGLETRANSLATE(A510,""bn"",""en"")"),"Misaligned spout results in sloppy pouring")</f>
        <v>Misaligned spout results in sloppy pouring</v>
      </c>
    </row>
    <row r="511" spans="1:3" ht="15.75" customHeight="1" x14ac:dyDescent="0.25">
      <c r="A511" s="2" t="s">
        <v>513</v>
      </c>
      <c r="B511" s="3" t="s">
        <v>4</v>
      </c>
      <c r="C511" s="2" t="str">
        <f ca="1">IFERROR(__xludf.DUMMYFUNCTION("GOOGLETRANSLATE(A511,""bn"",""en"")"),"Alhamdulillah a very nice product, I am very happy to receive the product, I got it from the store at a low price, the product is similar to the picture")</f>
        <v>Alhamdulillah a very nice product, I am very happy to receive the product, I got it from the store at a low price, the product is similar to the picture</v>
      </c>
    </row>
    <row r="512" spans="1:3" ht="15.75" customHeight="1" x14ac:dyDescent="0.25">
      <c r="A512" s="2" t="s">
        <v>514</v>
      </c>
      <c r="B512" s="3" t="s">
        <v>4</v>
      </c>
      <c r="C512" s="2" t="str">
        <f ca="1">IFERROR(__xludf.DUMMYFUNCTION("GOOGLETRANSLATE(A512,""bn"",""en"")"),"I love the classic design of this dinner set it will suit any table setting style")</f>
        <v>I love the classic design of this dinner set it will suit any table setting style</v>
      </c>
    </row>
    <row r="513" spans="1:3" ht="15.75" customHeight="1" x14ac:dyDescent="0.25">
      <c r="A513" s="2" t="s">
        <v>515</v>
      </c>
      <c r="B513" s="3" t="s">
        <v>2</v>
      </c>
      <c r="C513" s="2" t="str">
        <f ca="1">IFERROR(__xludf.DUMMYFUNCTION("GOOGLETRANSLATE(A513,""bn"",""en"")"),"Night mode functionality has some limitations")</f>
        <v>Night mode functionality has some limitations</v>
      </c>
    </row>
    <row r="514" spans="1:3" ht="15.75" customHeight="1" x14ac:dyDescent="0.25">
      <c r="A514" s="2" t="s">
        <v>516</v>
      </c>
      <c r="B514" s="3" t="s">
        <v>4</v>
      </c>
      <c r="C514" s="2" t="str">
        <f ca="1">IFERROR(__xludf.DUMMYFUNCTION("GOOGLETRANSLATE(A514,""bn"",""en"")"),"Super fast charging ")</f>
        <v xml:space="preserve">Super fast charging </v>
      </c>
    </row>
    <row r="515" spans="1:3" ht="15.75" customHeight="1" x14ac:dyDescent="0.25">
      <c r="A515" s="2" t="s">
        <v>517</v>
      </c>
      <c r="B515" s="3" t="s">
        <v>4</v>
      </c>
      <c r="C515" s="2" t="str">
        <f ca="1">IFERROR(__xludf.DUMMYFUNCTION("GOOGLETRANSLATE(A515,""bn"",""en"")"),"It's perfect for arts and crafts")</f>
        <v>It's perfect for arts and crafts</v>
      </c>
    </row>
    <row r="516" spans="1:3" ht="15.75" customHeight="1" x14ac:dyDescent="0.25">
      <c r="A516" s="2" t="s">
        <v>518</v>
      </c>
      <c r="B516" s="3" t="s">
        <v>6</v>
      </c>
      <c r="C516" s="2" t="str">
        <f ca="1">IFERROR(__xludf.DUMMYFUNCTION("GOOGLETRANSLATE(A516,""bn"",""en"")"),"The bed frame constantly squeaks, disrupting sleep and causing frustration")</f>
        <v>The bed frame constantly squeaks, disrupting sleep and causing frustration</v>
      </c>
    </row>
    <row r="517" spans="1:3" ht="15.75" customHeight="1" x14ac:dyDescent="0.25">
      <c r="A517" s="2" t="s">
        <v>519</v>
      </c>
      <c r="B517" s="3" t="s">
        <v>2</v>
      </c>
      <c r="C517" s="2" t="str">
        <f ca="1">IFERROR(__xludf.DUMMYFUNCTION("GOOGLETRANSLATE(A517,""bn"",""en"")"),"There were connectivity issues for some users")</f>
        <v>There were connectivity issues for some users</v>
      </c>
    </row>
    <row r="518" spans="1:3" ht="15.75" customHeight="1" x14ac:dyDescent="0.25">
      <c r="A518" s="2" t="s">
        <v>520</v>
      </c>
      <c r="B518" s="3" t="s">
        <v>6</v>
      </c>
      <c r="C518" s="2" t="str">
        <f ca="1">IFERROR(__xludf.DUMMYFUNCTION("GOOGLETRANSLATE(A518,""bn"",""en"")"),"The design of the shoes is outdated and unappealing and fails to meet modern style standards")</f>
        <v>The design of the shoes is outdated and unappealing and fails to meet modern style standards</v>
      </c>
    </row>
    <row r="519" spans="1:3" ht="15.75" customHeight="1" x14ac:dyDescent="0.25">
      <c r="A519" s="2" t="s">
        <v>521</v>
      </c>
      <c r="B519" s="3" t="s">
        <v>6</v>
      </c>
      <c r="C519" s="2" t="str">
        <f ca="1">IFERROR(__xludf.DUMMYFUNCTION("GOOGLETRANSLATE(A519,""bn"",""en"")"),"Prone to degradation under heat compromising durability")</f>
        <v>Prone to degradation under heat compromising durability</v>
      </c>
    </row>
    <row r="520" spans="1:3" ht="15.75" customHeight="1" x14ac:dyDescent="0.25">
      <c r="A520" s="2" t="s">
        <v>522</v>
      </c>
      <c r="B520" s="3" t="s">
        <v>6</v>
      </c>
      <c r="C520" s="2" t="str">
        <f ca="1">IFERROR(__xludf.DUMMYFUNCTION("GOOGLETRANSLATE(A520,""bn"",""en"")"),"The brushes provided were of low quality with bristles shedding")</f>
        <v>The brushes provided were of low quality with bristles shedding</v>
      </c>
    </row>
    <row r="521" spans="1:3" ht="15.75" customHeight="1" x14ac:dyDescent="0.25">
      <c r="A521" s="2" t="s">
        <v>523</v>
      </c>
      <c r="B521" s="3" t="s">
        <v>6</v>
      </c>
      <c r="C521" s="2" t="str">
        <f ca="1">IFERROR(__xludf.DUMMYFUNCTION("GOOGLETRANSLATE(A521,""bn"",""en"")")," Too much cable length creates clutter and tangles when not in use")</f>
        <v xml:space="preserve"> Too much cable length creates clutter and tangles when not in use</v>
      </c>
    </row>
    <row r="522" spans="1:3" ht="15.75" customHeight="1" x14ac:dyDescent="0.25">
      <c r="A522" s="2" t="s">
        <v>524</v>
      </c>
      <c r="B522" s="3" t="s">
        <v>4</v>
      </c>
      <c r="C522" s="2" t="str">
        <f ca="1">IFERROR(__xludf.DUMMYFUNCTION("GOOGLETRANSLATE(A522,""bn"",""en"")"),"This new phone is very comfortable to hold")</f>
        <v>This new phone is very comfortable to hold</v>
      </c>
    </row>
    <row r="523" spans="1:3" ht="15.75" customHeight="1" x14ac:dyDescent="0.25">
      <c r="A523" s="2" t="s">
        <v>525</v>
      </c>
      <c r="B523" s="3" t="s">
        <v>2</v>
      </c>
      <c r="C523" s="2" t="str">
        <f ca="1">IFERROR(__xludf.DUMMYFUNCTION("GOOGLETRANSLATE(A523,""bn"",""en"")"),"The length is decent but the material feels cheap")</f>
        <v>The length is decent but the material feels cheap</v>
      </c>
    </row>
    <row r="524" spans="1:3" ht="15.75" customHeight="1" x14ac:dyDescent="0.25">
      <c r="A524" s="2" t="s">
        <v>526</v>
      </c>
      <c r="B524" s="3" t="s">
        <v>4</v>
      </c>
      <c r="C524" s="2" t="str">
        <f ca="1">IFERROR(__xludf.DUMMYFUNCTION("GOOGLETRANSLATE(A524,""bn"",""en"")"),"The bed sheet is very soft and fluffy which makes the night's sleep more comfortable")</f>
        <v>The bed sheet is very soft and fluffy which makes the night's sleep more comfortable</v>
      </c>
    </row>
    <row r="525" spans="1:3" ht="15.75" customHeight="1" x14ac:dyDescent="0.25">
      <c r="A525" s="2" t="s">
        <v>527</v>
      </c>
      <c r="B525" s="3" t="s">
        <v>2</v>
      </c>
      <c r="C525" s="2" t="str">
        <f ca="1">IFERROR(__xludf.DUMMYFUNCTION("GOOGLETRANSLATE(A525,""bn"",""en"")"),"I only take pictures not videos and this card has a lot of pictures")</f>
        <v>I only take pictures not videos and this card has a lot of pictures</v>
      </c>
    </row>
    <row r="526" spans="1:3" ht="15.75" customHeight="1" x14ac:dyDescent="0.25">
      <c r="A526" s="2" t="s">
        <v>528</v>
      </c>
      <c r="B526" s="3" t="s">
        <v>4</v>
      </c>
      <c r="C526" s="2" t="str">
        <f ca="1">IFERROR(__xludf.DUMMYFUNCTION("GOOGLETRANSLATE(A526,""bn"",""en"")"),"A cable management system is provided with the desk")</f>
        <v>A cable management system is provided with the desk</v>
      </c>
    </row>
    <row r="527" spans="1:3" ht="15.75" customHeight="1" x14ac:dyDescent="0.25">
      <c r="A527" s="2" t="s">
        <v>529</v>
      </c>
      <c r="B527" s="3" t="s">
        <v>4</v>
      </c>
      <c r="C527" s="2" t="str">
        <f ca="1">IFERROR(__xludf.DUMMYFUNCTION("GOOGLETRANSLATE(A527,""bn"",""en"")"),"No allergy is observed after use")</f>
        <v>No allergy is observed after use</v>
      </c>
    </row>
    <row r="528" spans="1:3" ht="15.75" customHeight="1" x14ac:dyDescent="0.25">
      <c r="A528" s="2" t="s">
        <v>530</v>
      </c>
      <c r="B528" s="3" t="s">
        <v>6</v>
      </c>
      <c r="C528" s="2" t="str">
        <f ca="1">IFERROR(__xludf.DUMMYFUNCTION("GOOGLETRANSLATE(A528,""bn"",""en"")")," Fabric tears at stress points")</f>
        <v xml:space="preserve"> Fabric tears at stress points</v>
      </c>
    </row>
    <row r="529" spans="1:3" ht="15.75" customHeight="1" x14ac:dyDescent="0.25">
      <c r="A529" s="2" t="s">
        <v>531</v>
      </c>
      <c r="B529" s="3" t="s">
        <v>4</v>
      </c>
      <c r="C529" s="2" t="str">
        <f ca="1">IFERROR(__xludf.DUMMYFUNCTION("GOOGLETRANSLATE(A529,""bn"",""en"")"),"Its opening mechanism is so smooth that it never gets stuck in the fingers")</f>
        <v>Its opening mechanism is so smooth that it never gets stuck in the fingers</v>
      </c>
    </row>
    <row r="530" spans="1:3" ht="15.75" customHeight="1" x14ac:dyDescent="0.25">
      <c r="A530" s="2" t="s">
        <v>532</v>
      </c>
      <c r="B530" s="3" t="s">
        <v>2</v>
      </c>
      <c r="C530" s="2" t="str">
        <f ca="1">IFERROR(__xludf.DUMMYFUNCTION("GOOGLETRANSLATE(A530,""bn"",""en"")"),"It is a bit fragile so use carefully")</f>
        <v>It is a bit fragile so use carefully</v>
      </c>
    </row>
    <row r="531" spans="1:3" ht="15.75" customHeight="1" x14ac:dyDescent="0.25">
      <c r="A531" s="2" t="s">
        <v>533</v>
      </c>
      <c r="B531" s="3" t="s">
        <v>2</v>
      </c>
      <c r="C531" s="2" t="str">
        <f ca="1">IFERROR(__xludf.DUMMYFUNCTION("GOOGLETRANSLATE(A531,""bn"",""en"")"),"The product is simple but not perfect")</f>
        <v>The product is simple but not perfect</v>
      </c>
    </row>
    <row r="532" spans="1:3" ht="15.75" customHeight="1" x14ac:dyDescent="0.25">
      <c r="A532" s="2" t="s">
        <v>534</v>
      </c>
      <c r="B532" s="3" t="s">
        <v>2</v>
      </c>
      <c r="C532" s="2" t="str">
        <f ca="1">IFERROR(__xludf.DUMMYFUNCTION("GOOGLETRANSLATE(A532,""bn"",""en"")"),"Reflection is clear but not outstanding")</f>
        <v>Reflection is clear but not outstanding</v>
      </c>
    </row>
    <row r="533" spans="1:3" ht="15.75" customHeight="1" x14ac:dyDescent="0.25">
      <c r="A533" s="2" t="s">
        <v>535</v>
      </c>
      <c r="B533" s="3" t="s">
        <v>4</v>
      </c>
      <c r="C533" s="2" t="str">
        <f ca="1">IFERROR(__xludf.DUMMYFUNCTION("GOOGLETRANSLATE(A533,""bn"",""en"")"),"The plastic of the shelf is very high quality")</f>
        <v>The plastic of the shelf is very high quality</v>
      </c>
    </row>
    <row r="534" spans="1:3" ht="15.75" customHeight="1" x14ac:dyDescent="0.25">
      <c r="A534" s="2" t="s">
        <v>536</v>
      </c>
      <c r="B534" s="3" t="s">
        <v>2</v>
      </c>
      <c r="C534" s="2" t="str">
        <f ca="1">IFERROR(__xludf.DUMMYFUNCTION("GOOGLETRANSLATE(A534,""bn"",""en"")"),"Some good yields were obtained using organic fertilizers but expected further improvement")</f>
        <v>Some good yields were obtained using organic fertilizers but expected further improvement</v>
      </c>
    </row>
    <row r="535" spans="1:3" ht="15.75" customHeight="1" x14ac:dyDescent="0.25">
      <c r="A535" s="2" t="s">
        <v>537</v>
      </c>
      <c r="B535" s="3" t="s">
        <v>4</v>
      </c>
      <c r="C535" s="2" t="str">
        <f ca="1">IFERROR(__xludf.DUMMYFUNCTION("GOOGLETRANSLATE(A535,""bn"",""en"")"),"I like holidays very much fun")</f>
        <v>I like holidays very much fun</v>
      </c>
    </row>
    <row r="536" spans="1:3" ht="15.75" customHeight="1" x14ac:dyDescent="0.25">
      <c r="A536" s="2" t="s">
        <v>538</v>
      </c>
      <c r="B536" s="3" t="s">
        <v>2</v>
      </c>
      <c r="C536" s="2" t="str">
        <f ca="1">IFERROR(__xludf.DUMMYFUNCTION("GOOGLETRANSLATE(A536,""bn"",""en"")"),"Safe for kids but not particularly attractive")</f>
        <v>Safe for kids but not particularly attractive</v>
      </c>
    </row>
    <row r="537" spans="1:3" ht="15.75" customHeight="1" x14ac:dyDescent="0.25">
      <c r="A537" s="2" t="s">
        <v>539</v>
      </c>
      <c r="B537" s="3" t="s">
        <v>6</v>
      </c>
      <c r="C537" s="2" t="str">
        <f ca="1">IFERROR(__xludf.DUMMYFUNCTION("GOOGLETRANSLATE(A537,""bn"",""en"")"),"Regret buying as a gift dirty rabbit embarrassing")</f>
        <v>Regret buying as a gift dirty rabbit embarrassing</v>
      </c>
    </row>
    <row r="538" spans="1:3" ht="15.75" customHeight="1" x14ac:dyDescent="0.25">
      <c r="A538" s="2" t="s">
        <v>540</v>
      </c>
      <c r="B538" s="3" t="s">
        <v>4</v>
      </c>
      <c r="C538" s="2" t="str">
        <f ca="1">IFERROR(__xludf.DUMMYFUNCTION("GOOGLETRANSLATE(A538,""bn"",""en"")"),"It runs on very low power")</f>
        <v>It runs on very low power</v>
      </c>
    </row>
    <row r="539" spans="1:3" ht="15.75" customHeight="1" x14ac:dyDescent="0.25">
      <c r="A539" s="2" t="s">
        <v>541</v>
      </c>
      <c r="B539" s="3" t="s">
        <v>4</v>
      </c>
      <c r="C539" s="2" t="str">
        <f ca="1">IFERROR(__xludf.DUMMYFUNCTION("GOOGLETRANSLATE(A539,""bn"",""en"")"),"The dressing table has lighting fixtures around the mirror")</f>
        <v>The dressing table has lighting fixtures around the mirror</v>
      </c>
    </row>
    <row r="540" spans="1:3" ht="15.75" customHeight="1" x14ac:dyDescent="0.25">
      <c r="A540" s="2" t="s">
        <v>542</v>
      </c>
      <c r="B540" s="3" t="s">
        <v>2</v>
      </c>
      <c r="C540" s="2" t="str">
        <f ca="1">IFERROR(__xludf.DUMMYFUNCTION("GOOGLETRANSLATE(A540,""bn"",""en"")"),"The drink is very sweet but the amount of sweetness should be a little less")</f>
        <v>The drink is very sweet but the amount of sweetness should be a little less</v>
      </c>
    </row>
    <row r="541" spans="1:3" ht="15.75" customHeight="1" x14ac:dyDescent="0.25">
      <c r="A541" s="2" t="s">
        <v>543</v>
      </c>
      <c r="B541" s="3" t="s">
        <v>2</v>
      </c>
      <c r="C541" s="2" t="str">
        <f ca="1">IFERROR(__xludf.DUMMYFUNCTION("GOOGLETRANSLATE(A541,""bn"",""en"")"),"The customizable product offered endless potential but failed to execute with limited customer support")</f>
        <v>The customizable product offered endless potential but failed to execute with limited customer support</v>
      </c>
    </row>
    <row r="542" spans="1:3" ht="15.75" customHeight="1" x14ac:dyDescent="0.25">
      <c r="A542" s="2" t="s">
        <v>544</v>
      </c>
      <c r="B542" s="3" t="s">
        <v>2</v>
      </c>
      <c r="C542" s="2" t="str">
        <f ca="1">IFERROR(__xludf.DUMMYFUNCTION("GOOGLETRANSLATE(A542,""bn"",""en"")"),"A bit of regret for not being able to buy it all those years ago")</f>
        <v>A bit of regret for not being able to buy it all those years ago</v>
      </c>
    </row>
    <row r="543" spans="1:3" ht="15.75" customHeight="1" x14ac:dyDescent="0.25">
      <c r="A543" s="2" t="s">
        <v>545</v>
      </c>
      <c r="B543" s="3" t="s">
        <v>4</v>
      </c>
      <c r="C543" s="2" t="str">
        <f ca="1">IFERROR(__xludf.DUMMYFUNCTION("GOOGLETRANSLATE(A543,""bn"",""en"")"),"Hair is very shiny after using this shampoo")</f>
        <v>Hair is very shiny after using this shampoo</v>
      </c>
    </row>
    <row r="544" spans="1:3" ht="15.75" customHeight="1" x14ac:dyDescent="0.25">
      <c r="A544" s="2" t="s">
        <v>546</v>
      </c>
      <c r="B544" s="3" t="s">
        <v>2</v>
      </c>
      <c r="C544" s="2" t="str">
        <f ca="1">IFERROR(__xludf.DUMMYFUNCTION("GOOGLETRANSLATE(A544,""bn"",""en"")"),"Fabric quality is fair but gets dirty easily")</f>
        <v>Fabric quality is fair but gets dirty easily</v>
      </c>
    </row>
    <row r="545" spans="1:3" ht="15.75" customHeight="1" x14ac:dyDescent="0.25">
      <c r="A545" s="2" t="s">
        <v>547</v>
      </c>
      <c r="B545" s="3" t="s">
        <v>4</v>
      </c>
      <c r="C545" s="2" t="str">
        <f ca="1">IFERROR(__xludf.DUMMYFUNCTION("GOOGLETRANSLATE(A545,""bn"",""en"")"),"Great for Samsung phones")</f>
        <v>Great for Samsung phones</v>
      </c>
    </row>
    <row r="546" spans="1:3" ht="15.75" customHeight="1" x14ac:dyDescent="0.25">
      <c r="A546" s="2" t="s">
        <v>548</v>
      </c>
      <c r="B546" s="3" t="s">
        <v>4</v>
      </c>
      <c r="C546" s="2" t="str">
        <f ca="1">IFERROR(__xludf.DUMMYFUNCTION("GOOGLETRANSLATE(A546,""bn"",""en"")"),"Its auto clean feature is very useful I don't have to clean it frequently anymore")</f>
        <v>Its auto clean feature is very useful I don't have to clean it frequently anymore</v>
      </c>
    </row>
    <row r="547" spans="1:3" ht="15.75" customHeight="1" x14ac:dyDescent="0.25">
      <c r="A547" s="2" t="s">
        <v>549</v>
      </c>
      <c r="B547" s="3" t="s">
        <v>2</v>
      </c>
      <c r="C547" s="2" t="str">
        <f ca="1">IFERROR(__xludf.DUMMYFUNCTION("GOOGLETRANSLATE(A547,""bn"",""en"")"),"Good for size but not suitable for professional use")</f>
        <v>Good for size but not suitable for professional use</v>
      </c>
    </row>
    <row r="548" spans="1:3" ht="15.75" customHeight="1" x14ac:dyDescent="0.25">
      <c r="A548" s="2" t="s">
        <v>550</v>
      </c>
      <c r="B548" s="3" t="s">
        <v>2</v>
      </c>
      <c r="C548" s="2" t="str">
        <f ca="1">IFERROR(__xludf.DUMMYFUNCTION("GOOGLETRANSLATE(A548,""bn"",""en"")"),"The color is not exactly as expected but acceptable")</f>
        <v>The color is not exactly as expected but acceptable</v>
      </c>
    </row>
    <row r="549" spans="1:3" ht="15.75" customHeight="1" x14ac:dyDescent="0.25">
      <c r="A549" s="2" t="s">
        <v>551</v>
      </c>
      <c r="B549" s="3" t="s">
        <v>4</v>
      </c>
      <c r="C549" s="2" t="str">
        <f ca="1">IFERROR(__xludf.DUMMYFUNCTION("GOOGLETRANSLATE(A549,""bn"",""en"")"),"It is truly amazing in terms of quality and design")</f>
        <v>It is truly amazing in terms of quality and design</v>
      </c>
    </row>
    <row r="550" spans="1:3" ht="15.75" customHeight="1" x14ac:dyDescent="0.25">
      <c r="A550" s="2" t="s">
        <v>552</v>
      </c>
      <c r="B550" s="3" t="s">
        <v>6</v>
      </c>
      <c r="C550" s="2" t="str">
        <f ca="1">IFERROR(__xludf.DUMMYFUNCTION("GOOGLETRANSLATE(A550,""bn"",""en"")"),"Corresponding frustration is unresolved issues")</f>
        <v>Corresponding frustration is unresolved issues</v>
      </c>
    </row>
    <row r="551" spans="1:3" ht="15.75" customHeight="1" x14ac:dyDescent="0.25">
      <c r="A551" s="2" t="s">
        <v>553</v>
      </c>
      <c r="B551" s="3" t="s">
        <v>6</v>
      </c>
      <c r="C551" s="2" t="str">
        <f ca="1">IFERROR(__xludf.DUMMYFUNCTION("GOOGLETRANSLATE(A551,""bn"",""en"")"),"Value estimation is temporary affected by the type of clothing and less lasting")</f>
        <v>Value estimation is temporary affected by the type of clothing and less lasting</v>
      </c>
    </row>
    <row r="552" spans="1:3" ht="15.75" customHeight="1" x14ac:dyDescent="0.25">
      <c r="A552" s="2" t="s">
        <v>554</v>
      </c>
      <c r="B552" s="3" t="s">
        <v>2</v>
      </c>
      <c r="C552" s="2" t="str">
        <f ca="1">IFERROR(__xludf.DUMMYFUNCTION("GOOGLETRANSLATE(A552,""bn"",""en"")"),"The switch doesn't work at times")</f>
        <v>The switch doesn't work at times</v>
      </c>
    </row>
    <row r="553" spans="1:3" ht="15.75" customHeight="1" x14ac:dyDescent="0.25">
      <c r="A553" s="2" t="s">
        <v>555</v>
      </c>
      <c r="B553" s="3" t="s">
        <v>4</v>
      </c>
      <c r="C553" s="2" t="str">
        <f ca="1">IFERROR(__xludf.DUMMYFUNCTION("GOOGLETRANSLATE(A553,""bn"",""en"")"),"This ring is very easy to use and suitable for special occasions")</f>
        <v>This ring is very easy to use and suitable for special occasions</v>
      </c>
    </row>
    <row r="554" spans="1:3" ht="15.75" customHeight="1" x14ac:dyDescent="0.25">
      <c r="A554" s="2" t="s">
        <v>556</v>
      </c>
      <c r="B554" s="3" t="s">
        <v>6</v>
      </c>
      <c r="C554" s="2" t="str">
        <f ca="1">IFERROR(__xludf.DUMMYFUNCTION("GOOGLETRANSLATE(A554,""bn"",""en"")"),"The sizing chart provided is inaccurate leading to a fitting garment that is too tight in some areas and too loose in others.")</f>
        <v>The sizing chart provided is inaccurate leading to a fitting garment that is too tight in some areas and too loose in others.</v>
      </c>
    </row>
    <row r="555" spans="1:3" ht="15.75" customHeight="1" x14ac:dyDescent="0.25">
      <c r="A555" s="2" t="s">
        <v>557</v>
      </c>
      <c r="B555" s="3" t="s">
        <v>6</v>
      </c>
      <c r="C555" s="2" t="str">
        <f ca="1">IFERROR(__xludf.DUMMYFUNCTION("GOOGLETRANSLATE(A555,""bn"",""en"")"),"The hair mask was difficult to wash off and left my hair feeling coated")</f>
        <v>The hair mask was difficult to wash off and left my hair feeling coated</v>
      </c>
    </row>
    <row r="556" spans="1:3" ht="15.75" customHeight="1" x14ac:dyDescent="0.25">
      <c r="A556" s="2" t="s">
        <v>558</v>
      </c>
      <c r="B556" s="3" t="s">
        <v>2</v>
      </c>
      <c r="C556" s="2" t="str">
        <f ca="1">IFERROR(__xludf.DUMMYFUNCTION("GOOGLETRANSLATE(A556,""bn"",""en"")"),"It seems a bit high compared to the price")</f>
        <v>It seems a bit high compared to the price</v>
      </c>
    </row>
    <row r="557" spans="1:3" ht="15.75" customHeight="1" x14ac:dyDescent="0.25">
      <c r="A557" s="2" t="s">
        <v>559</v>
      </c>
      <c r="B557" s="3" t="s">
        <v>6</v>
      </c>
      <c r="C557" s="2" t="str">
        <f ca="1">IFERROR(__xludf.DUMMYFUNCTION("GOOGLETRANSLATE(A557,""bn"",""en"")"),"The instant oatmeal was spicy and had a weird artificial flavor")</f>
        <v>The instant oatmeal was spicy and had a weird artificial flavor</v>
      </c>
    </row>
    <row r="558" spans="1:3" ht="15.75" customHeight="1" x14ac:dyDescent="0.25">
      <c r="A558" s="2" t="s">
        <v>560</v>
      </c>
      <c r="B558" s="3" t="s">
        <v>6</v>
      </c>
      <c r="C558" s="2" t="str">
        <f ca="1">IFERROR(__xludf.DUMMYFUNCTION("GOOGLETRANSLATE(A558,""bn"",""en"")"),"The packaged breakfast pastry was too sugary and had a weird aftertaste")</f>
        <v>The packaged breakfast pastry was too sugary and had a weird aftertaste</v>
      </c>
    </row>
    <row r="559" spans="1:3" ht="15.75" customHeight="1" x14ac:dyDescent="0.25">
      <c r="A559" s="2" t="s">
        <v>561</v>
      </c>
      <c r="B559" s="3" t="s">
        <v>4</v>
      </c>
      <c r="C559" s="2" t="str">
        <f ca="1">IFERROR(__xludf.DUMMYFUNCTION("GOOGLETRANSLATE(A559,""bn"",""en"")"),"The design is very nice")</f>
        <v>The design is very nice</v>
      </c>
    </row>
    <row r="560" spans="1:3" ht="15.75" customHeight="1" x14ac:dyDescent="0.25">
      <c r="A560" s="2" t="s">
        <v>562</v>
      </c>
      <c r="B560" s="3" t="s">
        <v>2</v>
      </c>
      <c r="C560" s="2" t="str">
        <f ca="1">IFERROR(__xludf.DUMMYFUNCTION("GOOGLETRANSLATE(A560,""bn"",""en"")"),"I recently bought these art papers")</f>
        <v>I recently bought these art papers</v>
      </c>
    </row>
    <row r="561" spans="1:3" ht="15.75" customHeight="1" x14ac:dyDescent="0.25">
      <c r="A561" s="2" t="s">
        <v>563</v>
      </c>
      <c r="B561" s="3" t="s">
        <v>4</v>
      </c>
      <c r="C561" s="2" t="str">
        <f ca="1">IFERROR(__xludf.DUMMYFUNCTION("GOOGLETRANSLATE(A561,""bn"",""en"")"),"The story is very touching")</f>
        <v>The story is very touching</v>
      </c>
    </row>
    <row r="562" spans="1:3" ht="15.75" customHeight="1" x14ac:dyDescent="0.25">
      <c r="A562" s="2" t="s">
        <v>564</v>
      </c>
      <c r="B562" s="3" t="s">
        <v>2</v>
      </c>
      <c r="C562" s="2" t="str">
        <f ca="1">IFERROR(__xludf.DUMMYFUNCTION("GOOGLETRANSLATE(A562,""bn"",""en"")"),"It is easy to clean but does not remove stains easily")</f>
        <v>It is easy to clean but does not remove stains easily</v>
      </c>
    </row>
    <row r="563" spans="1:3" ht="15.75" customHeight="1" x14ac:dyDescent="0.25">
      <c r="A563" s="2" t="s">
        <v>565</v>
      </c>
      <c r="B563" s="3" t="s">
        <v>2</v>
      </c>
      <c r="C563" s="2" t="str">
        <f ca="1">IFERROR(__xludf.DUMMYFUNCTION("GOOGLETRANSLATE(A563,""bn"",""en"")"),"The packet has an oxygen release valve")</f>
        <v>The packet has an oxygen release valve</v>
      </c>
    </row>
    <row r="564" spans="1:3" ht="15.75" customHeight="1" x14ac:dyDescent="0.25">
      <c r="A564" s="2" t="s">
        <v>566</v>
      </c>
      <c r="B564" s="3" t="s">
        <v>4</v>
      </c>
      <c r="C564" s="2" t="str">
        <f ca="1">IFERROR(__xludf.DUMMYFUNCTION("GOOGLETRANSLATE(A564,""bn"",""en"")"),"The bag is very light and easy to carry")</f>
        <v>The bag is very light and easy to carry</v>
      </c>
    </row>
    <row r="565" spans="1:3" ht="15.75" customHeight="1" x14ac:dyDescent="0.25">
      <c r="A565" s="2" t="s">
        <v>567</v>
      </c>
      <c r="B565" s="3" t="s">
        <v>6</v>
      </c>
      <c r="C565" s="2" t="str">
        <f ca="1">IFERROR(__xludf.DUMMYFUNCTION("GOOGLETRANSLATE(A565,""bn"",""en"")"),"Dirty and used stains and tears are unacceptable")</f>
        <v>Dirty and used stains and tears are unacceptable</v>
      </c>
    </row>
    <row r="566" spans="1:3" ht="15.75" customHeight="1" x14ac:dyDescent="0.25">
      <c r="A566" s="2" t="s">
        <v>568</v>
      </c>
      <c r="B566" s="3" t="s">
        <v>6</v>
      </c>
      <c r="C566" s="2" t="str">
        <f ca="1">IFERROR(__xludf.DUMMYFUNCTION("GOOGLETRANSLATE(A566,""bn"",""en"")"),"The HDMI ports were loose causing occasional signal loss")</f>
        <v>The HDMI ports were loose causing occasional signal loss</v>
      </c>
    </row>
    <row r="567" spans="1:3" ht="15.75" customHeight="1" x14ac:dyDescent="0.25">
      <c r="A567" s="2" t="s">
        <v>569</v>
      </c>
      <c r="B567" s="3" t="s">
        <v>2</v>
      </c>
      <c r="C567" s="2" t="str">
        <f ca="1">IFERROR(__xludf.DUMMYFUNCTION("GOOGLETRANSLATE(A567,""bn"",""en"")"),"The microwave heats up very quickly but sometimes the quality of the food decreases ")</f>
        <v xml:space="preserve">The microwave heats up very quickly but sometimes the quality of the food decreases </v>
      </c>
    </row>
    <row r="568" spans="1:3" ht="15.75" customHeight="1" x14ac:dyDescent="0.25">
      <c r="A568" s="2" t="s">
        <v>570</v>
      </c>
      <c r="B568" s="3" t="s">
        <v>2</v>
      </c>
      <c r="C568" s="2" t="str">
        <f ca="1">IFERROR(__xludf.DUMMYFUNCTION("GOOGLETRANSLATE(A568,""bn"",""en"")"),"Sustainable but not for everyone")</f>
        <v>Sustainable but not for everyone</v>
      </c>
    </row>
    <row r="569" spans="1:3" ht="15.75" customHeight="1" x14ac:dyDescent="0.25">
      <c r="A569" s="2" t="s">
        <v>571</v>
      </c>
      <c r="B569" s="3" t="s">
        <v>2</v>
      </c>
      <c r="C569" s="2" t="str">
        <f ca="1">IFERROR(__xludf.DUMMYFUNCTION("GOOGLETRANSLATE(A569,""bn"",""en"")"),"The packaging was not very attractive but the contents were good")</f>
        <v>The packaging was not very attractive but the contents were good</v>
      </c>
    </row>
    <row r="570" spans="1:3" ht="15.75" customHeight="1" x14ac:dyDescent="0.25">
      <c r="A570" s="2" t="s">
        <v>572</v>
      </c>
      <c r="B570" s="3" t="s">
        <v>4</v>
      </c>
      <c r="C570" s="2" t="str">
        <f ca="1">IFERROR(__xludf.DUMMYFUNCTION("GOOGLETRANSLATE(A570,""bn"",""en"")"),"Makeup brushes are suitable for different ages")</f>
        <v>Makeup brushes are suitable for different ages</v>
      </c>
    </row>
    <row r="571" spans="1:3" ht="15.75" customHeight="1" x14ac:dyDescent="0.25">
      <c r="A571" s="2" t="s">
        <v>573</v>
      </c>
      <c r="B571" s="3" t="s">
        <v>6</v>
      </c>
      <c r="C571" s="2" t="str">
        <f ca="1">IFERROR(__xludf.DUMMYFUNCTION("GOOGLETRANSLATE(A571,""bn"",""en"")"),"  The lotion was too scented and gave me a headache")</f>
        <v xml:space="preserve">  The lotion was too scented and gave me a headache</v>
      </c>
    </row>
    <row r="572" spans="1:3" ht="15.75" customHeight="1" x14ac:dyDescent="0.25">
      <c r="A572" s="2" t="s">
        <v>574</v>
      </c>
      <c r="B572" s="3" t="s">
        <v>6</v>
      </c>
      <c r="C572" s="2" t="str">
        <f ca="1">IFERROR(__xludf.DUMMYFUNCTION("GOOGLETRANSLATE(A572,""bn"",""en"")"),"Paintbrush bristles fell off while painting")</f>
        <v>Paintbrush bristles fell off while painting</v>
      </c>
    </row>
    <row r="573" spans="1:3" ht="15.75" customHeight="1" x14ac:dyDescent="0.25">
      <c r="A573" s="2" t="s">
        <v>575</v>
      </c>
      <c r="B573" s="3" t="s">
        <v>6</v>
      </c>
      <c r="C573" s="2" t="str">
        <f ca="1">IFERROR(__xludf.DUMMYFUNCTION("GOOGLETRANSLATE(A573,""bn"",""en"")"),"Dirty and used items are not acceptable")</f>
        <v>Dirty and used items are not acceptable</v>
      </c>
    </row>
    <row r="574" spans="1:3" ht="15.75" customHeight="1" x14ac:dyDescent="0.25">
      <c r="A574" s="2" t="s">
        <v>576</v>
      </c>
      <c r="B574" s="3" t="s">
        <v>4</v>
      </c>
      <c r="C574" s="2" t="str">
        <f ca="1">IFERROR(__xludf.DUMMYFUNCTION("GOOGLETRANSLATE(A574,""bn"",""en"")"),"Hair growth increased by using the shampoo")</f>
        <v>Hair growth increased by using the shampoo</v>
      </c>
    </row>
    <row r="575" spans="1:3" ht="15.75" customHeight="1" x14ac:dyDescent="0.25">
      <c r="A575" s="2" t="s">
        <v>577</v>
      </c>
      <c r="B575" s="3" t="s">
        <v>4</v>
      </c>
      <c r="C575" s="2" t="str">
        <f ca="1">IFERROR(__xludf.DUMMYFUNCTION("GOOGLETRANSLATE(A575,""bn"",""en"")"),"Water absorption capacity is sufficient")</f>
        <v>Water absorption capacity is sufficient</v>
      </c>
    </row>
    <row r="576" spans="1:3" ht="15.75" customHeight="1" x14ac:dyDescent="0.25">
      <c r="A576" s="2" t="s">
        <v>578</v>
      </c>
      <c r="B576" s="3" t="s">
        <v>2</v>
      </c>
      <c r="C576" s="2" t="str">
        <f ca="1">IFERROR(__xludf.DUMMYFUNCTION("GOOGLETRANSLATE(A576,""bn"",""en"")"),"Light pads are effective but not perfect")</f>
        <v>Light pads are effective but not perfect</v>
      </c>
    </row>
    <row r="577" spans="1:3" ht="15.75" customHeight="1" x14ac:dyDescent="0.25">
      <c r="A577" s="2" t="s">
        <v>579</v>
      </c>
      <c r="B577" s="3" t="s">
        <v>4</v>
      </c>
      <c r="C577" s="2" t="str">
        <f ca="1">IFERROR(__xludf.DUMMYFUNCTION("GOOGLETRANSLATE(A577,""bn"",""en"")"),"The washing power of the washing machine is very good")</f>
        <v>The washing power of the washing machine is very good</v>
      </c>
    </row>
    <row r="578" spans="1:3" ht="15.75" customHeight="1" x14ac:dyDescent="0.25">
      <c r="A578" s="2" t="s">
        <v>580</v>
      </c>
      <c r="B578" s="3" t="s">
        <v>2</v>
      </c>
      <c r="C578" s="2" t="str">
        <f ca="1">IFERROR(__xludf.DUMMYFUNCTION("GOOGLETRANSLATE(A578,""bn"",""en"")"),"There is diversity but room for further improvement")</f>
        <v>There is diversity but room for further improvement</v>
      </c>
    </row>
    <row r="579" spans="1:3" ht="15.75" customHeight="1" x14ac:dyDescent="0.25">
      <c r="A579" s="2" t="s">
        <v>581</v>
      </c>
      <c r="B579" s="3" t="s">
        <v>4</v>
      </c>
      <c r="C579" s="2" t="str">
        <f ca="1">IFERROR(__xludf.DUMMYFUNCTION("GOOGLETRANSLATE(A579,""bn"",""en"")"),"It maintains the naturalness of the makeup")</f>
        <v>It maintains the naturalness of the makeup</v>
      </c>
    </row>
    <row r="580" spans="1:3" ht="15.75" customHeight="1" x14ac:dyDescent="0.25">
      <c r="A580" s="2" t="s">
        <v>582</v>
      </c>
      <c r="B580" s="3" t="s">
        <v>4</v>
      </c>
      <c r="C580" s="2" t="str">
        <f ca="1">IFERROR(__xludf.DUMMYFUNCTION("GOOGLETRANSLATE(A580,""bn"",""en"")"),"Excellent charger great price")</f>
        <v>Excellent charger great price</v>
      </c>
    </row>
    <row r="581" spans="1:3" ht="15.75" customHeight="1" x14ac:dyDescent="0.25">
      <c r="A581" s="2" t="s">
        <v>583</v>
      </c>
      <c r="B581" s="3" t="s">
        <v>6</v>
      </c>
      <c r="C581" s="2" t="str">
        <f ca="1">IFERROR(__xludf.DUMMYFUNCTION("GOOGLETRANSLATE(A581,""bn"",""en"")"),"  Bad smell even after washing")</f>
        <v xml:space="preserve">  Bad smell even after washing</v>
      </c>
    </row>
    <row r="582" spans="1:3" ht="15.75" customHeight="1" x14ac:dyDescent="0.25">
      <c r="A582" s="2" t="s">
        <v>584</v>
      </c>
      <c r="B582" s="3" t="s">
        <v>4</v>
      </c>
      <c r="C582" s="2" t="str">
        <f ca="1">IFERROR(__xludf.DUMMYFUNCTION("GOOGLETRANSLATE(A582,""bn"",""en"")"),"Car seat covers are comfortable and durable")</f>
        <v>Car seat covers are comfortable and durable</v>
      </c>
    </row>
    <row r="583" spans="1:3" ht="15.75" customHeight="1" x14ac:dyDescent="0.25">
      <c r="A583" s="2" t="s">
        <v>585</v>
      </c>
      <c r="B583" s="3" t="s">
        <v>2</v>
      </c>
      <c r="C583" s="2" t="str">
        <f ca="1">IFERROR(__xludf.DUMMYFUNCTION("GOOGLETRANSLATE(A583,""bn"",""en"")"),"The growth rate of the crop did not increase much but the manure was not wasted either")</f>
        <v>The growth rate of the crop did not increase much but the manure was not wasted either</v>
      </c>
    </row>
    <row r="584" spans="1:3" ht="15.75" customHeight="1" x14ac:dyDescent="0.25">
      <c r="A584" s="2" t="s">
        <v>586</v>
      </c>
      <c r="B584" s="3" t="s">
        <v>4</v>
      </c>
      <c r="C584" s="2" t="str">
        <f ca="1">IFERROR(__xludf.DUMMYFUNCTION("GOOGLETRANSLATE(A584,""bn"",""en"")"),"Everyone in our class is always attentive")</f>
        <v>Everyone in our class is always attentive</v>
      </c>
    </row>
    <row r="585" spans="1:3" ht="15.75" customHeight="1" x14ac:dyDescent="0.25">
      <c r="A585" s="2" t="s">
        <v>587</v>
      </c>
      <c r="B585" s="3" t="s">
        <v>4</v>
      </c>
      <c r="C585" s="2" t="str">
        <f ca="1">IFERROR(__xludf.DUMMYFUNCTION("GOOGLETRANSLATE(A585,""bn"",""en"")"),"Useful and simple are fine")</f>
        <v>Useful and simple are fine</v>
      </c>
    </row>
    <row r="586" spans="1:3" ht="15.75" customHeight="1" x14ac:dyDescent="0.25">
      <c r="A586" s="2" t="s">
        <v>588</v>
      </c>
      <c r="B586" s="3" t="s">
        <v>2</v>
      </c>
      <c r="C586" s="2" t="str">
        <f ca="1">IFERROR(__xludf.DUMMYFUNCTION("GOOGLETRANSLATE(A586,""bn"",""en"")"),"Good for fashion but not very durable")</f>
        <v>Good for fashion but not very durable</v>
      </c>
    </row>
    <row r="587" spans="1:3" ht="15.75" customHeight="1" x14ac:dyDescent="0.25">
      <c r="A587" s="2" t="s">
        <v>589</v>
      </c>
      <c r="B587" s="3" t="s">
        <v>6</v>
      </c>
      <c r="C587" s="2" t="str">
        <f ca="1">IFERROR(__xludf.DUMMYFUNCTION("GOOGLETRANSLATE(A587,""bn"",""en"")"),"The coffee filter basket of the automatic coffee maker bends easily")</f>
        <v>The coffee filter basket of the automatic coffee maker bends easily</v>
      </c>
    </row>
    <row r="588" spans="1:3" ht="15.75" customHeight="1" x14ac:dyDescent="0.25">
      <c r="A588" s="2" t="s">
        <v>590</v>
      </c>
      <c r="B588" s="3" t="s">
        <v>4</v>
      </c>
      <c r="C588" s="2" t="str">
        <f ca="1">IFERROR(__xludf.DUMMYFUNCTION("GOOGLETRANSLATE(A588,""bn"",""en"")"),"The wood quality of the bookcase is exceptional and will last a long time")</f>
        <v>The wood quality of the bookcase is exceptional and will last a long time</v>
      </c>
    </row>
    <row r="589" spans="1:3" ht="15.75" customHeight="1" x14ac:dyDescent="0.25">
      <c r="A589" s="2" t="s">
        <v>591</v>
      </c>
      <c r="B589" s="3" t="s">
        <v>2</v>
      </c>
      <c r="C589" s="2" t="str">
        <f ca="1">IFERROR(__xludf.DUMMYFUNCTION("GOOGLETRANSLATE(A589,""bn"",""en"")"),"Fluoride levels in toothpaste are normal")</f>
        <v>Fluoride levels in toothpaste are normal</v>
      </c>
    </row>
    <row r="590" spans="1:3" ht="15.75" customHeight="1" x14ac:dyDescent="0.25">
      <c r="A590" s="2" t="s">
        <v>592</v>
      </c>
      <c r="B590" s="3" t="s">
        <v>6</v>
      </c>
      <c r="C590" s="2" t="str">
        <f ca="1">IFERROR(__xludf.DUMMYFUNCTION("GOOGLETRANSLATE(A590,""bn"",""en"")"),"The Leavein conditioner makes my hair look greasy and flat")</f>
        <v>The Leavein conditioner makes my hair look greasy and flat</v>
      </c>
    </row>
    <row r="591" spans="1:3" ht="15.75" customHeight="1" x14ac:dyDescent="0.25">
      <c r="A591" s="2" t="s">
        <v>593</v>
      </c>
      <c r="B591" s="3" t="s">
        <v>4</v>
      </c>
      <c r="C591" s="2" t="str">
        <f ca="1">IFERROR(__xludf.DUMMYFUNCTION("GOOGLETRANSLATE(A591,""bn"",""en"")"),"It gives me great relief while lying in bed")</f>
        <v>It gives me great relief while lying in bed</v>
      </c>
    </row>
    <row r="592" spans="1:3" ht="15.75" customHeight="1" x14ac:dyDescent="0.25">
      <c r="A592" s="2" t="s">
        <v>594</v>
      </c>
      <c r="B592" s="3" t="s">
        <v>2</v>
      </c>
      <c r="C592" s="2" t="str">
        <f ca="1">IFERROR(__xludf.DUMMYFUNCTION("GOOGLETRANSLATE(A592,""bn"",""en"")"),"It increases the child's imagination but the scope is limited")</f>
        <v>It increases the child's imagination but the scope is limited</v>
      </c>
    </row>
    <row r="593" spans="1:3" ht="15.75" customHeight="1" x14ac:dyDescent="0.25">
      <c r="A593" s="2" t="s">
        <v>595</v>
      </c>
      <c r="B593" s="3" t="s">
        <v>2</v>
      </c>
      <c r="C593" s="2" t="str">
        <f ca="1">IFERROR(__xludf.DUMMYFUNCTION("GOOGLETRANSLATE(A593,""bn"",""en"")"),"Running jersey fabric is comfortable but gets soaked in sweat quickly")</f>
        <v>Running jersey fabric is comfortable but gets soaked in sweat quickly</v>
      </c>
    </row>
    <row r="594" spans="1:3" ht="15.75" customHeight="1" x14ac:dyDescent="0.25">
      <c r="A594" s="2" t="s">
        <v>596</v>
      </c>
      <c r="B594" s="3" t="s">
        <v>6</v>
      </c>
      <c r="C594" s="2" t="str">
        <f ca="1">IFERROR(__xludf.DUMMYFUNCTION("GOOGLETRANSLATE(A594,""bn"",""en"")"),"The flavor was inconsistent from batch to batch and lacked reliability")</f>
        <v>The flavor was inconsistent from batch to batch and lacked reliability</v>
      </c>
    </row>
    <row r="595" spans="1:3" ht="15.75" customHeight="1" x14ac:dyDescent="0.25">
      <c r="A595" s="2" t="s">
        <v>597</v>
      </c>
      <c r="B595" s="3" t="s">
        <v>4</v>
      </c>
      <c r="C595" s="2" t="str">
        <f ca="1">IFERROR(__xludf.DUMMYFUNCTION("GOOGLETRANSLATE(A595,""bn"",""en"")")," I don't know how to express it. In a word, an amazing product ")</f>
        <v xml:space="preserve"> I don't know how to express it. In a word, an amazing product </v>
      </c>
    </row>
    <row r="596" spans="1:3" ht="15.75" customHeight="1" x14ac:dyDescent="0.25">
      <c r="A596" s="2" t="s">
        <v>598</v>
      </c>
      <c r="B596" s="3" t="s">
        <v>6</v>
      </c>
      <c r="C596" s="2" t="str">
        <f ca="1">IFERROR(__xludf.DUMMYFUNCTION("GOOGLETRANSLATE(A596,""bn"",""en"")"),"The casing of the power bank gets scratched easily, spoiling its appearance")</f>
        <v>The casing of the power bank gets scratched easily, spoiling its appearance</v>
      </c>
    </row>
    <row r="597" spans="1:3" ht="15.75" customHeight="1" x14ac:dyDescent="0.25">
      <c r="A597" s="2" t="s">
        <v>599</v>
      </c>
      <c r="B597" s="3" t="s">
        <v>2</v>
      </c>
      <c r="C597" s="2" t="str">
        <f ca="1">IFERROR(__xludf.DUMMYFUNCTION("GOOGLETRANSLATE(A597,""bn"",""en"")"),"Love is mediocre")</f>
        <v>Love is mediocre</v>
      </c>
    </row>
    <row r="598" spans="1:3" ht="15.75" customHeight="1" x14ac:dyDescent="0.25">
      <c r="A598" s="2" t="s">
        <v>600</v>
      </c>
      <c r="B598" s="3" t="s">
        <v>6</v>
      </c>
      <c r="C598" s="2" t="str">
        <f ca="1">IFERROR(__xludf.DUMMYFUNCTION("GOOGLETRANSLATE(A598,""bn"",""en"")")," The handle was very thin and felt flimsy")</f>
        <v xml:space="preserve"> The handle was very thin and felt flimsy</v>
      </c>
    </row>
    <row r="599" spans="1:3" ht="15.75" customHeight="1" x14ac:dyDescent="0.25">
      <c r="A599" s="2" t="s">
        <v>601</v>
      </c>
      <c r="B599" s="3" t="s">
        <v>6</v>
      </c>
      <c r="C599" s="2" t="str">
        <f ca="1">IFERROR(__xludf.DUMMYFUNCTION("GOOGLETRANSLATE(A599,""bn"",""en"")"),"The texturizing spray left my hair feeling dry and tangled")</f>
        <v>The texturizing spray left my hair feeling dry and tangled</v>
      </c>
    </row>
    <row r="600" spans="1:3" ht="15.75" customHeight="1" x14ac:dyDescent="0.25">
      <c r="A600" s="2" t="s">
        <v>602</v>
      </c>
      <c r="B600" s="3" t="s">
        <v>4</v>
      </c>
      <c r="C600" s="2" t="str">
        <f ca="1">IFERROR(__xludf.DUMMYFUNCTION("GOOGLETRANSLATE(A600,""bn"",""en"")"),"Genji was very good. Mashallah, I don't know how it is, but I like the product")</f>
        <v>Genji was very good. Mashallah, I don't know how it is, but I like the product</v>
      </c>
    </row>
    <row r="601" spans="1:3" ht="15.75" customHeight="1" x14ac:dyDescent="0.25">
      <c r="A601" s="2" t="s">
        <v>603</v>
      </c>
      <c r="B601" s="3" t="s">
        <v>2</v>
      </c>
      <c r="C601" s="2" t="str">
        <f ca="1">IFERROR(__xludf.DUMMYFUNCTION("GOOGLETRANSLATE(A601,""bn"",""en"")"),"iPhone charging cord is good in terms of quality but the price is very high")</f>
        <v>iPhone charging cord is good in terms of quality but the price is very high</v>
      </c>
    </row>
    <row r="602" spans="1:3" ht="15.75" customHeight="1" x14ac:dyDescent="0.25">
      <c r="A602" s="2" t="s">
        <v>604</v>
      </c>
      <c r="B602" s="3" t="s">
        <v>6</v>
      </c>
      <c r="C602" s="2" t="str">
        <f ca="1">IFERROR(__xludf.DUMMYFUNCTION("GOOGLETRANSLATE(A602,""bn"",""en"")")," The door hinge is loose causing the door to hang and not close properly")</f>
        <v xml:space="preserve"> The door hinge is loose causing the door to hang and not close properly</v>
      </c>
    </row>
    <row r="603" spans="1:3" ht="15.75" customHeight="1" x14ac:dyDescent="0.25">
      <c r="A603" s="2" t="s">
        <v>605</v>
      </c>
      <c r="B603" s="3" t="s">
        <v>6</v>
      </c>
      <c r="C603" s="2" t="str">
        <f ca="1">IFERROR(__xludf.DUMMYFUNCTION("GOOGLETRANSLATE(A603,""bn"",""en"")"),"The hair mask was difficult to wash off leaving a heavy residue that weighed my hair down")</f>
        <v>The hair mask was difficult to wash off leaving a heavy residue that weighed my hair down</v>
      </c>
    </row>
    <row r="604" spans="1:3" ht="15.75" customHeight="1" x14ac:dyDescent="0.25">
      <c r="A604" s="2" t="s">
        <v>606</v>
      </c>
      <c r="B604" s="3" t="s">
        <v>4</v>
      </c>
      <c r="C604" s="2" t="str">
        <f ca="1">IFERROR(__xludf.DUMMYFUNCTION("GOOGLETRANSLATE(A604,""bn"",""en"")"),"has become an essential part of the decor")</f>
        <v>has become an essential part of the decor</v>
      </c>
    </row>
    <row r="605" spans="1:3" ht="15.75" customHeight="1" x14ac:dyDescent="0.25">
      <c r="A605" s="2" t="s">
        <v>607</v>
      </c>
      <c r="B605" s="3" t="s">
        <v>4</v>
      </c>
      <c r="C605" s="2" t="str">
        <f ca="1">IFERROR(__xludf.DUMMYFUNCTION("GOOGLETRANSLATE(A605,""bn"",""en"")"),"The price of the fan is very worthy according to its working quality")</f>
        <v>The price of the fan is very worthy according to its working quality</v>
      </c>
    </row>
    <row r="606" spans="1:3" ht="15.75" customHeight="1" x14ac:dyDescent="0.25">
      <c r="A606" s="2" t="s">
        <v>608</v>
      </c>
      <c r="B606" s="3" t="s">
        <v>4</v>
      </c>
      <c r="C606" s="2" t="str">
        <f ca="1">IFERROR(__xludf.DUMMYFUNCTION("GOOGLETRANSLATE(A606,""bn"",""en"")")," Love it, thank you very much ")</f>
        <v xml:space="preserve"> Love it, thank you very much </v>
      </c>
    </row>
    <row r="607" spans="1:3" ht="15.75" customHeight="1" x14ac:dyDescent="0.25">
      <c r="A607" s="2" t="s">
        <v>609</v>
      </c>
      <c r="B607" s="3" t="s">
        <v>6</v>
      </c>
      <c r="C607" s="2" t="str">
        <f ca="1">IFERROR(__xludf.DUMMYFUNCTION("GOOGLETRANSLATE(A607,""bn"",""en"")"),"  Looks significantly different in person than in photo")</f>
        <v xml:space="preserve">  Looks significantly different in person than in photo</v>
      </c>
    </row>
    <row r="608" spans="1:3" ht="15.75" customHeight="1" x14ac:dyDescent="0.25">
      <c r="A608" s="2" t="s">
        <v>610</v>
      </c>
      <c r="B608" s="3" t="s">
        <v>2</v>
      </c>
      <c r="C608" s="2" t="str">
        <f ca="1">IFERROR(__xludf.DUMMYFUNCTION("GOOGLETRANSLATE(A608,""bn"",""en"")"),"The texture is there but could be more varied")</f>
        <v>The texture is there but could be more varied</v>
      </c>
    </row>
    <row r="609" spans="1:3" ht="15.75" customHeight="1" x14ac:dyDescent="0.25">
      <c r="A609" s="2" t="s">
        <v>611</v>
      </c>
      <c r="B609" s="3" t="s">
        <v>4</v>
      </c>
      <c r="C609" s="2" t="str">
        <f ca="1">IFERROR(__xludf.DUMMYFUNCTION("GOOGLETRANSLATE(A609,""bn"",""en"")"),"The joints of each piece are tightly clamped")</f>
        <v>The joints of each piece are tightly clamped</v>
      </c>
    </row>
    <row r="610" spans="1:3" ht="15.75" customHeight="1" x14ac:dyDescent="0.25">
      <c r="A610" s="2" t="s">
        <v>612</v>
      </c>
      <c r="B610" s="3" t="s">
        <v>2</v>
      </c>
      <c r="C610" s="2" t="str">
        <f ca="1">IFERROR(__xludf.DUMMYFUNCTION("GOOGLETRANSLATE(A610,""bn"",""en"")"),"Feels a bit light but still usable")</f>
        <v>Feels a bit light but still usable</v>
      </c>
    </row>
    <row r="611" spans="1:3" ht="15.75" customHeight="1" x14ac:dyDescent="0.25">
      <c r="A611" s="2" t="s">
        <v>613</v>
      </c>
      <c r="B611" s="3" t="s">
        <v>2</v>
      </c>
      <c r="C611" s="2" t="str">
        <f ca="1">IFERROR(__xludf.DUMMYFUNCTION("GOOGLETRANSLATE(A611,""bn"",""en"")"),"Easy to take out of the packaging")</f>
        <v>Easy to take out of the packaging</v>
      </c>
    </row>
    <row r="612" spans="1:3" ht="15.75" customHeight="1" x14ac:dyDescent="0.25">
      <c r="A612" s="2" t="s">
        <v>614</v>
      </c>
      <c r="B612" s="3" t="s">
        <v>6</v>
      </c>
      <c r="C612" s="2" t="str">
        <f ca="1">IFERROR(__xludf.DUMMYFUNCTION("GOOGLETRANSLATE(A612,""bn"",""en"")"),"Seams are poorly reinforced and prone to tearing")</f>
        <v>Seams are poorly reinforced and prone to tearing</v>
      </c>
    </row>
    <row r="613" spans="1:3" ht="15.75" customHeight="1" x14ac:dyDescent="0.25">
      <c r="A613" s="2" t="s">
        <v>615</v>
      </c>
      <c r="B613" s="3" t="s">
        <v>2</v>
      </c>
      <c r="C613" s="2" t="str">
        <f ca="1">IFERROR(__xludf.DUMMYFUNCTION("GOOGLETRANSLATE(A613,""bn"",""en"")"),"It is available in different colors")</f>
        <v>It is available in different colors</v>
      </c>
    </row>
    <row r="614" spans="1:3" ht="15.75" customHeight="1" x14ac:dyDescent="0.25">
      <c r="A614" s="2" t="s">
        <v>616</v>
      </c>
      <c r="B614" s="3" t="s">
        <v>4</v>
      </c>
      <c r="C614" s="2" t="str">
        <f ca="1">IFERROR(__xludf.DUMMYFUNCTION("GOOGLETRANSLATE(A614,""bn"",""en"")"),"Brings cheerfulness to the mind")</f>
        <v>Brings cheerfulness to the mind</v>
      </c>
    </row>
    <row r="615" spans="1:3" ht="15.75" customHeight="1" x14ac:dyDescent="0.25">
      <c r="A615" s="2" t="s">
        <v>617</v>
      </c>
      <c r="B615" s="3" t="s">
        <v>6</v>
      </c>
      <c r="C615" s="2" t="str">
        <f ca="1">IFERROR(__xludf.DUMMYFUNCTION("GOOGLETRANSLATE(A615,""bn"",""en"")"),"Poor quality materials result in a short lifespan")</f>
        <v>Poor quality materials result in a short lifespan</v>
      </c>
    </row>
    <row r="616" spans="1:3" ht="15.75" customHeight="1" x14ac:dyDescent="0.25">
      <c r="A616" s="2" t="s">
        <v>618</v>
      </c>
      <c r="B616" s="3" t="s">
        <v>2</v>
      </c>
      <c r="C616" s="2" t="str">
        <f ca="1">IFERROR(__xludf.DUMMYFUNCTION("GOOGLETRANSLATE(A616,""bn"",""en"")"),"Reviews are fair")</f>
        <v>Reviews are fair</v>
      </c>
    </row>
    <row r="617" spans="1:3" ht="15.75" customHeight="1" x14ac:dyDescent="0.25">
      <c r="A617" s="2" t="s">
        <v>619</v>
      </c>
      <c r="B617" s="3" t="s">
        <v>6</v>
      </c>
      <c r="C617" s="2" t="str">
        <f ca="1">IFERROR(__xludf.DUMMYFUNCTION("GOOGLETRANSLATE(A617,""bn"",""en"")"),"The fabric feels rough and irritating against the skin")</f>
        <v>The fabric feels rough and irritating against the skin</v>
      </c>
    </row>
    <row r="618" spans="1:3" ht="15.75" customHeight="1" x14ac:dyDescent="0.25">
      <c r="A618" s="2" t="s">
        <v>620</v>
      </c>
      <c r="B618" s="3" t="s">
        <v>4</v>
      </c>
      <c r="C618" s="2" t="str">
        <f ca="1">IFERROR(__xludf.DUMMYFUNCTION("GOOGLETRANSLATE(A618,""bn"",""en"")"),"Its dehumidifying mode keeps the humidity in my room under control without feeling stuffy anymore")</f>
        <v>Its dehumidifying mode keeps the humidity in my room under control without feeling stuffy anymore</v>
      </c>
    </row>
    <row r="619" spans="1:3" ht="15.75" customHeight="1" x14ac:dyDescent="0.25">
      <c r="A619" s="2" t="s">
        <v>621</v>
      </c>
      <c r="B619" s="3" t="s">
        <v>4</v>
      </c>
      <c r="C619" s="2" t="str">
        <f ca="1">IFERROR(__xludf.DUMMYFUNCTION("GOOGLETRANSLATE(A619,""bn"",""en"")"),"Perfect phone photo storage")</f>
        <v>Perfect phone photo storage</v>
      </c>
    </row>
    <row r="620" spans="1:3" ht="15.75" customHeight="1" x14ac:dyDescent="0.25">
      <c r="A620" s="2" t="s">
        <v>622</v>
      </c>
      <c r="B620" s="3" t="s">
        <v>6</v>
      </c>
      <c r="C620" s="2" t="str">
        <f ca="1">IFERROR(__xludf.DUMMYFUNCTION("GOOGLETRANSLATE(A620,""bn"",""en"")"),"After just one wash the color of the garment fades drastically making it look shabby and cheap")</f>
        <v>After just one wash the color of the garment fades drastically making it look shabby and cheap</v>
      </c>
    </row>
    <row r="621" spans="1:3" ht="15.75" customHeight="1" x14ac:dyDescent="0.25">
      <c r="A621" s="2" t="s">
        <v>623</v>
      </c>
      <c r="B621" s="3" t="s">
        <v>2</v>
      </c>
      <c r="C621" s="2" t="str">
        <f ca="1">IFERROR(__xludf.DUMMYFUNCTION("GOOGLETRANSLATE(A621,""bn"",""en"")"),"Plug quality is fairly good")</f>
        <v>Plug quality is fairly good</v>
      </c>
    </row>
    <row r="622" spans="1:3" ht="15.75" customHeight="1" x14ac:dyDescent="0.25">
      <c r="A622" s="2" t="s">
        <v>624</v>
      </c>
      <c r="B622" s="3" t="s">
        <v>6</v>
      </c>
      <c r="C622" s="2" t="str">
        <f ca="1">IFERROR(__xludf.DUMMYFUNCTION("GOOGLETRANSLATE(A622,""bn"",""en"")"),"The screen flickers occasionally, causing eye strain and headaches due to prolonged use")</f>
        <v>The screen flickers occasionally, causing eye strain and headaches due to prolonged use</v>
      </c>
    </row>
    <row r="623" spans="1:3" ht="15.75" customHeight="1" x14ac:dyDescent="0.25">
      <c r="A623" s="2" t="s">
        <v>625</v>
      </c>
      <c r="B623" s="3" t="s">
        <v>4</v>
      </c>
      <c r="C623" s="2" t="str">
        <f ca="1">IFERROR(__xludf.DUMMYFUNCTION("GOOGLETRANSLATE(A623,""bn"",""en"")"),"Everything from the packaging of the earrings to the product itself was excellent")</f>
        <v>Everything from the packaging of the earrings to the product itself was excellent</v>
      </c>
    </row>
    <row r="624" spans="1:3" ht="15.75" customHeight="1" x14ac:dyDescent="0.25">
      <c r="A624" s="2" t="s">
        <v>626</v>
      </c>
      <c r="B624" s="3" t="s">
        <v>4</v>
      </c>
      <c r="C624" s="2" t="str">
        <f ca="1">IFERROR(__xludf.DUMMYFUNCTION("GOOGLETRANSLATE(A624,""bn"",""en"")"),"Its taste reminds me of days spent abroad")</f>
        <v>Its taste reminds me of days spent abroad</v>
      </c>
    </row>
    <row r="625" spans="1:3" ht="15.75" customHeight="1" x14ac:dyDescent="0.25">
      <c r="A625" s="2" t="s">
        <v>627</v>
      </c>
      <c r="B625" s="3" t="s">
        <v>2</v>
      </c>
      <c r="C625" s="2" t="str">
        <f ca="1">IFERROR(__xludf.DUMMYFUNCTION("GOOGLETRANSLATE(A625,""bn"",""en"")"),"The toothpaste doesn't taste too sweet")</f>
        <v>The toothpaste doesn't taste too sweet</v>
      </c>
    </row>
    <row r="626" spans="1:3" ht="15.75" customHeight="1" x14ac:dyDescent="0.25">
      <c r="A626" s="2" t="s">
        <v>628</v>
      </c>
      <c r="B626" s="3" t="s">
        <v>6</v>
      </c>
      <c r="C626" s="2" t="str">
        <f ca="1">IFERROR(__xludf.DUMMYFUNCTION("GOOGLETRANSLATE(A626,""bn"",""en"")"),"The conditioner didn't moisturize my hair enough leaving it frizzy and unruly")</f>
        <v>The conditioner didn't moisturize my hair enough leaving it frizzy and unruly</v>
      </c>
    </row>
    <row r="627" spans="1:3" ht="15.75" customHeight="1" x14ac:dyDescent="0.25">
      <c r="A627" s="2" t="s">
        <v>629</v>
      </c>
      <c r="B627" s="3" t="s">
        <v>4</v>
      </c>
      <c r="C627" s="2" t="str">
        <f ca="1">IFERROR(__xludf.DUMMYFUNCTION("GOOGLETRANSLATE(A627,""bn"",""en"")"),"My daughter hugs the doll when she goes to sleep at night and it has become a security object for her")</f>
        <v>My daughter hugs the doll when she goes to sleep at night and it has become a security object for her</v>
      </c>
    </row>
    <row r="628" spans="1:3" ht="15.75" customHeight="1" x14ac:dyDescent="0.25">
      <c r="A628" s="2" t="s">
        <v>630</v>
      </c>
      <c r="B628" s="3" t="s">
        <v>4</v>
      </c>
      <c r="C628" s="2" t="str">
        <f ca="1">IFERROR(__xludf.DUMMYFUNCTION("GOOGLETRANSLATE(A628,""bn"",""en"")"),"The girl has excelled in her exams")</f>
        <v>The girl has excelled in her exams</v>
      </c>
    </row>
    <row r="629" spans="1:3" ht="15.75" customHeight="1" x14ac:dyDescent="0.25">
      <c r="A629" s="2" t="s">
        <v>631</v>
      </c>
      <c r="B629" s="3" t="s">
        <v>6</v>
      </c>
      <c r="C629" s="2" t="str">
        <f ca="1">IFERROR(__xludf.DUMMYFUNCTION("GOOGLETRANSLATE(A629,""bn"",""en"")"),"  The mask dried out my skin instead of moisturizing it")</f>
        <v xml:space="preserve">  The mask dried out my skin instead of moisturizing it</v>
      </c>
    </row>
    <row r="630" spans="1:3" ht="15.75" customHeight="1" x14ac:dyDescent="0.25">
      <c r="A630" s="2" t="s">
        <v>632</v>
      </c>
      <c r="B630" s="3" t="s">
        <v>4</v>
      </c>
      <c r="C630" s="2" t="str">
        <f ca="1">IFERROR(__xludf.DUMMYFUNCTION("GOOGLETRANSLATE(A630,""bn"",""en"")")," Excellent security camera is a very good product")</f>
        <v xml:space="preserve"> Excellent security camera is a very good product</v>
      </c>
    </row>
    <row r="631" spans="1:3" ht="15.75" customHeight="1" x14ac:dyDescent="0.25">
      <c r="A631" s="2" t="s">
        <v>633</v>
      </c>
      <c r="B631" s="3" t="s">
        <v>6</v>
      </c>
      <c r="C631" s="2" t="str">
        <f ca="1">IFERROR(__xludf.DUMMYFUNCTION("GOOGLETRANSLATE(A631,""bn"",""en"")"),"The polish is very abrasive and made my skin red")</f>
        <v>The polish is very abrasive and made my skin red</v>
      </c>
    </row>
    <row r="632" spans="1:3" ht="15.75" customHeight="1" x14ac:dyDescent="0.25">
      <c r="A632" s="2" t="s">
        <v>634</v>
      </c>
      <c r="B632" s="3" t="s">
        <v>4</v>
      </c>
      <c r="C632" s="2" t="str">
        <f ca="1">IFERROR(__xludf.DUMMYFUNCTION("GOOGLETRANSLATE(A632,""bn"",""en"")"),"I wore these earrings to a wedding and got so many compliments")</f>
        <v>I wore these earrings to a wedding and got so many compliments</v>
      </c>
    </row>
    <row r="633" spans="1:3" ht="15.75" customHeight="1" x14ac:dyDescent="0.25">
      <c r="A633" s="2" t="s">
        <v>635</v>
      </c>
      <c r="B633" s="3" t="s">
        <v>2</v>
      </c>
      <c r="C633" s="2" t="str">
        <f ca="1">IFERROR(__xludf.DUMMYFUNCTION("GOOGLETRANSLATE(A633,""bn"",""en"")"),"Well some items are low quality")</f>
        <v>Well some items are low quality</v>
      </c>
    </row>
    <row r="634" spans="1:3" ht="15.75" customHeight="1" x14ac:dyDescent="0.25">
      <c r="A634" s="2" t="s">
        <v>636</v>
      </c>
      <c r="B634" s="3" t="s">
        <v>6</v>
      </c>
      <c r="C634" s="2" t="str">
        <f ca="1">IFERROR(__xludf.DUMMYFUNCTION("GOOGLETRANSLATE(A634,""bn"",""en"")")," The fan emits a foul odor while running that suggests debris build-up inside")</f>
        <v xml:space="preserve"> The fan emits a foul odor while running that suggests debris build-up inside</v>
      </c>
    </row>
    <row r="635" spans="1:3" ht="15.75" customHeight="1" x14ac:dyDescent="0.25">
      <c r="A635" s="2" t="s">
        <v>637</v>
      </c>
      <c r="B635" s="3" t="s">
        <v>6</v>
      </c>
      <c r="C635" s="2" t="str">
        <f ca="1">IFERROR(__xludf.DUMMYFUNCTION("GOOGLETRANSLATE(A635,""bn"",""en"")"),"The canvas had visible manufacturing defects")</f>
        <v>The canvas had visible manufacturing defects</v>
      </c>
    </row>
    <row r="636" spans="1:3" ht="15.75" customHeight="1" x14ac:dyDescent="0.25">
      <c r="A636" s="2" t="s">
        <v>638</v>
      </c>
      <c r="B636" s="3" t="s">
        <v>6</v>
      </c>
      <c r="C636" s="2" t="str">
        <f ca="1">IFERROR(__xludf.DUMMYFUNCTION("GOOGLETRANSLATE(A636,""bn"",""en"")"),"Unresponsive customer service fails to address concerns")</f>
        <v>Unresponsive customer service fails to address concerns</v>
      </c>
    </row>
    <row r="637" spans="1:3" ht="15.75" customHeight="1" x14ac:dyDescent="0.25">
      <c r="A637" s="2" t="s">
        <v>639</v>
      </c>
      <c r="B637" s="3" t="s">
        <v>4</v>
      </c>
      <c r="C637" s="2" t="str">
        <f ca="1">IFERROR(__xludf.DUMMYFUNCTION("GOOGLETRANSLATE(A637,""bn"",""en"")"),"Each level of the shelf can be set up separately")</f>
        <v>Each level of the shelf can be set up separately</v>
      </c>
    </row>
    <row r="638" spans="1:3" ht="15.75" customHeight="1" x14ac:dyDescent="0.25">
      <c r="A638" s="2" t="s">
        <v>640</v>
      </c>
      <c r="B638" s="3" t="s">
        <v>2</v>
      </c>
      <c r="C638" s="2" t="str">
        <f ca="1">IFERROR(__xludf.DUMMYFUNCTION("GOOGLETRANSLATE(A638,""bn"",""en"")"),"The beans are dry with no signs of moisture")</f>
        <v>The beans are dry with no signs of moisture</v>
      </c>
    </row>
    <row r="639" spans="1:3" ht="15.75" customHeight="1" x14ac:dyDescent="0.25">
      <c r="A639" s="2" t="s">
        <v>641</v>
      </c>
      <c r="B639" s="3" t="s">
        <v>6</v>
      </c>
      <c r="C639" s="2" t="str">
        <f ca="1">IFERROR(__xludf.DUMMYFUNCTION("GOOGLETRANSLATE(A639,""bn"",""en"")"),"Software bloated with unnecessary features slows down performance and responsiveness")</f>
        <v>Software bloated with unnecessary features slows down performance and responsiveness</v>
      </c>
    </row>
    <row r="640" spans="1:3" ht="15.75" customHeight="1" x14ac:dyDescent="0.25">
      <c r="A640" s="2" t="s">
        <v>642</v>
      </c>
      <c r="B640" s="3" t="s">
        <v>6</v>
      </c>
      <c r="C640" s="2" t="str">
        <f ca="1">IFERROR(__xludf.DUMMYFUNCTION("GOOGLETRANSLATE(A640,""bn"",""en"")"),"Automatic coffee makers are disappointing by making weak coffee")</f>
        <v>Automatic coffee makers are disappointing by making weak coffee</v>
      </c>
    </row>
    <row r="641" spans="1:3" ht="15.75" customHeight="1" x14ac:dyDescent="0.25">
      <c r="A641" s="2" t="s">
        <v>643</v>
      </c>
      <c r="B641" s="3" t="s">
        <v>2</v>
      </c>
      <c r="C641" s="2" t="str">
        <f ca="1">IFERROR(__xludf.DUMMYFUNCTION("GOOGLETRANSLATE(A641,""bn"",""en"")"),"Care should be taken when changing the water")</f>
        <v>Care should be taken when changing the water</v>
      </c>
    </row>
    <row r="642" spans="1:3" ht="15.75" customHeight="1" x14ac:dyDescent="0.25">
      <c r="A642" s="2" t="s">
        <v>644</v>
      </c>
      <c r="B642" s="3" t="s">
        <v>2</v>
      </c>
      <c r="C642" s="2" t="str">
        <f ca="1">IFERROR(__xludf.DUMMYFUNCTION("GOOGLETRANSLATE(A642,""bn"",""en"")"),"The brush color is neutral")</f>
        <v>The brush color is neutral</v>
      </c>
    </row>
    <row r="643" spans="1:3" ht="15.75" customHeight="1" x14ac:dyDescent="0.25">
      <c r="A643" s="2" t="s">
        <v>645</v>
      </c>
      <c r="B643" s="3" t="s">
        <v>2</v>
      </c>
      <c r="C643" s="2" t="str">
        <f ca="1">IFERROR(__xludf.DUMMYFUNCTION("GOOGLETRANSLATE(A643,""bn"",""en"")"),"The fabric is solid but nothing special")</f>
        <v>The fabric is solid but nothing special</v>
      </c>
    </row>
    <row r="644" spans="1:3" ht="15.75" customHeight="1" x14ac:dyDescent="0.25">
      <c r="A644" s="2" t="s">
        <v>646</v>
      </c>
      <c r="B644" s="3" t="s">
        <v>6</v>
      </c>
      <c r="C644" s="2" t="str">
        <f ca="1">IFERROR(__xludf.DUMMYFUNCTION("GOOGLETRANSLATE(A644,""bn"",""en"")"),"The garment was prone to static cling which caused it to cling awkwardly to the body")</f>
        <v>The garment was prone to static cling which caused it to cling awkwardly to the body</v>
      </c>
    </row>
    <row r="645" spans="1:3" ht="15.75" customHeight="1" x14ac:dyDescent="0.25">
      <c r="A645" s="2" t="s">
        <v>647</v>
      </c>
      <c r="B645" s="3" t="s">
        <v>6</v>
      </c>
      <c r="C645" s="2" t="str">
        <f ca="1">IFERROR(__xludf.DUMMYFUNCTION("GOOGLETRANSLATE(A645,""bn"",""en"")"),"The electric kettle's power cord is too small to limit mounting options")</f>
        <v>The electric kettle's power cord is too small to limit mounting options</v>
      </c>
    </row>
    <row r="646" spans="1:3" ht="15.75" customHeight="1" x14ac:dyDescent="0.25">
      <c r="A646" s="2" t="s">
        <v>648</v>
      </c>
      <c r="B646" s="3" t="s">
        <v>6</v>
      </c>
      <c r="C646" s="2" t="str">
        <f ca="1">IFERROR(__xludf.DUMMYFUNCTION("GOOGLETRANSLATE(A646,""bn"",""en"")")," The door does not close properly and requires extra force to close it completely")</f>
        <v xml:space="preserve"> The door does not close properly and requires extra force to close it completely</v>
      </c>
    </row>
    <row r="647" spans="1:3" ht="15.75" customHeight="1" x14ac:dyDescent="0.25">
      <c r="A647" s="2" t="s">
        <v>649</v>
      </c>
      <c r="B647" s="3" t="s">
        <v>4</v>
      </c>
      <c r="C647" s="2" t="str">
        <f ca="1">IFERROR(__xludf.DUMMYFUNCTION("GOOGLETRANSLATE(A647,""bn"",""en"")"),"The flower brings a lively touch to my room")</f>
        <v>The flower brings a lively touch to my room</v>
      </c>
    </row>
    <row r="648" spans="1:3" ht="15.75" customHeight="1" x14ac:dyDescent="0.25">
      <c r="A648" s="2" t="s">
        <v>650</v>
      </c>
      <c r="B648" s="3" t="s">
        <v>6</v>
      </c>
      <c r="C648" s="2" t="str">
        <f ca="1">IFERROR(__xludf.DUMMYFUNCTION("GOOGLETRANSLATE(A648,""bn"",""en"")"),"The metal of the jewelry turned my skin green after only a few wears indicating poor quality materials and craftsmanship.")</f>
        <v>The metal of the jewelry turned my skin green after only a few wears indicating poor quality materials and craftsmanship.</v>
      </c>
    </row>
    <row r="649" spans="1:3" ht="15.75" customHeight="1" x14ac:dyDescent="0.25">
      <c r="A649" s="2" t="s">
        <v>651</v>
      </c>
      <c r="B649" s="3" t="s">
        <v>4</v>
      </c>
      <c r="C649" s="2" t="str">
        <f ca="1">IFERROR(__xludf.DUMMYFUNCTION("GOOGLETRANSLATE(A649,""bn"",""en"")"),"Easy to clean and odor free refrigerate and does not break easily if dropped")</f>
        <v>Easy to clean and odor free refrigerate and does not break easily if dropped</v>
      </c>
    </row>
    <row r="650" spans="1:3" ht="15.75" customHeight="1" x14ac:dyDescent="0.25">
      <c r="A650" s="2" t="s">
        <v>652</v>
      </c>
      <c r="B650" s="3" t="s">
        <v>4</v>
      </c>
      <c r="C650" s="2" t="str">
        <f ca="1">IFERROR(__xludf.DUMMYFUNCTION("GOOGLETRANSLATE(A650,""bn"",""en"")"),"This bed sheet is really awesome its fabric quality is very good touch soft and comfortable")</f>
        <v>This bed sheet is really awesome its fabric quality is very good touch soft and comfortable</v>
      </c>
    </row>
    <row r="651" spans="1:3" ht="15.75" customHeight="1" x14ac:dyDescent="0.25">
      <c r="A651" s="2" t="s">
        <v>653</v>
      </c>
      <c r="B651" s="3" t="s">
        <v>4</v>
      </c>
      <c r="C651" s="2" t="str">
        <f ca="1">IFERROR(__xludf.DUMMYFUNCTION("GOOGLETRANSLATE(A651,""bn"",""en"")"),"The plastic flower remains the same in different climates")</f>
        <v>The plastic flower remains the same in different climates</v>
      </c>
    </row>
    <row r="652" spans="1:3" ht="15.75" customHeight="1" x14ac:dyDescent="0.25">
      <c r="A652" s="2" t="s">
        <v>654</v>
      </c>
      <c r="B652" s="3" t="s">
        <v>6</v>
      </c>
      <c r="C652" s="2" t="str">
        <f ca="1">IFERROR(__xludf.DUMMYFUNCTION("GOOGLETRANSLATE(A652,""bn"",""en"")")," The charging case lid is flimsy and prone to breaking, damaging the earphones during storage or transportation")</f>
        <v xml:space="preserve"> The charging case lid is flimsy and prone to breaking, damaging the earphones during storage or transportation</v>
      </c>
    </row>
    <row r="653" spans="1:3" ht="15.75" customHeight="1" x14ac:dyDescent="0.25">
      <c r="A653" s="2" t="s">
        <v>655</v>
      </c>
      <c r="B653" s="3" t="s">
        <v>6</v>
      </c>
      <c r="C653" s="2" t="str">
        <f ca="1">IFERROR(__xludf.DUMMYFUNCTION("GOOGLETRANSLATE(A653,""bn"",""en"")"),"The frozen dinner had a rubbery texture and the flavor was bland and lacked spice ")</f>
        <v xml:space="preserve">The frozen dinner had a rubbery texture and the flavor was bland and lacked spice </v>
      </c>
    </row>
    <row r="654" spans="1:3" ht="15.75" customHeight="1" x14ac:dyDescent="0.25">
      <c r="A654" s="2" t="s">
        <v>656</v>
      </c>
      <c r="B654" s="3" t="s">
        <v>4</v>
      </c>
      <c r="C654" s="2" t="str">
        <f ca="1">IFERROR(__xludf.DUMMYFUNCTION("GOOGLETRANSLATE(A654,""bn"",""en"")"),"The tool works fine")</f>
        <v>The tool works fine</v>
      </c>
    </row>
    <row r="655" spans="1:3" ht="15.75" customHeight="1" x14ac:dyDescent="0.25">
      <c r="A655" s="2" t="s">
        <v>657</v>
      </c>
      <c r="B655" s="3" t="s">
        <v>6</v>
      </c>
      <c r="C655" s="2" t="str">
        <f ca="1">IFERROR(__xludf.DUMMYFUNCTION("GOOGLETRANSLATE(A655,""bn"",""en"")"),"Disappointing product unreliable performance")</f>
        <v>Disappointing product unreliable performance</v>
      </c>
    </row>
    <row r="656" spans="1:3" ht="15.75" customHeight="1" x14ac:dyDescent="0.25">
      <c r="A656" s="2" t="s">
        <v>658</v>
      </c>
      <c r="B656" s="3" t="s">
        <v>2</v>
      </c>
      <c r="C656" s="2" t="str">
        <f ca="1">IFERROR(__xludf.DUMMYFUNCTION("GOOGLETRANSLATE(A656,""bn"",""en"")"),"Looks nothing special in general use")</f>
        <v>Looks nothing special in general use</v>
      </c>
    </row>
    <row r="657" spans="1:3" ht="15.75" customHeight="1" x14ac:dyDescent="0.25">
      <c r="A657" s="2" t="s">
        <v>659</v>
      </c>
      <c r="B657" s="3" t="s">
        <v>6</v>
      </c>
      <c r="C657" s="2" t="str">
        <f ca="1">IFERROR(__xludf.DUMMYFUNCTION("GOOGLETRANSLATE(A657,""bn"",""en"")"),"The canvas material had an uneven weave that affected paint application")</f>
        <v>The canvas material had an uneven weave that affected paint application</v>
      </c>
    </row>
    <row r="658" spans="1:3" ht="15.75" customHeight="1" x14ac:dyDescent="0.25">
      <c r="A658" s="2" t="s">
        <v>660</v>
      </c>
      <c r="B658" s="3" t="s">
        <v>6</v>
      </c>
      <c r="C658" s="2" t="str">
        <f ca="1">IFERROR(__xludf.DUMMYFUNCTION("GOOGLETRANSLATE(A658,""bn"",""en"")"),"Electric razors are painful when used to pull hair instead of shaving")</f>
        <v>Electric razors are painful when used to pull hair instead of shaving</v>
      </c>
    </row>
    <row r="659" spans="1:3" ht="15.75" customHeight="1" x14ac:dyDescent="0.25">
      <c r="A659" s="2" t="s">
        <v>661</v>
      </c>
      <c r="B659" s="3" t="s">
        <v>6</v>
      </c>
      <c r="C659" s="2" t="str">
        <f ca="1">IFERROR(__xludf.DUMMYFUNCTION("GOOGLETRANSLATE(A659,""bn"",""en"")"),"The camera's kit lens produces soft images with subpar noticeable distortion")</f>
        <v>The camera's kit lens produces soft images with subpar noticeable distortion</v>
      </c>
    </row>
    <row r="660" spans="1:3" ht="15.75" customHeight="1" x14ac:dyDescent="0.25">
      <c r="A660" s="2" t="s">
        <v>662</v>
      </c>
      <c r="B660" s="3" t="s">
        <v>6</v>
      </c>
      <c r="C660" s="2" t="str">
        <f ca="1">IFERROR(__xludf.DUMMYFUNCTION("GOOGLETRANSLATE(A660,""bn"",""en"")"),"Packaging was difficult to open requiring scissors")</f>
        <v>Packaging was difficult to open requiring scissors</v>
      </c>
    </row>
    <row r="661" spans="1:3" ht="15.75" customHeight="1" x14ac:dyDescent="0.25">
      <c r="A661" s="2" t="s">
        <v>663</v>
      </c>
      <c r="B661" s="3" t="s">
        <v>2</v>
      </c>
      <c r="C661" s="2" t="str">
        <f ca="1">IFERROR(__xludf.DUMMYFUNCTION("GOOGLETRANSLATE(A661,""bn"",""en"")"),"It is recommended to improve the packaging quality for future deliveries")</f>
        <v>It is recommended to improve the packaging quality for future deliveries</v>
      </c>
    </row>
    <row r="662" spans="1:3" ht="15.75" customHeight="1" x14ac:dyDescent="0.25">
      <c r="A662" s="2" t="s">
        <v>664</v>
      </c>
      <c r="B662" s="3" t="s">
        <v>4</v>
      </c>
      <c r="C662" s="2" t="str">
        <f ca="1">IFERROR(__xludf.DUMMYFUNCTION("GOOGLETRANSLATE(A662,""bn"",""en"")"),"The back wall of the bookshelf is nicely finished")</f>
        <v>The back wall of the bookshelf is nicely finished</v>
      </c>
    </row>
    <row r="663" spans="1:3" ht="15.75" customHeight="1" x14ac:dyDescent="0.25">
      <c r="A663" s="2" t="s">
        <v>665</v>
      </c>
      <c r="B663" s="3" t="s">
        <v>6</v>
      </c>
      <c r="C663" s="2" t="str">
        <f ca="1">IFERROR(__xludf.DUMMYFUNCTION("GOOGLETRANSLATE(A663,""bn"",""en"")"),"Poorly made bond failure is evident")</f>
        <v>Poorly made bond failure is evident</v>
      </c>
    </row>
    <row r="664" spans="1:3" ht="15.75" customHeight="1" x14ac:dyDescent="0.25">
      <c r="A664" s="2" t="s">
        <v>666</v>
      </c>
      <c r="B664" s="3" t="s">
        <v>6</v>
      </c>
      <c r="C664" s="2" t="str">
        <f ca="1">IFERROR(__xludf.DUMMYFUNCTION("GOOGLETRANSLATE(A664,""bn"",""en"")"),"The lid of the teapot does not sit flush to allow heat to escape")</f>
        <v>The lid of the teapot does not sit flush to allow heat to escape</v>
      </c>
    </row>
    <row r="665" spans="1:3" ht="15.75" customHeight="1" x14ac:dyDescent="0.25">
      <c r="A665" s="2" t="s">
        <v>667</v>
      </c>
      <c r="B665" s="3" t="s">
        <v>6</v>
      </c>
      <c r="C665" s="2" t="str">
        <f ca="1">IFERROR(__xludf.DUMMYFUNCTION("GOOGLETRANSLATE(A665,""bn"",""en"")"),"The phone's speaker volume is too low making it difficult to hear notifications in noisy environments")</f>
        <v>The phone's speaker volume is too low making it difficult to hear notifications in noisy environments</v>
      </c>
    </row>
    <row r="666" spans="1:3" ht="15.75" customHeight="1" x14ac:dyDescent="0.25">
      <c r="A666" s="2" t="s">
        <v>668</v>
      </c>
      <c r="B666" s="3" t="s">
        <v>4</v>
      </c>
      <c r="C666" s="2" t="str">
        <f ca="1">IFERROR(__xludf.DUMMYFUNCTION("GOOGLETRANSLATE(A666,""bn"",""en"")"),"I was impressed by this coffee with a mild flavor full of aroma")</f>
        <v>I was impressed by this coffee with a mild flavor full of aroma</v>
      </c>
    </row>
    <row r="667" spans="1:3" ht="15.75" customHeight="1" x14ac:dyDescent="0.25">
      <c r="A667" s="2" t="s">
        <v>669</v>
      </c>
      <c r="B667" s="3" t="s">
        <v>6</v>
      </c>
      <c r="C667" s="2" t="str">
        <f ca="1">IFERROR(__xludf.DUMMYFUNCTION("GOOGLETRANSLATE(A667,""bn"",""en"")"),"Solar powered outdoor speaker does not connect to device No sound")</f>
        <v>Solar powered outdoor speaker does not connect to device No sound</v>
      </c>
    </row>
    <row r="668" spans="1:3" ht="15.75" customHeight="1" x14ac:dyDescent="0.25">
      <c r="A668" s="2" t="s">
        <v>670</v>
      </c>
      <c r="B668" s="3" t="s">
        <v>4</v>
      </c>
      <c r="C668" s="2" t="str">
        <f ca="1">IFERROR(__xludf.DUMMYFUNCTION("GOOGLETRANSLATE(A668,""bn"",""en"")"),"As the noise is low, it is not a problem during use")</f>
        <v>As the noise is low, it is not a problem during use</v>
      </c>
    </row>
    <row r="669" spans="1:3" ht="15.75" customHeight="1" x14ac:dyDescent="0.25">
      <c r="A669" s="2" t="s">
        <v>671</v>
      </c>
      <c r="B669" s="3" t="s">
        <v>6</v>
      </c>
      <c r="C669" s="2" t="str">
        <f ca="1">IFERROR(__xludf.DUMMYFUNCTION("GOOGLETRANSLATE(A669,""bn"",""en"")"),"Multiple reports of shampoos exacerbating existing dandruff problems")</f>
        <v>Multiple reports of shampoos exacerbating existing dandruff problems</v>
      </c>
    </row>
    <row r="670" spans="1:3" ht="15.75" customHeight="1" x14ac:dyDescent="0.25">
      <c r="A670" s="2" t="s">
        <v>672</v>
      </c>
      <c r="B670" s="3" t="s">
        <v>6</v>
      </c>
      <c r="C670" s="2" t="str">
        <f ca="1">IFERROR(__xludf.DUMMYFUNCTION("GOOGLETRANSLATE(A670,""bn"",""en"")"),"The robot toy does not respond to faulty commands")</f>
        <v>The robot toy does not respond to faulty commands</v>
      </c>
    </row>
    <row r="671" spans="1:3" ht="15.75" customHeight="1" x14ac:dyDescent="0.25">
      <c r="A671" s="2" t="s">
        <v>673</v>
      </c>
      <c r="B671" s="3" t="s">
        <v>2</v>
      </c>
      <c r="C671" s="2" t="str">
        <f ca="1">IFERROR(__xludf.DUMMYFUNCTION("GOOGLETRANSLATE(A671,""bn"",""en"")"),"It is designed to be painted on both sides")</f>
        <v>It is designed to be painted on both sides</v>
      </c>
    </row>
    <row r="672" spans="1:3" ht="15.75" customHeight="1" x14ac:dyDescent="0.25">
      <c r="A672" s="2" t="s">
        <v>674</v>
      </c>
      <c r="B672" s="3" t="s">
        <v>4</v>
      </c>
      <c r="C672" s="2" t="str">
        <f ca="1">IFERROR(__xludf.DUMMYFUNCTION("GOOGLETRANSLATE(A672,""bn"",""en"")"),"This blanket brings so much comfort to my winter nights")</f>
        <v>This blanket brings so much comfort to my winter nights</v>
      </c>
    </row>
    <row r="673" spans="1:3" ht="15.75" customHeight="1" x14ac:dyDescent="0.25">
      <c r="A673" s="2" t="s">
        <v>675</v>
      </c>
      <c r="B673" s="3" t="s">
        <v>6</v>
      </c>
      <c r="C673" s="2" t="str">
        <f ca="1">IFERROR(__xludf.DUMMYFUNCTION("GOOGLETRANSLATE(A673,""bn"",""en"")"),"The electric kettle's power switch stops working making it unusable")</f>
        <v>The electric kettle's power switch stops working making it unusable</v>
      </c>
    </row>
    <row r="674" spans="1:3" ht="15.75" customHeight="1" x14ac:dyDescent="0.25">
      <c r="A674" s="2" t="s">
        <v>676</v>
      </c>
      <c r="B674" s="3" t="s">
        <v>2</v>
      </c>
      <c r="C674" s="2" t="str">
        <f ca="1">IFERROR(__xludf.DUMMYFUNCTION("GOOGLETRANSLATE(A674,""bn"",""en"")"),"Light weight makes them easy to carry")</f>
        <v>Light weight makes them easy to carry</v>
      </c>
    </row>
    <row r="675" spans="1:3" ht="15.75" customHeight="1" x14ac:dyDescent="0.25">
      <c r="A675" s="2" t="s">
        <v>677</v>
      </c>
      <c r="B675" s="3" t="s">
        <v>6</v>
      </c>
      <c r="C675" s="2" t="str">
        <f ca="1">IFERROR(__xludf.DUMMYFUNCTION("GOOGLETRANSLATE(A675,""bn"",""en"")"),"The bubble bath formula dried out my skin making it tight and itchy")</f>
        <v>The bubble bath formula dried out my skin making it tight and itchy</v>
      </c>
    </row>
    <row r="676" spans="1:3" ht="15.75" customHeight="1" x14ac:dyDescent="0.25">
      <c r="A676" s="2" t="s">
        <v>678</v>
      </c>
      <c r="B676" s="3" t="s">
        <v>4</v>
      </c>
      <c r="C676" s="2" t="str">
        <f ca="1">IFERROR(__xludf.DUMMYFUNCTION("GOOGLETRANSLATE(A676,""bn"",""en"")"),"Due to its small size, it can be easily carried in the bag, office, market or travel")</f>
        <v>Due to its small size, it can be easily carried in the bag, office, market or travel</v>
      </c>
    </row>
    <row r="677" spans="1:3" ht="15.75" customHeight="1" x14ac:dyDescent="0.25">
      <c r="A677" s="2" t="s">
        <v>679</v>
      </c>
      <c r="B677" s="3" t="s">
        <v>2</v>
      </c>
      <c r="C677" s="2" t="str">
        <f ca="1">IFERROR(__xludf.DUMMYFUNCTION("GOOGLETRANSLATE(A677,""bn"",""en"")"),"The price seems a bit high")</f>
        <v>The price seems a bit high</v>
      </c>
    </row>
    <row r="678" spans="1:3" ht="15.75" customHeight="1" x14ac:dyDescent="0.25">
      <c r="A678" s="2" t="s">
        <v>680</v>
      </c>
      <c r="B678" s="3" t="s">
        <v>6</v>
      </c>
      <c r="C678" s="2" t="str">
        <f ca="1">IFERROR(__xludf.DUMMYFUNCTION("GOOGLETRANSLATE(A678,""bn"",""en"")"),"Handheld blender blades dull quickly as they struggle to blend ingredients")</f>
        <v>Handheld blender blades dull quickly as they struggle to blend ingredients</v>
      </c>
    </row>
    <row r="679" spans="1:3" ht="15.75" customHeight="1" x14ac:dyDescent="0.25">
      <c r="A679" s="2" t="s">
        <v>681</v>
      </c>
      <c r="B679" s="3" t="s">
        <v>2</v>
      </c>
      <c r="C679" s="2" t="str">
        <f ca="1">IFERROR(__xludf.DUMMYFUNCTION("GOOGLETRANSLATE(A679,""bn"",""en"")"),"There are attempts to teach different characters but not all are clear")</f>
        <v>There are attempts to teach different characters but not all are clear</v>
      </c>
    </row>
    <row r="680" spans="1:3" ht="15.75" customHeight="1" x14ac:dyDescent="0.25">
      <c r="A680" s="2" t="s">
        <v>682</v>
      </c>
      <c r="B680" s="3" t="s">
        <v>4</v>
      </c>
      <c r="C680" s="2" t="str">
        <f ca="1">IFERROR(__xludf.DUMMYFUNCTION("GOOGLETRANSLATE(A680,""bn"",""en"")"),"Using a makeup brush is easy to learn")</f>
        <v>Using a makeup brush is easy to learn</v>
      </c>
    </row>
    <row r="681" spans="1:3" ht="15.75" customHeight="1" x14ac:dyDescent="0.25">
      <c r="A681" s="2" t="s">
        <v>683</v>
      </c>
      <c r="B681" s="3" t="s">
        <v>4</v>
      </c>
      <c r="C681" s="2" t="str">
        <f ca="1">IFERROR(__xludf.DUMMYFUNCTION("GOOGLETRANSLATE(A681,""bn"",""en"")"),"Our team is always working on new ideas")</f>
        <v>Our team is always working on new ideas</v>
      </c>
    </row>
    <row r="682" spans="1:3" ht="15.75" customHeight="1" x14ac:dyDescent="0.25">
      <c r="A682" s="2" t="s">
        <v>684</v>
      </c>
      <c r="B682" s="3" t="s">
        <v>4</v>
      </c>
      <c r="C682" s="2" t="str">
        <f ca="1">IFERROR(__xludf.DUMMYFUNCTION("GOOGLETRANSLATE(A682,""bn"",""en"")"),"The product is exactly as I ordered with interest after seeing it in the picture")</f>
        <v>The product is exactly as I ordered with interest after seeing it in the picture</v>
      </c>
    </row>
    <row r="683" spans="1:3" ht="15.75" customHeight="1" x14ac:dyDescent="0.25">
      <c r="A683" s="2" t="s">
        <v>685</v>
      </c>
      <c r="B683" s="3" t="s">
        <v>2</v>
      </c>
      <c r="C683" s="2" t="str">
        <f ca="1">IFERROR(__xludf.DUMMYFUNCTION("GOOGLETRANSLATE(A683,""bn"",""en"")"),"I myself do not know what to do")</f>
        <v>I myself do not know what to do</v>
      </c>
    </row>
    <row r="684" spans="1:3" ht="15.75" customHeight="1" x14ac:dyDescent="0.25">
      <c r="A684" s="2" t="s">
        <v>686</v>
      </c>
      <c r="B684" s="3" t="s">
        <v>6</v>
      </c>
      <c r="C684" s="2" t="str">
        <f ca="1">IFERROR(__xludf.DUMMYFUNCTION("GOOGLETRANSLATE(A684,""bn"",""en"")"),"The packaging did not protect from light and air which resulted in spoilage")</f>
        <v>The packaging did not protect from light and air which resulted in spoilage</v>
      </c>
    </row>
    <row r="685" spans="1:3" ht="15.75" customHeight="1" x14ac:dyDescent="0.25">
      <c r="A685" s="2" t="s">
        <v>687</v>
      </c>
      <c r="B685" s="3" t="s">
        <v>2</v>
      </c>
      <c r="C685" s="2" t="str">
        <f ca="1">IFERROR(__xludf.DUMMYFUNCTION("GOOGLETRANSLATE(A685,""bn"",""en"")"),"The brand name seemed credible")</f>
        <v>The brand name seemed credible</v>
      </c>
    </row>
    <row r="686" spans="1:3" ht="15.75" customHeight="1" x14ac:dyDescent="0.25">
      <c r="A686" s="2" t="s">
        <v>688</v>
      </c>
      <c r="B686" s="3" t="s">
        <v>6</v>
      </c>
      <c r="C686" s="2" t="str">
        <f ca="1">IFERROR(__xludf.DUMMYFUNCTION("GOOGLETRANSLATE(A686,""bn"",""en"")"),"The buttons on the control panel of the washing machine are not responsive. It is difficult to select settings")</f>
        <v>The buttons on the control panel of the washing machine are not responsive. It is difficult to select settings</v>
      </c>
    </row>
    <row r="687" spans="1:3" ht="15.75" customHeight="1" x14ac:dyDescent="0.25">
      <c r="A687" s="2" t="s">
        <v>689</v>
      </c>
      <c r="B687" s="3" t="s">
        <v>2</v>
      </c>
      <c r="C687" s="2" t="str">
        <f ca="1">IFERROR(__xludf.DUMMYFUNCTION("GOOGLETRANSLATE(A687,""bn"",""en"")"),"Enjoy it may not be suitable for all projects")</f>
        <v>Enjoy it may not be suitable for all projects</v>
      </c>
    </row>
    <row r="688" spans="1:3" ht="15.75" customHeight="1" x14ac:dyDescent="0.25">
      <c r="A688" s="2" t="s">
        <v>690</v>
      </c>
      <c r="B688" s="3" t="s">
        <v>2</v>
      </c>
      <c r="C688" s="2" t="str">
        <f ca="1">IFERROR(__xludf.DUMMYFUNCTION("GOOGLETRANSLATE(A688,""bn"",""en"")"),"Looks ok but it could be more attractive")</f>
        <v>Looks ok but it could be more attractive</v>
      </c>
    </row>
    <row r="689" spans="1:3" ht="15.75" customHeight="1" x14ac:dyDescent="0.25">
      <c r="A689" s="2" t="s">
        <v>691</v>
      </c>
      <c r="B689" s="3" t="s">
        <v>2</v>
      </c>
      <c r="C689" s="2" t="str">
        <f ca="1">IFERROR(__xludf.DUMMYFUNCTION("GOOGLETRANSLATE(A689,""bn"",""en"")"),"Convenient for the price")</f>
        <v>Convenient for the price</v>
      </c>
    </row>
    <row r="690" spans="1:3" ht="15.75" customHeight="1" x14ac:dyDescent="0.25">
      <c r="A690" s="2" t="s">
        <v>692</v>
      </c>
      <c r="B690" s="3" t="s">
        <v>2</v>
      </c>
      <c r="C690" s="2" t="str">
        <f ca="1">IFERROR(__xludf.DUMMYFUNCTION("GOOGLETRANSLATE(A690,""bn"",""en"")"),"Guests noticed but were not impressed")</f>
        <v>Guests noticed but were not impressed</v>
      </c>
    </row>
    <row r="691" spans="1:3" ht="15.75" customHeight="1" x14ac:dyDescent="0.25">
      <c r="A691" s="2" t="s">
        <v>693</v>
      </c>
      <c r="B691" s="3" t="s">
        <v>4</v>
      </c>
      <c r="C691" s="2" t="str">
        <f ca="1">IFERROR(__xludf.DUMMYFUNCTION("GOOGLETRANSLATE(A691,""bn"",""en"")"),"The comforter is very comfortable and warm")</f>
        <v>The comforter is very comfortable and warm</v>
      </c>
    </row>
    <row r="692" spans="1:3" ht="15.75" customHeight="1" x14ac:dyDescent="0.25">
      <c r="A692" s="2" t="s">
        <v>694</v>
      </c>
      <c r="B692" s="3" t="s">
        <v>6</v>
      </c>
      <c r="C692" s="2" t="str">
        <f ca="1">IFERROR(__xludf.DUMMYFUNCTION("GOOGLETRANSLATE(A692,""bn"",""en"")"),"The gradient is neutral")</f>
        <v>The gradient is neutral</v>
      </c>
    </row>
    <row r="693" spans="1:3" ht="15.75" customHeight="1" x14ac:dyDescent="0.25">
      <c r="A693" s="2" t="s">
        <v>695</v>
      </c>
      <c r="B693" s="3" t="s">
        <v>4</v>
      </c>
      <c r="C693" s="2" t="str">
        <f ca="1">IFERROR(__xludf.DUMMYFUNCTION("GOOGLETRANSLATE(A693,""bn"",""en"")"),"Makeup brush gives professional results")</f>
        <v>Makeup brush gives professional results</v>
      </c>
    </row>
    <row r="694" spans="1:3" ht="15.75" customHeight="1" x14ac:dyDescent="0.25">
      <c r="A694" s="2" t="s">
        <v>696</v>
      </c>
      <c r="B694" s="3" t="s">
        <v>4</v>
      </c>
      <c r="C694" s="2" t="str">
        <f ca="1">IFERROR(__xludf.DUMMYFUNCTION("GOOGLETRANSLATE(A694,""bn"",""en"")"),"The screen to body ratio of the mobile is very high")</f>
        <v>The screen to body ratio of the mobile is very high</v>
      </c>
    </row>
    <row r="695" spans="1:3" ht="15.75" customHeight="1" x14ac:dyDescent="0.25">
      <c r="A695" s="2" t="s">
        <v>697</v>
      </c>
      <c r="B695" s="3" t="s">
        <v>6</v>
      </c>
      <c r="C695" s="2" t="str">
        <f ca="1">IFERROR(__xludf.DUMMYFUNCTION("GOOGLETRANSLATE(A695,""bn"",""en"")"),"Overpriced for disappointing quality and lack of attention to detail")</f>
        <v>Overpriced for disappointing quality and lack of attention to detail</v>
      </c>
    </row>
    <row r="696" spans="1:3" ht="15.75" customHeight="1" x14ac:dyDescent="0.25">
      <c r="A696" s="2" t="s">
        <v>698</v>
      </c>
      <c r="B696" s="3" t="s">
        <v>2</v>
      </c>
      <c r="C696" s="2" t="str">
        <f ca="1">IFERROR(__xludf.DUMMYFUNCTION("GOOGLETRANSLATE(A696,""bn"",""en"")"),"The fabric of the shorts is good but the design is not attractive")</f>
        <v>The fabric of the shorts is good but the design is not attractive</v>
      </c>
    </row>
    <row r="697" spans="1:3" ht="15.75" customHeight="1" x14ac:dyDescent="0.25">
      <c r="A697" s="2" t="s">
        <v>699</v>
      </c>
      <c r="B697" s="3" t="s">
        <v>4</v>
      </c>
      <c r="C697" s="2" t="str">
        <f ca="1">IFERROR(__xludf.DUMMYFUNCTION("GOOGLETRANSLATE(A697,""bn"",""en"")"),"The build quality of the device is very strong")</f>
        <v>The build quality of the device is very strong</v>
      </c>
    </row>
    <row r="698" spans="1:3" ht="15.75" customHeight="1" x14ac:dyDescent="0.25">
      <c r="A698" s="2" t="s">
        <v>700</v>
      </c>
      <c r="B698" s="3" t="s">
        <v>4</v>
      </c>
      <c r="C698" s="2" t="str">
        <f ca="1">IFERROR(__xludf.DUMMYFUNCTION("GOOGLETRANSLATE(A698,""bn"",""en"")"),"The mascara makes my eyes look bigger and brighter")</f>
        <v>The mascara makes my eyes look bigger and brighter</v>
      </c>
    </row>
    <row r="699" spans="1:3" ht="15.75" customHeight="1" x14ac:dyDescent="0.25">
      <c r="A699" s="2" t="s">
        <v>701</v>
      </c>
      <c r="B699" s="3" t="s">
        <v>2</v>
      </c>
      <c r="C699" s="2" t="str">
        <f ca="1">IFERROR(__xludf.DUMMYFUNCTION("GOOGLETRANSLATE(A699,""bn"",""en"")"),"Its shape and fabric are attractive but not extraordinary")</f>
        <v>Its shape and fabric are attractive but not extraordinary</v>
      </c>
    </row>
    <row r="700" spans="1:3" ht="15.75" customHeight="1" x14ac:dyDescent="0.25">
      <c r="A700" s="2" t="s">
        <v>702</v>
      </c>
      <c r="B700" s="3" t="s">
        <v>4</v>
      </c>
      <c r="C700" s="2" t="str">
        <f ca="1">IFERROR(__xludf.DUMMYFUNCTION("GOOGLETRANSLATE(A700,""bn"",""en"")"),"A great product that won my heart")</f>
        <v>A great product that won my heart</v>
      </c>
    </row>
    <row r="701" spans="1:3" ht="15.75" customHeight="1" x14ac:dyDescent="0.25">
      <c r="A701" s="2" t="s">
        <v>703</v>
      </c>
      <c r="B701" s="3" t="s">
        <v>4</v>
      </c>
      <c r="C701" s="2" t="str">
        <f ca="1">IFERROR(__xludf.DUMMYFUNCTION("GOOGLETRANSLATE(A701,""bn"",""en"")"),"I listened to music for a continuous hour and after receiving the delivery, I charged for one minute ")</f>
        <v xml:space="preserve">I listened to music for a continuous hour and after receiving the delivery, I charged for one minute </v>
      </c>
    </row>
    <row r="702" spans="1:3" ht="15.75" customHeight="1" x14ac:dyDescent="0.25">
      <c r="A702" s="2" t="s">
        <v>704</v>
      </c>
      <c r="B702" s="3" t="s">
        <v>2</v>
      </c>
      <c r="C702" s="2" t="str">
        <f ca="1">IFERROR(__xludf.DUMMYFUNCTION("GOOGLETRANSLATE(A702,""bn"",""en"")"),"There has been some yield increase but the price of fertilizer is relatively high")</f>
        <v>There has been some yield increase but the price of fertilizer is relatively high</v>
      </c>
    </row>
    <row r="703" spans="1:3" ht="15.75" customHeight="1" x14ac:dyDescent="0.25">
      <c r="A703" s="2" t="s">
        <v>705</v>
      </c>
      <c r="B703" s="3" t="s">
        <v>6</v>
      </c>
      <c r="C703" s="2" t="str">
        <f ca="1">IFERROR(__xludf.DUMMYFUNCTION("GOOGLETRANSLATE(A703,""bn"",""en"")"),"Smart thermostats reset temperature settings to prevent uneven heating")</f>
        <v>Smart thermostats reset temperature settings to prevent uneven heating</v>
      </c>
    </row>
    <row r="704" spans="1:3" ht="15.75" customHeight="1" x14ac:dyDescent="0.25">
      <c r="A704" s="2" t="s">
        <v>706</v>
      </c>
      <c r="B704" s="3" t="s">
        <v>6</v>
      </c>
      <c r="C704" s="2" t="str">
        <f ca="1">IFERROR(__xludf.DUMMYFUNCTION("GOOGLETRANSLATE(A704,""bn"",""en"")"),"A receipt with discolored patches and discoloration indicates poor quality dyes and materials")</f>
        <v>A receipt with discolored patches and discoloration indicates poor quality dyes and materials</v>
      </c>
    </row>
    <row r="705" spans="1:3" ht="15.75" customHeight="1" x14ac:dyDescent="0.25">
      <c r="A705" s="2" t="s">
        <v>707</v>
      </c>
      <c r="B705" s="3" t="s">
        <v>2</v>
      </c>
      <c r="C705" s="2" t="str">
        <f ca="1">IFERROR(__xludf.DUMMYFUNCTION("GOOGLETRANSLATE(A705,""bn"",""en"")"),"Can be used for transportation but may break if dropped")</f>
        <v>Can be used for transportation but may break if dropped</v>
      </c>
    </row>
    <row r="706" spans="1:3" ht="15.75" customHeight="1" x14ac:dyDescent="0.25">
      <c r="A706" s="2" t="s">
        <v>708</v>
      </c>
      <c r="B706" s="3" t="s">
        <v>4</v>
      </c>
      <c r="C706" s="2" t="str">
        <f ca="1">IFERROR(__xludf.DUMMYFUNCTION("GOOGLETRANSLATE(A706,""bn"",""en"")"),"I love the versatility of this pillow set, they are great not only for sleeping but also for reclining on the sofa")</f>
        <v>I love the versatility of this pillow set, they are great not only for sleeping but also for reclining on the sofa</v>
      </c>
    </row>
    <row r="707" spans="1:3" ht="15.75" customHeight="1" x14ac:dyDescent="0.25">
      <c r="A707" s="2" t="s">
        <v>709</v>
      </c>
      <c r="B707" s="3" t="s">
        <v>4</v>
      </c>
      <c r="C707" s="2" t="str">
        <f ca="1">IFERROR(__xludf.DUMMYFUNCTION("GOOGLETRANSLATE(A707,""bn"",""en"")"),"The edges of the pots are so smooth that I never fear scratches or bruises")</f>
        <v>The edges of the pots are so smooth that I never fear scratches or bruises</v>
      </c>
    </row>
    <row r="708" spans="1:3" ht="15.75" customHeight="1" x14ac:dyDescent="0.25">
      <c r="A708" s="2" t="s">
        <v>710</v>
      </c>
      <c r="B708" s="3" t="s">
        <v>6</v>
      </c>
      <c r="C708" s="2" t="str">
        <f ca="1">IFERROR(__xludf.DUMMYFUNCTION("GOOGLETRANSLATE(A708,""bn"",""en"")"),"Smartwatch batteries drain quickly and require frequent charging")</f>
        <v>Smartwatch batteries drain quickly and require frequent charging</v>
      </c>
    </row>
    <row r="709" spans="1:3" ht="15.75" customHeight="1" x14ac:dyDescent="0.25">
      <c r="A709" s="2" t="s">
        <v>711</v>
      </c>
      <c r="B709" s="3" t="s">
        <v>6</v>
      </c>
      <c r="C709" s="2" t="str">
        <f ca="1">IFERROR(__xludf.DUMMYFUNCTION("GOOGLETRANSLATE(A709,""bn"",""en"")"),"Quality issues Disappointing longevity")</f>
        <v>Quality issues Disappointing longevity</v>
      </c>
    </row>
    <row r="710" spans="1:3" ht="15.75" customHeight="1" x14ac:dyDescent="0.25">
      <c r="A710" s="2" t="s">
        <v>712</v>
      </c>
      <c r="B710" s="3" t="s">
        <v>6</v>
      </c>
      <c r="C710" s="2" t="str">
        <f ca="1">IFERROR(__xludf.DUMMYFUNCTION("GOOGLETRANSLATE(A710,""bn"",""en"")"),"Footage from solar powered security cameras is grainy and low quality")</f>
        <v>Footage from solar powered security cameras is grainy and low quality</v>
      </c>
    </row>
    <row r="711" spans="1:3" ht="15.75" customHeight="1" x14ac:dyDescent="0.25">
      <c r="A711" s="2" t="s">
        <v>713</v>
      </c>
      <c r="B711" s="3" t="s">
        <v>2</v>
      </c>
      <c r="C711" s="2" t="str">
        <f ca="1">IFERROR(__xludf.DUMMYFUNCTION("GOOGLETRANSLATE(A711,""bn"",""en"")"),"Delivery charges are fixed at acceptable levels")</f>
        <v>Delivery charges are fixed at acceptable levels</v>
      </c>
    </row>
    <row r="712" spans="1:3" ht="15.75" customHeight="1" x14ac:dyDescent="0.25">
      <c r="A712" s="2" t="s">
        <v>714</v>
      </c>
      <c r="B712" s="3" t="s">
        <v>6</v>
      </c>
      <c r="C712" s="2" t="str">
        <f ca="1">IFERROR(__xludf.DUMMYFUNCTION("GOOGLETRANSLATE(A712,""bn"",""en"")")," The tee was described as being made of breathable fabric but felt stuffy and hot to wear")</f>
        <v xml:space="preserve"> The tee was described as being made of breathable fabric but felt stuffy and hot to wear</v>
      </c>
    </row>
    <row r="713" spans="1:3" ht="15.75" customHeight="1" x14ac:dyDescent="0.25">
      <c r="A713" s="2" t="s">
        <v>715</v>
      </c>
      <c r="B713" s="3" t="s">
        <v>2</v>
      </c>
      <c r="C713" s="2" t="str">
        <f ca="1">IFERROR(__xludf.DUMMYFUNCTION("GOOGLETRANSLATE(A713,""bn"",""en"")"),"Can be reheated when cooled after use")</f>
        <v>Can be reheated when cooled after use</v>
      </c>
    </row>
    <row r="714" spans="1:3" ht="15.75" customHeight="1" x14ac:dyDescent="0.25">
      <c r="A714" s="2" t="s">
        <v>716</v>
      </c>
      <c r="B714" s="3" t="s">
        <v>6</v>
      </c>
      <c r="C714" s="2" t="str">
        <f ca="1">IFERROR(__xludf.DUMMYFUNCTION("GOOGLETRANSLATE(A714,""bn"",""en"")"),"A major disappointment is that the blender motor burns out while blending ice")</f>
        <v>A major disappointment is that the blender motor burns out while blending ice</v>
      </c>
    </row>
    <row r="715" spans="1:3" ht="15.75" customHeight="1" x14ac:dyDescent="0.25">
      <c r="A715" s="2" t="s">
        <v>717</v>
      </c>
      <c r="B715" s="3" t="s">
        <v>2</v>
      </c>
      <c r="C715" s="2" t="str">
        <f ca="1">IFERROR(__xludf.DUMMYFUNCTION("GOOGLETRANSLATE(A715,""bn"",""en"")"),"Moderate weight is not too difficult to carry")</f>
        <v>Moderate weight is not too difficult to carry</v>
      </c>
    </row>
    <row r="716" spans="1:3" ht="15.75" customHeight="1" x14ac:dyDescent="0.25">
      <c r="A716" s="2" t="s">
        <v>718</v>
      </c>
      <c r="B716" s="3" t="s">
        <v>6</v>
      </c>
      <c r="C716" s="2" t="str">
        <f ca="1">IFERROR(__xludf.DUMMYFUNCTION("GOOGLETRANSLATE(A716,""bn"",""en"")"),"The rice cooker's nonstick coating affects the texture of the rice by peeling it off")</f>
        <v>The rice cooker's nonstick coating affects the texture of the rice by peeling it off</v>
      </c>
    </row>
    <row r="717" spans="1:3" ht="15.75" customHeight="1" x14ac:dyDescent="0.25">
      <c r="A717" s="2" t="s">
        <v>719</v>
      </c>
      <c r="B717" s="3" t="s">
        <v>6</v>
      </c>
      <c r="C717" s="2" t="str">
        <f ca="1">IFERROR(__xludf.DUMMYFUNCTION("GOOGLETRANSLATE(A717,""bn"",""en"")"),"Boxed cake mix had a chemical taste and did not rise properly during baking")</f>
        <v>Boxed cake mix had a chemical taste and did not rise properly during baking</v>
      </c>
    </row>
    <row r="718" spans="1:3" ht="15.75" customHeight="1" x14ac:dyDescent="0.25">
      <c r="A718" s="2" t="s">
        <v>720</v>
      </c>
      <c r="B718" s="3" t="s">
        <v>4</v>
      </c>
      <c r="C718" s="2" t="str">
        <f ca="1">IFERROR(__xludf.DUMMYFUNCTION("GOOGLETRANSLATE(A718,""bn"",""en"")"),"A wonderful experience")</f>
        <v>A wonderful experience</v>
      </c>
    </row>
    <row r="719" spans="1:3" ht="15.75" customHeight="1" x14ac:dyDescent="0.25">
      <c r="A719" s="2" t="s">
        <v>721</v>
      </c>
      <c r="B719" s="3" t="s">
        <v>4</v>
      </c>
      <c r="C719" s="2" t="str">
        <f ca="1">IFERROR(__xludf.DUMMYFUNCTION("GOOGLETRANSLATE(A719,""bn"",""en"")"),"The water heater heats water quickly")</f>
        <v>The water heater heats water quickly</v>
      </c>
    </row>
    <row r="720" spans="1:3" ht="15.75" customHeight="1" x14ac:dyDescent="0.25">
      <c r="A720" s="2" t="s">
        <v>722</v>
      </c>
      <c r="B720" s="3" t="s">
        <v>4</v>
      </c>
      <c r="C720" s="2" t="str">
        <f ca="1">IFERROR(__xludf.DUMMYFUNCTION("GOOGLETRANSLATE(A720,""bn"",""en"")"),"Your skin will be protected by using this body wash")</f>
        <v>Your skin will be protected by using this body wash</v>
      </c>
    </row>
    <row r="721" spans="1:3" ht="15.75" customHeight="1" x14ac:dyDescent="0.25">
      <c r="A721" s="2" t="s">
        <v>723</v>
      </c>
      <c r="B721" s="3" t="s">
        <v>6</v>
      </c>
      <c r="C721" s="2" t="str">
        <f ca="1">IFERROR(__xludf.DUMMYFUNCTION("GOOGLETRANSLATE(A721,""bn"",""en"")"),"The curl cream didn't define my curls and made them look limp")</f>
        <v>The curl cream didn't define my curls and made them look limp</v>
      </c>
    </row>
    <row r="722" spans="1:3" ht="15.75" customHeight="1" x14ac:dyDescent="0.25">
      <c r="A722" s="2" t="s">
        <v>724</v>
      </c>
      <c r="B722" s="3" t="s">
        <v>2</v>
      </c>
      <c r="C722" s="2" t="str">
        <f ca="1">IFERROR(__xludf.DUMMYFUNCTION("GOOGLETRANSLATE(A722,""bn"",""en"")"),"Some water seeps through the edge of the pad")</f>
        <v>Some water seeps through the edge of the pad</v>
      </c>
    </row>
    <row r="723" spans="1:3" ht="15.75" customHeight="1" x14ac:dyDescent="0.25">
      <c r="A723" s="2" t="s">
        <v>725</v>
      </c>
      <c r="B723" s="3" t="s">
        <v>6</v>
      </c>
      <c r="C723" s="2" t="str">
        <f ca="1">IFERROR(__xludf.DUMMYFUNCTION("GOOGLETRANSLATE(A723,""bn"",""en"")"),"Poor insulation causes heat loss to waste energy")</f>
        <v>Poor insulation causes heat loss to waste energy</v>
      </c>
    </row>
    <row r="724" spans="1:3" ht="15.75" customHeight="1" x14ac:dyDescent="0.25">
      <c r="A724" s="2" t="s">
        <v>726</v>
      </c>
      <c r="B724" s="3" t="s">
        <v>6</v>
      </c>
      <c r="C724" s="2" t="str">
        <f ca="1">IFERROR(__xludf.DUMMYFUNCTION("GOOGLETRANSLATE(A724,""bn"",""en"")"),"The bath pillow quickly disintegrates, losing its shape and support")</f>
        <v>The bath pillow quickly disintegrates, losing its shape and support</v>
      </c>
    </row>
    <row r="725" spans="1:3" ht="15.75" customHeight="1" x14ac:dyDescent="0.25">
      <c r="A725" s="2" t="s">
        <v>727</v>
      </c>
      <c r="B725" s="3" t="s">
        <v>2</v>
      </c>
      <c r="C725" s="2" t="str">
        <f ca="1">IFERROR(__xludf.DUMMYFUNCTION("GOOGLETRANSLATE(A725,""bn"",""en"")"),"The size of the torch light is medium")</f>
        <v>The size of the torch light is medium</v>
      </c>
    </row>
    <row r="726" spans="1:3" ht="15.75" customHeight="1" x14ac:dyDescent="0.25">
      <c r="A726" s="2" t="s">
        <v>728</v>
      </c>
      <c r="B726" s="3" t="s">
        <v>6</v>
      </c>
      <c r="C726" s="2" t="str">
        <f ca="1">IFERROR(__xludf.DUMMYFUNCTION("GOOGLETRANSLATE(A726,""bn"",""en"")"),"The formula of the mascara is too wet which causes it to transfer onto the eyelids")</f>
        <v>The formula of the mascara is too wet which causes it to transfer onto the eyelids</v>
      </c>
    </row>
    <row r="727" spans="1:3" ht="15.75" customHeight="1" x14ac:dyDescent="0.25">
      <c r="A727" s="2" t="s">
        <v>729</v>
      </c>
      <c r="B727" s="3" t="s">
        <v>6</v>
      </c>
      <c r="C727" s="2" t="str">
        <f ca="1">IFERROR(__xludf.DUMMYFUNCTION("GOOGLETRANSLATE(A727,""bn"",""en"")"),"The tea arrives with visible stains and marks that are evidence of poor quality control and lack of inspection")</f>
        <v>The tea arrives with visible stains and marks that are evidence of poor quality control and lack of inspection</v>
      </c>
    </row>
    <row r="728" spans="1:3" ht="15.75" customHeight="1" x14ac:dyDescent="0.25">
      <c r="A728" s="2" t="s">
        <v>730</v>
      </c>
      <c r="B728" s="3" t="s">
        <v>2</v>
      </c>
      <c r="C728" s="2" t="str">
        <f ca="1">IFERROR(__xludf.DUMMYFUNCTION("GOOGLETRANSLATE(A728,""bn"",""en"")"),"These seeds grew fairly well after planting but there were some problems")</f>
        <v>These seeds grew fairly well after planting but there were some problems</v>
      </c>
    </row>
    <row r="729" spans="1:3" ht="15.75" customHeight="1" x14ac:dyDescent="0.25">
      <c r="A729" s="2" t="s">
        <v>731</v>
      </c>
      <c r="B729" s="3" t="s">
        <v>2</v>
      </c>
      <c r="C729" s="2" t="str">
        <f ca="1">IFERROR(__xludf.DUMMYFUNCTION("GOOGLETRANSLATE(A729,""bn"",""en"")"),"The electronic tie dye machine dyes the fabric but mixing the colors is complicated")</f>
        <v>The electronic tie dye machine dyes the fabric but mixing the colors is complicated</v>
      </c>
    </row>
    <row r="730" spans="1:3" ht="15.75" customHeight="1" x14ac:dyDescent="0.25">
      <c r="A730" s="2" t="s">
        <v>732</v>
      </c>
      <c r="B730" s="3" t="s">
        <v>6</v>
      </c>
      <c r="C730" s="2" t="str">
        <f ca="1">IFERROR(__xludf.DUMMYFUNCTION("GOOGLETRANSLATE(A730,""bn"",""en"")"),"Charger prongs are too small to provide a secure connection to certain outlets")</f>
        <v>Charger prongs are too small to provide a secure connection to certain outlets</v>
      </c>
    </row>
    <row r="731" spans="1:3" ht="15.75" customHeight="1" x14ac:dyDescent="0.25">
      <c r="A731" s="2" t="s">
        <v>733</v>
      </c>
      <c r="B731" s="3" t="s">
        <v>6</v>
      </c>
      <c r="C731" s="2" t="str">
        <f ca="1">IFERROR(__xludf.DUMMYFUNCTION("GOOGLETRANSLATE(A731,""bn"",""en"")"),"The grind was too coarse resulting in a weaker and less extraction")</f>
        <v>The grind was too coarse resulting in a weaker and less extraction</v>
      </c>
    </row>
    <row r="732" spans="1:3" ht="15.75" customHeight="1" x14ac:dyDescent="0.25">
      <c r="A732" s="2" t="s">
        <v>734</v>
      </c>
      <c r="B732" s="3" t="s">
        <v>6</v>
      </c>
      <c r="C732" s="2" t="str">
        <f ca="1">IFERROR(__xludf.DUMMYFUNCTION("GOOGLETRANSLATE(A732,""bn"",""en"")"),"Heat protectant sprays make my hair feel sticky and weigh it down preventing styling")</f>
        <v>Heat protectant sprays make my hair feel sticky and weigh it down preventing styling</v>
      </c>
    </row>
    <row r="733" spans="1:3" ht="15.75" customHeight="1" x14ac:dyDescent="0.25">
      <c r="A733" s="2" t="s">
        <v>735</v>
      </c>
      <c r="B733" s="3" t="s">
        <v>6</v>
      </c>
      <c r="C733" s="2" t="str">
        <f ca="1">IFERROR(__xludf.DUMMYFUNCTION("GOOGLETRANSLATE(A733,""bn"",""en"")"),"I don't like the rough inner lining")</f>
        <v>I don't like the rough inner lining</v>
      </c>
    </row>
    <row r="734" spans="1:3" ht="15.75" customHeight="1" x14ac:dyDescent="0.25">
      <c r="A734" s="2" t="s">
        <v>736</v>
      </c>
      <c r="B734" s="3" t="s">
        <v>2</v>
      </c>
      <c r="C734" s="2" t="str">
        <f ca="1">IFERROR(__xludf.DUMMYFUNCTION("GOOGLETRANSLATE(A734,""bn"",""en"")"),"Easy to clean but difficult to remove odors")</f>
        <v>Easy to clean but difficult to remove odors</v>
      </c>
    </row>
    <row r="735" spans="1:3" ht="15.75" customHeight="1" x14ac:dyDescent="0.25">
      <c r="A735" s="2" t="s">
        <v>737</v>
      </c>
      <c r="B735" s="3" t="s">
        <v>2</v>
      </c>
      <c r="C735" s="2" t="str">
        <f ca="1">IFERROR(__xludf.DUMMYFUNCTION("GOOGLETRANSLATE(A735,""bn"",""en"")"),"Digital food thermometers measure temperature but the probe can be small")</f>
        <v>Digital food thermometers measure temperature but the probe can be small</v>
      </c>
    </row>
    <row r="736" spans="1:3" ht="15.75" customHeight="1" x14ac:dyDescent="0.25">
      <c r="A736" s="2" t="s">
        <v>738</v>
      </c>
      <c r="B736" s="3" t="s">
        <v>4</v>
      </c>
      <c r="C736" s="2" t="str">
        <f ca="1">IFERROR(__xludf.DUMMYFUNCTION("GOOGLETRANSLATE(A736,""bn"",""en"")"),"The dress is very fashionable")</f>
        <v>The dress is very fashionable</v>
      </c>
    </row>
    <row r="737" spans="1:3" ht="15.75" customHeight="1" x14ac:dyDescent="0.25">
      <c r="A737" s="2" t="s">
        <v>739</v>
      </c>
      <c r="B737" s="3" t="s">
        <v>6</v>
      </c>
      <c r="C737" s="2" t="str">
        <f ca="1">IFERROR(__xludf.DUMMYFUNCTION("GOOGLETRANSLATE(A737,""bn"",""en"")"),"A portable blender's blade assembly traps hard-to-clean food particles")</f>
        <v>A portable blender's blade assembly traps hard-to-clean food particles</v>
      </c>
    </row>
    <row r="738" spans="1:3" ht="15.75" customHeight="1" x14ac:dyDescent="0.25">
      <c r="A738" s="2" t="s">
        <v>740</v>
      </c>
      <c r="B738" s="3" t="s">
        <v>2</v>
      </c>
      <c r="C738" s="2" t="str">
        <f ca="1">IFERROR(__xludf.DUMMYFUNCTION("GOOGLETRANSLATE(A738,""bn"",""en"")"),"Looks ok but not so comfortable to use")</f>
        <v>Looks ok but not so comfortable to use</v>
      </c>
    </row>
    <row r="739" spans="1:3" ht="15.75" customHeight="1" x14ac:dyDescent="0.25">
      <c r="A739" s="2" t="s">
        <v>741</v>
      </c>
      <c r="B739" s="3" t="s">
        <v>6</v>
      </c>
      <c r="C739" s="2" t="str">
        <f ca="1">IFERROR(__xludf.DUMMYFUNCTION("GOOGLETRANSLATE(A739,""bn"",""en"")"),"The whistle mechanism of the tea kettle is worn out making a weak sound")</f>
        <v>The whistle mechanism of the tea kettle is worn out making a weak sound</v>
      </c>
    </row>
    <row r="740" spans="1:3" ht="15.75" customHeight="1" x14ac:dyDescent="0.25">
      <c r="A740" s="2" t="s">
        <v>742</v>
      </c>
      <c r="B740" s="3" t="s">
        <v>2</v>
      </c>
      <c r="C740" s="2" t="str">
        <f ca="1">IFERROR(__xludf.DUMMYFUNCTION("GOOGLETRANSLATE(A740,""bn"",""en"")"),"Excessive rubbing may damage the screen")</f>
        <v>Excessive rubbing may damage the screen</v>
      </c>
    </row>
    <row r="741" spans="1:3" ht="15.75" customHeight="1" x14ac:dyDescent="0.25">
      <c r="A741" s="2" t="s">
        <v>743</v>
      </c>
      <c r="B741" s="3" t="s">
        <v>6</v>
      </c>
      <c r="C741" s="2" t="str">
        <f ca="1">IFERROR(__xludf.DUMMYFUNCTION("GOOGLETRANSLATE(A741,""bn"",""en"")"),"The packaging was misleading with exaggerated claims about the tea's health benefits")</f>
        <v>The packaging was misleading with exaggerated claims about the tea's health benefits</v>
      </c>
    </row>
    <row r="742" spans="1:3" ht="15.75" customHeight="1" x14ac:dyDescent="0.25">
      <c r="A742" s="2" t="s">
        <v>744</v>
      </c>
      <c r="B742" s="3" t="s">
        <v>2</v>
      </c>
      <c r="C742" s="2" t="str">
        <f ca="1">IFERROR(__xludf.DUMMYFUNCTION("GOOGLETRANSLATE(A742,""bn"",""en"")"),"The smell is mild not too strong")</f>
        <v>The smell is mild not too strong</v>
      </c>
    </row>
    <row r="743" spans="1:3" ht="15.75" customHeight="1" x14ac:dyDescent="0.25">
      <c r="A743" s="2" t="s">
        <v>745</v>
      </c>
      <c r="B743" s="3" t="s">
        <v>6</v>
      </c>
      <c r="C743" s="2" t="str">
        <f ca="1">IFERROR(__xludf.DUMMYFUNCTION("GOOGLETRANSLATE(A743,""bn"",""en"")"),"The tea bag was too small and spilled when pouring")</f>
        <v>The tea bag was too small and spilled when pouring</v>
      </c>
    </row>
    <row r="744" spans="1:3" ht="15.75" customHeight="1" x14ac:dyDescent="0.25">
      <c r="A744" s="2" t="s">
        <v>746</v>
      </c>
      <c r="B744" s="3" t="s">
        <v>6</v>
      </c>
      <c r="C744" s="2" t="str">
        <f ca="1">IFERROR(__xludf.DUMMYFUNCTION("GOOGLETRANSLATE(A744,""bn"",""en"")"),"Repeatedly replacing the dirt problem did not solve it")</f>
        <v>Repeatedly replacing the dirt problem did not solve it</v>
      </c>
    </row>
    <row r="745" spans="1:3" ht="15.75" customHeight="1" x14ac:dyDescent="0.25">
      <c r="A745" s="2" t="s">
        <v>747</v>
      </c>
      <c r="B745" s="3" t="s">
        <v>4</v>
      </c>
      <c r="C745" s="2" t="str">
        <f ca="1">IFERROR(__xludf.DUMMYFUNCTION("GOOGLETRANSLATE(A745,""bn"",""en"")"),"It can be easily layered")</f>
        <v>It can be easily layered</v>
      </c>
    </row>
    <row r="746" spans="1:3" ht="15.75" customHeight="1" x14ac:dyDescent="0.25">
      <c r="A746" s="2" t="s">
        <v>748</v>
      </c>
      <c r="B746" s="3" t="s">
        <v>2</v>
      </c>
      <c r="C746" s="2" t="str">
        <f ca="1">IFERROR(__xludf.DUMMYFUNCTION("GOOGLETRANSLATE(A746,""bn"",""en"")"),"The color is not exactly as shown in the picture but acceptable")</f>
        <v>The color is not exactly as shown in the picture but acceptable</v>
      </c>
    </row>
    <row r="747" spans="1:3" ht="15.75" customHeight="1" x14ac:dyDescent="0.25">
      <c r="A747" s="2" t="s">
        <v>749</v>
      </c>
      <c r="B747" s="3" t="s">
        <v>2</v>
      </c>
      <c r="C747" s="2" t="str">
        <f ca="1">IFERROR(__xludf.DUMMYFUNCTION("GOOGLETRANSLATE(A747,""bn"",""en"")"),"The Smart Bag Tracker finds suitcases but has a limited range")</f>
        <v>The Smart Bag Tracker finds suitcases but has a limited range</v>
      </c>
    </row>
    <row r="748" spans="1:3" ht="15.75" customHeight="1" x14ac:dyDescent="0.25">
      <c r="A748" s="2" t="s">
        <v>750</v>
      </c>
      <c r="B748" s="3" t="s">
        <v>6</v>
      </c>
      <c r="C748" s="2" t="str">
        <f ca="1">IFERROR(__xludf.DUMMYFUNCTION("GOOGLETRANSLATE(A748,""bn"",""en"")"),"Overall expectations have been low looking for alternatives")</f>
        <v>Overall expectations have been low looking for alternatives</v>
      </c>
    </row>
    <row r="749" spans="1:3" ht="15.75" customHeight="1" x14ac:dyDescent="0.25">
      <c r="A749" s="2" t="s">
        <v>751</v>
      </c>
      <c r="B749" s="3" t="s">
        <v>2</v>
      </c>
      <c r="C749" s="2" t="str">
        <f ca="1">IFERROR(__xludf.DUMMYFUNCTION("GOOGLETRANSLATE(A749,""bn"",""en"")"),"The portable DVD repair kit is capable of repairing some serious but not deep scratches")</f>
        <v>The portable DVD repair kit is capable of repairing some serious but not deep scratches</v>
      </c>
    </row>
    <row r="750" spans="1:3" ht="15.75" customHeight="1" x14ac:dyDescent="0.25">
      <c r="A750" s="2" t="s">
        <v>752</v>
      </c>
      <c r="B750" s="3" t="s">
        <v>6</v>
      </c>
      <c r="C750" s="2" t="str">
        <f ca="1">IFERROR(__xludf.DUMMYFUNCTION("GOOGLETRANSLATE(A750,""bn"",""en"")"),"Antifrizz serum makes my hair look greasy and doesn't control frizz")</f>
        <v>Antifrizz serum makes my hair look greasy and doesn't control frizz</v>
      </c>
    </row>
    <row r="751" spans="1:3" ht="15.75" customHeight="1" x14ac:dyDescent="0.25">
      <c r="A751" s="2" t="s">
        <v>753</v>
      </c>
      <c r="B751" s="3" t="s">
        <v>6</v>
      </c>
      <c r="C751" s="2" t="str">
        <f ca="1">IFERROR(__xludf.DUMMYFUNCTION("GOOGLETRANSLATE(A751,""bn"",""en"")"),"Quality is ok not as durable as expected")</f>
        <v>Quality is ok not as durable as expected</v>
      </c>
    </row>
    <row r="752" spans="1:3" ht="15.75" customHeight="1" x14ac:dyDescent="0.25">
      <c r="A752" s="2" t="s">
        <v>754</v>
      </c>
      <c r="B752" s="3" t="s">
        <v>6</v>
      </c>
      <c r="C752" s="2" t="str">
        <f ca="1">IFERROR(__xludf.DUMMYFUNCTION("GOOGLETRANSLATE(A752,""bn"",""en"")")," Lid does not fit properly and falls off when pouring")</f>
        <v xml:space="preserve"> Lid does not fit properly and falls off when pouring</v>
      </c>
    </row>
    <row r="753" spans="1:3" ht="15.75" customHeight="1" x14ac:dyDescent="0.25">
      <c r="A753" s="2" t="s">
        <v>755</v>
      </c>
      <c r="B753" s="3" t="s">
        <v>4</v>
      </c>
      <c r="C753" s="2" t="str">
        <f ca="1">IFERROR(__xludf.DUMMYFUNCTION("GOOGLETRANSLATE(A753,""bn"",""en"")"),"Worked so well I bought a second one")</f>
        <v>Worked so well I bought a second one</v>
      </c>
    </row>
    <row r="754" spans="1:3" ht="15.75" customHeight="1" x14ac:dyDescent="0.25">
      <c r="A754" s="2" t="s">
        <v>756</v>
      </c>
      <c r="B754" s="3" t="s">
        <v>2</v>
      </c>
      <c r="C754" s="2" t="str">
        <f ca="1">IFERROR(__xludf.DUMMYFUNCTION("GOOGLETRANSLATE(A754,""bn"",""en"")"),"Black is fine, white is fine")</f>
        <v>Black is fine, white is fine</v>
      </c>
    </row>
    <row r="755" spans="1:3" ht="15.75" customHeight="1" x14ac:dyDescent="0.25">
      <c r="A755" s="2" t="s">
        <v>757</v>
      </c>
      <c r="B755" s="3" t="s">
        <v>2</v>
      </c>
      <c r="C755" s="2" t="str">
        <f ca="1">IFERROR(__xludf.DUMMYFUNCTION("GOOGLETRANSLATE(A755,""bn"",""en"")"),"It's a fair outfit but nothing special")</f>
        <v>It's a fair outfit but nothing special</v>
      </c>
    </row>
    <row r="756" spans="1:3" ht="15.75" customHeight="1" x14ac:dyDescent="0.25">
      <c r="A756" s="2" t="s">
        <v>758</v>
      </c>
      <c r="B756" s="3" t="s">
        <v>2</v>
      </c>
      <c r="C756" s="2" t="str">
        <f ca="1">IFERROR(__xludf.DUMMYFUNCTION("GOOGLETRANSLATE(A756,""bn"",""en"")"),"Sometimes the Bluetooth connection can be disconnected while talking")</f>
        <v>Sometimes the Bluetooth connection can be disconnected while talking</v>
      </c>
    </row>
    <row r="757" spans="1:3" ht="15.75" customHeight="1" x14ac:dyDescent="0.25">
      <c r="A757" s="2" t="s">
        <v>759</v>
      </c>
      <c r="B757" s="3" t="s">
        <v>6</v>
      </c>
      <c r="C757" s="2" t="str">
        <f ca="1">IFERROR(__xludf.DUMMYFUNCTION("GOOGLETRANSLATE(A757,""bn"",""en"")"),"Unreliable build quality disappointing")</f>
        <v>Unreliable build quality disappointing</v>
      </c>
    </row>
    <row r="758" spans="1:3" ht="15.75" customHeight="1" x14ac:dyDescent="0.25">
      <c r="A758" s="2" t="s">
        <v>760</v>
      </c>
      <c r="B758" s="3" t="s">
        <v>4</v>
      </c>
      <c r="C758" s="2" t="str">
        <f ca="1">IFERROR(__xludf.DUMMYFUNCTION("GOOGLETRANSLATE(A758,""bn"",""en"")"),"The story is very emotional")</f>
        <v>The story is very emotional</v>
      </c>
    </row>
    <row r="759" spans="1:3" ht="15.75" customHeight="1" x14ac:dyDescent="0.25">
      <c r="A759" s="2" t="s">
        <v>761</v>
      </c>
      <c r="B759" s="3" t="s">
        <v>6</v>
      </c>
      <c r="C759" s="2" t="str">
        <f ca="1">IFERROR(__xludf.DUMMYFUNCTION("GOOGLETRANSLATE(A759,""bn"",""en"")"),"Build quality feels a bit cheap")</f>
        <v>Build quality feels a bit cheap</v>
      </c>
    </row>
    <row r="760" spans="1:3" ht="15.75" customHeight="1" x14ac:dyDescent="0.25">
      <c r="A760" s="2" t="s">
        <v>762</v>
      </c>
      <c r="B760" s="3" t="s">
        <v>2</v>
      </c>
      <c r="C760" s="2" t="str">
        <f ca="1">IFERROR(__xludf.DUMMYFUNCTION("GOOGLETRANSLATE(A760,""bn"",""en"")"),"It can be used for crafts")</f>
        <v>It can be used for crafts</v>
      </c>
    </row>
    <row r="761" spans="1:3" ht="15.75" customHeight="1" x14ac:dyDescent="0.25">
      <c r="A761" s="2" t="s">
        <v>763</v>
      </c>
      <c r="B761" s="3" t="s">
        <v>2</v>
      </c>
      <c r="C761" s="2" t="str">
        <f ca="1">IFERROR(__xludf.DUMMYFUNCTION("GOOGLETRANSLATE(A761,""bn"",""en"")"),"Medium quality kit for emergencies")</f>
        <v>Medium quality kit for emergencies</v>
      </c>
    </row>
    <row r="762" spans="1:3" ht="15.75" customHeight="1" x14ac:dyDescent="0.25">
      <c r="A762" s="2" t="s">
        <v>764</v>
      </c>
      <c r="B762" s="3" t="s">
        <v>2</v>
      </c>
      <c r="C762" s="2" t="str">
        <f ca="1">IFERROR(__xludf.DUMMYFUNCTION("GOOGLETRANSLATE(A762,""bn"",""en"")"),"Digital QR code generator printer prints codes but ink is expensive")</f>
        <v>Digital QR code generator printer prints codes but ink is expensive</v>
      </c>
    </row>
    <row r="763" spans="1:3" ht="15.75" customHeight="1" x14ac:dyDescent="0.25">
      <c r="A763" s="2" t="s">
        <v>765</v>
      </c>
      <c r="B763" s="3" t="s">
        <v>6</v>
      </c>
      <c r="C763" s="2" t="str">
        <f ca="1">IFERROR(__xludf.DUMMYFUNCTION("GOOGLETRANSLATE(A763,""bn"",""en"")"),"Poor quality plastic stains easily and is difficult to clean")</f>
        <v>Poor quality plastic stains easily and is difficult to clean</v>
      </c>
    </row>
    <row r="764" spans="1:3" ht="15.75" customHeight="1" x14ac:dyDescent="0.25">
      <c r="A764" s="2" t="s">
        <v>766</v>
      </c>
      <c r="B764" s="3" t="s">
        <v>6</v>
      </c>
      <c r="C764" s="2" t="str">
        <f ca="1">IFERROR(__xludf.DUMMYFUNCTION("GOOGLETRANSLATE(A764,""bn"",""en"")"),"Dishwasher detergent dispenser does not open Dishes are dirty")</f>
        <v>Dishwasher detergent dispenser does not open Dishes are dirty</v>
      </c>
    </row>
    <row r="765" spans="1:3" ht="15.75" customHeight="1" x14ac:dyDescent="0.25">
      <c r="A765" s="2" t="s">
        <v>767</v>
      </c>
      <c r="B765" s="3" t="s">
        <v>2</v>
      </c>
      <c r="C765" s="2" t="str">
        <f ca="1">IFERROR(__xludf.DUMMYFUNCTION("GOOGLETRANSLATE(A765,""bn"",""en"")"),"The name of the country of origin of the tea is mentioned")</f>
        <v>The name of the country of origin of the tea is mentioned</v>
      </c>
    </row>
    <row r="766" spans="1:3" ht="15.75" customHeight="1" x14ac:dyDescent="0.25">
      <c r="A766" s="2" t="s">
        <v>768</v>
      </c>
      <c r="B766" s="3" t="s">
        <v>4</v>
      </c>
      <c r="C766" s="2" t="str">
        <f ca="1">IFERROR(__xludf.DUMMYFUNCTION("GOOGLETRANSLATE(A766,""bn"",""en"")")," It is a really high quality product that will keep your hands nourished, protected and soft")</f>
        <v xml:space="preserve"> It is a really high quality product that will keep your hands nourished, protected and soft</v>
      </c>
    </row>
    <row r="767" spans="1:3" ht="15.75" customHeight="1" x14ac:dyDescent="0.25">
      <c r="A767" s="2" t="s">
        <v>769</v>
      </c>
      <c r="B767" s="3" t="s">
        <v>4</v>
      </c>
      <c r="C767" s="2" t="str">
        <f ca="1">IFERROR(__xludf.DUMMYFUNCTION("GOOGLETRANSLATE(A767,""bn"",""en"")"),"The braking system of the car is very effective")</f>
        <v>The braking system of the car is very effective</v>
      </c>
    </row>
    <row r="768" spans="1:3" ht="15.75" customHeight="1" x14ac:dyDescent="0.25">
      <c r="A768" s="2" t="s">
        <v>770</v>
      </c>
      <c r="B768" s="3" t="s">
        <v>4</v>
      </c>
      <c r="C768" s="2" t="str">
        <f ca="1">IFERROR(__xludf.DUMMYFUNCTION("GOOGLETRANSLATE(A768,""bn"",""en"")"),"The screen size of the device is quite large")</f>
        <v>The screen size of the device is quite large</v>
      </c>
    </row>
    <row r="769" spans="1:3" ht="15.75" customHeight="1" x14ac:dyDescent="0.25">
      <c r="A769" s="2" t="s">
        <v>771</v>
      </c>
      <c r="B769" s="3" t="s">
        <v>6</v>
      </c>
      <c r="C769" s="2" t="str">
        <f ca="1">IFERROR(__xludf.DUMMYFUNCTION("GOOGLETRANSLATE(A769,""bn"",""en"")"),"The paint had a strong chemical smell that was unpleasant to work with")</f>
        <v>The paint had a strong chemical smell that was unpleasant to work with</v>
      </c>
    </row>
    <row r="770" spans="1:3" ht="15.75" customHeight="1" x14ac:dyDescent="0.25">
      <c r="A770" s="2" t="s">
        <v>772</v>
      </c>
      <c r="B770" s="3" t="s">
        <v>6</v>
      </c>
      <c r="C770" s="2" t="str">
        <f ca="1">IFERROR(__xludf.DUMMYFUNCTION("GOOGLETRANSLATE(A770,""bn"",""en"")"),"The ingredients of the product had a strange smell probably from chemicals")</f>
        <v>The ingredients of the product had a strange smell probably from chemicals</v>
      </c>
    </row>
    <row r="771" spans="1:3" ht="15.75" customHeight="1" x14ac:dyDescent="0.25">
      <c r="A771" s="2" t="s">
        <v>773</v>
      </c>
      <c r="B771" s="3" t="s">
        <v>2</v>
      </c>
      <c r="C771" s="2" t="str">
        <f ca="1">IFERROR(__xludf.DUMMYFUNCTION("GOOGLETRANSLATE(A771,""bn"",""en"")"),"Plant health was somewhat good but yield was low")</f>
        <v>Plant health was somewhat good but yield was low</v>
      </c>
    </row>
    <row r="772" spans="1:3" ht="15.75" customHeight="1" x14ac:dyDescent="0.25">
      <c r="A772" s="2" t="s">
        <v>774</v>
      </c>
      <c r="B772" s="3" t="s">
        <v>2</v>
      </c>
      <c r="C772" s="2" t="str">
        <f ca="1">IFERROR(__xludf.DUMMYFUNCTION("GOOGLETRANSLATE(A772,""bn"",""en"")"),"Dust accumulation is low")</f>
        <v>Dust accumulation is low</v>
      </c>
    </row>
    <row r="773" spans="1:3" ht="15.75" customHeight="1" x14ac:dyDescent="0.25">
      <c r="A773" s="2" t="s">
        <v>775</v>
      </c>
      <c r="B773" s="3" t="s">
        <v>6</v>
      </c>
      <c r="C773" s="2" t="str">
        <f ca="1">IFERROR(__xludf.DUMMYFUNCTION("GOOGLETRANSLATE(A773,""bn"",""en"")"),"The packaging of the item was extravagant and environmentally friendly")</f>
        <v>The packaging of the item was extravagant and environmentally friendly</v>
      </c>
    </row>
    <row r="774" spans="1:3" ht="15.75" customHeight="1" x14ac:dyDescent="0.25">
      <c r="A774" s="2" t="s">
        <v>776</v>
      </c>
      <c r="B774" s="3" t="s">
        <v>4</v>
      </c>
      <c r="C774" s="2" t="str">
        <f ca="1">IFERROR(__xludf.DUMMYFUNCTION("GOOGLETRANSLATE(A774,""bn"",""en"")"),"Helps reduce stress")</f>
        <v>Helps reduce stress</v>
      </c>
    </row>
    <row r="775" spans="1:3" ht="15.75" customHeight="1" x14ac:dyDescent="0.25">
      <c r="A775" s="2" t="s">
        <v>777</v>
      </c>
      <c r="B775" s="3" t="s">
        <v>2</v>
      </c>
      <c r="C775" s="2" t="str">
        <f ca="1">IFERROR(__xludf.DUMMYFUNCTION("GOOGLETRANSLATE(A775,""bn"",""en"")"),"The smell is noticeable but tolerable")</f>
        <v>The smell is noticeable but tolerable</v>
      </c>
    </row>
    <row r="776" spans="1:3" ht="15.75" customHeight="1" x14ac:dyDescent="0.25">
      <c r="A776" s="2" t="s">
        <v>778</v>
      </c>
      <c r="B776" s="3" t="s">
        <v>2</v>
      </c>
      <c r="C776" s="2" t="str">
        <f ca="1">IFERROR(__xludf.DUMMYFUNCTION("GOOGLETRANSLATE(A776,""bn"",""en"")"),"It has a handle for carrying")</f>
        <v>It has a handle for carrying</v>
      </c>
    </row>
    <row r="777" spans="1:3" ht="15.75" customHeight="1" x14ac:dyDescent="0.25">
      <c r="A777" s="2" t="s">
        <v>779</v>
      </c>
      <c r="B777" s="3" t="s">
        <v>6</v>
      </c>
      <c r="C777" s="2" t="str">
        <f ca="1">IFERROR(__xludf.DUMMYFUNCTION("GOOGLETRANSLATE(A777,""bn"",""en"")"),"Does not match what was advertised")</f>
        <v>Does not match what was advertised</v>
      </c>
    </row>
    <row r="778" spans="1:3" ht="15.75" customHeight="1" x14ac:dyDescent="0.25">
      <c r="A778" s="2" t="s">
        <v>780</v>
      </c>
      <c r="B778" s="3" t="s">
        <v>4</v>
      </c>
      <c r="C778" s="2" t="str">
        <f ca="1">IFERROR(__xludf.DUMMYFUNCTION("GOOGLETRANSLATE(A778,""bn"",""en"")"),"Easy to store after use")</f>
        <v>Easy to store after use</v>
      </c>
    </row>
    <row r="779" spans="1:3" ht="15.75" customHeight="1" x14ac:dyDescent="0.25">
      <c r="A779" s="2" t="s">
        <v>781</v>
      </c>
      <c r="B779" s="3" t="s">
        <v>6</v>
      </c>
      <c r="C779" s="2" t="str">
        <f ca="1">IFERROR(__xludf.DUMMYFUNCTION("GOOGLETRANSLATE(A779,""bn"",""en"")"),"The audio quality of noise-canceling earbuds is poor")</f>
        <v>The audio quality of noise-canceling earbuds is poor</v>
      </c>
    </row>
    <row r="780" spans="1:3" ht="15.75" customHeight="1" x14ac:dyDescent="0.25">
      <c r="A780" s="2" t="s">
        <v>782</v>
      </c>
      <c r="B780" s="3" t="s">
        <v>2</v>
      </c>
      <c r="C780" s="2" t="str">
        <f ca="1">IFERROR(__xludf.DUMMYFUNCTION("GOOGLETRANSLATE(A780,""bn"",""en"")"),"Can be refrigerated but may crack in extreme cold")</f>
        <v>Can be refrigerated but may crack in extreme cold</v>
      </c>
    </row>
    <row r="781" spans="1:3" ht="15.75" customHeight="1" x14ac:dyDescent="0.25">
      <c r="A781" s="2" t="s">
        <v>783</v>
      </c>
      <c r="B781" s="3" t="s">
        <v>6</v>
      </c>
      <c r="C781" s="2" t="str">
        <f ca="1">IFERROR(__xludf.DUMMYFUNCTION("GOOGLETRANSLATE(A781,""bn"",""en"")"),"Vacuum cleaners have poor suction power to remove dirt")</f>
        <v>Vacuum cleaners have poor suction power to remove dirt</v>
      </c>
    </row>
    <row r="782" spans="1:3" ht="15.75" customHeight="1" x14ac:dyDescent="0.25">
      <c r="A782" s="2" t="s">
        <v>784</v>
      </c>
      <c r="B782" s="3" t="s">
        <v>6</v>
      </c>
      <c r="C782" s="2" t="str">
        <f ca="1">IFERROR(__xludf.DUMMYFUNCTION("GOOGLETRANSLATE(A782,""bn"",""en"")"),"The aroma was weak and uninspiring and failed to seduce")</f>
        <v>The aroma was weak and uninspiring and failed to seduce</v>
      </c>
    </row>
    <row r="783" spans="1:3" ht="15.75" customHeight="1" x14ac:dyDescent="0.25">
      <c r="A783" s="2" t="s">
        <v>785</v>
      </c>
      <c r="B783" s="3" t="s">
        <v>6</v>
      </c>
      <c r="C783" s="2" t="str">
        <f ca="1">IFERROR(__xludf.DUMMYFUNCTION("GOOGLETRANSLATE(A783,""bn"",""en"")"),"The phone's camera app crashes when switching between different modes causing frustration when trying to capture certain shots.")</f>
        <v>The phone's camera app crashes when switching between different modes causing frustration when trying to capture certain shots.</v>
      </c>
    </row>
    <row r="784" spans="1:3" ht="15.75" customHeight="1" x14ac:dyDescent="0.25">
      <c r="A784" s="2" t="s">
        <v>786</v>
      </c>
      <c r="B784" s="3" t="s">
        <v>4</v>
      </c>
      <c r="C784" s="2" t="str">
        <f ca="1">IFERROR(__xludf.DUMMYFUNCTION("GOOGLETRANSLATE(A784,""bn"",""en"")")," Cheap price works great")</f>
        <v xml:space="preserve"> Cheap price works great</v>
      </c>
    </row>
    <row r="785" spans="1:3" ht="15.75" customHeight="1" x14ac:dyDescent="0.25">
      <c r="A785" s="2" t="s">
        <v>787</v>
      </c>
      <c r="B785" s="3" t="s">
        <v>4</v>
      </c>
      <c r="C785" s="2" t="str">
        <f ca="1">IFERROR(__xludf.DUMMYFUNCTION("GOOGLETRANSLATE(A785,""bn"",""en"")"),"It tastes so good that I drink it three times a day")</f>
        <v>It tastes so good that I drink it three times a day</v>
      </c>
    </row>
    <row r="786" spans="1:3" ht="15.75" customHeight="1" x14ac:dyDescent="0.25">
      <c r="A786" s="2" t="s">
        <v>788</v>
      </c>
      <c r="B786" s="3" t="s">
        <v>4</v>
      </c>
      <c r="C786" s="2" t="str">
        <f ca="1">IFERROR(__xludf.DUMMYFUNCTION("GOOGLETRANSLATE(A786,""bn"",""en"")"),"This coffee has become a prize to me")</f>
        <v>This coffee has become a prize to me</v>
      </c>
    </row>
    <row r="787" spans="1:3" ht="15.75" customHeight="1" x14ac:dyDescent="0.25">
      <c r="A787" s="2" t="s">
        <v>789</v>
      </c>
      <c r="B787" s="3" t="s">
        <v>6</v>
      </c>
      <c r="C787" s="2" t="str">
        <f ca="1">IFERROR(__xludf.DUMMYFUNCTION("GOOGLETRANSLATE(A787,""bn"",""en"")"),"A receipt with loose buttons and ties creates a risk of falling off and causing embarrassment")</f>
        <v>A receipt with loose buttons and ties creates a risk of falling off and causing embarrassment</v>
      </c>
    </row>
    <row r="788" spans="1:3" ht="15.75" customHeight="1" x14ac:dyDescent="0.25">
      <c r="A788" s="2" t="s">
        <v>790</v>
      </c>
      <c r="B788" s="3" t="s">
        <v>4</v>
      </c>
      <c r="C788" s="2" t="str">
        <f ca="1">IFERROR(__xludf.DUMMYFUNCTION("GOOGLETRANSLATE(A788,""bn"",""en"")"),"Maintains color brightness for a long time")</f>
        <v>Maintains color brightness for a long time</v>
      </c>
    </row>
    <row r="789" spans="1:3" ht="15.75" customHeight="1" x14ac:dyDescent="0.25">
      <c r="A789" s="2" t="s">
        <v>791</v>
      </c>
      <c r="B789" s="3" t="s">
        <v>6</v>
      </c>
      <c r="C789" s="2" t="str">
        <f ca="1">IFERROR(__xludf.DUMMYFUNCTION("GOOGLETRANSLATE(A789,""bn"",""en"")"),"Frustrated by premature wear and tear")</f>
        <v>Frustrated by premature wear and tear</v>
      </c>
    </row>
    <row r="790" spans="1:3" ht="15.75" customHeight="1" x14ac:dyDescent="0.25">
      <c r="A790" s="2" t="s">
        <v>792</v>
      </c>
      <c r="B790" s="3" t="s">
        <v>4</v>
      </c>
      <c r="C790" s="2" t="str">
        <f ca="1">IFERROR(__xludf.DUMMYFUNCTION("GOOGLETRANSLATE(A790,""bn"",""en"")"),"The bass of this bluetooth speaker is very deep and clear")</f>
        <v>The bass of this bluetooth speaker is very deep and clear</v>
      </c>
    </row>
    <row r="791" spans="1:3" ht="15.75" customHeight="1" x14ac:dyDescent="0.25">
      <c r="A791" s="2" t="s">
        <v>793</v>
      </c>
      <c r="B791" s="3" t="s">
        <v>2</v>
      </c>
      <c r="C791" s="2" t="str">
        <f ca="1">IFERROR(__xludf.DUMMYFUNCTION("GOOGLETRANSLATE(A791,""bn"",""en"")"),"Toothpaste contains bicarbonate of soda")</f>
        <v>Toothpaste contains bicarbonate of soda</v>
      </c>
    </row>
    <row r="792" spans="1:3" ht="15.75" customHeight="1" x14ac:dyDescent="0.25">
      <c r="A792" s="2" t="s">
        <v>794</v>
      </c>
      <c r="B792" s="3" t="s">
        <v>4</v>
      </c>
      <c r="C792" s="2" t="str">
        <f ca="1">IFERROR(__xludf.DUMMYFUNCTION("GOOGLETRANSLATE(A792,""bn"",""en"")"),"This product is very satisfactory")</f>
        <v>This product is very satisfactory</v>
      </c>
    </row>
    <row r="793" spans="1:3" ht="15.75" customHeight="1" x14ac:dyDescent="0.25">
      <c r="A793" s="2" t="s">
        <v>795</v>
      </c>
      <c r="B793" s="3" t="s">
        <v>4</v>
      </c>
      <c r="C793" s="2" t="str">
        <f ca="1">IFERROR(__xludf.DUMMYFUNCTION("GOOGLETRANSLATE(A793,""bn"",""en"")"),"The atmosphere of the new coffee shop is very comfortable")</f>
        <v>The atmosphere of the new coffee shop is very comfortable</v>
      </c>
    </row>
    <row r="794" spans="1:3" ht="15.75" customHeight="1" x14ac:dyDescent="0.25">
      <c r="A794" s="2" t="s">
        <v>796</v>
      </c>
      <c r="B794" s="3" t="s">
        <v>2</v>
      </c>
      <c r="C794" s="2" t="str">
        <f ca="1">IFERROR(__xludf.DUMMYFUNCTION("GOOGLETRANSLATE(A794,""bn"",""en"")"),"In some cases there is satisfaction and in some cases dissatisfaction")</f>
        <v>In some cases there is satisfaction and in some cases dissatisfaction</v>
      </c>
    </row>
    <row r="795" spans="1:3" ht="15.75" customHeight="1" x14ac:dyDescent="0.25">
      <c r="A795" s="2" t="s">
        <v>797</v>
      </c>
      <c r="B795" s="3" t="s">
        <v>2</v>
      </c>
      <c r="C795" s="2" t="str">
        <f ca="1">IFERROR(__xludf.DUMMYFUNCTION("GOOGLETRANSLATE(A795,""bn"",""en"")"),"To be used after heating")</f>
        <v>To be used after heating</v>
      </c>
    </row>
    <row r="796" spans="1:3" ht="15.75" customHeight="1" x14ac:dyDescent="0.25">
      <c r="A796" s="2" t="s">
        <v>798</v>
      </c>
      <c r="B796" s="3" t="s">
        <v>6</v>
      </c>
      <c r="C796" s="2" t="str">
        <f ca="1">IFERROR(__xludf.DUMMYFUNCTION("GOOGLETRANSLATE(A796,""bn"",""en"")"),"  The design lacks versatility limiting its functionality and suitability for various purposes")</f>
        <v xml:space="preserve">  The design lacks versatility limiting its functionality and suitability for various purposes</v>
      </c>
    </row>
    <row r="797" spans="1:3" ht="15.75" customHeight="1" x14ac:dyDescent="0.25">
      <c r="A797" s="2" t="s">
        <v>799</v>
      </c>
      <c r="B797" s="3" t="s">
        <v>4</v>
      </c>
      <c r="C797" s="2" t="str">
        <f ca="1">IFERROR(__xludf.DUMMYFUNCTION("GOOGLETRANSLATE(A797,""bn"",""en"")"),"This school bag for kids is very comfortable")</f>
        <v>This school bag for kids is very comfortable</v>
      </c>
    </row>
    <row r="798" spans="1:3" ht="15.75" customHeight="1" x14ac:dyDescent="0.25">
      <c r="A798" s="2" t="s">
        <v>800</v>
      </c>
      <c r="B798" s="3" t="s">
        <v>4</v>
      </c>
      <c r="C798" s="2" t="str">
        <f ca="1">IFERROR(__xludf.DUMMYFUNCTION("GOOGLETRANSLATE(A798,""bn"",""en"")"),"Stays fresh at night and looks like fresh flowers in the morning")</f>
        <v>Stays fresh at night and looks like fresh flowers in the morning</v>
      </c>
    </row>
    <row r="799" spans="1:3" ht="15.75" customHeight="1" x14ac:dyDescent="0.25">
      <c r="A799" s="2" t="s">
        <v>801</v>
      </c>
      <c r="B799" s="3" t="s">
        <v>6</v>
      </c>
      <c r="C799" s="2" t="str">
        <f ca="1">IFERROR(__xludf.DUMMYFUNCTION("GOOGLETRANSLATE(A799,""bn"",""en"")"),"The washing machine door seal mold emits a bad smell when used")</f>
        <v>The washing machine door seal mold emits a bad smell when used</v>
      </c>
    </row>
    <row r="800" spans="1:3" ht="15.75" customHeight="1" x14ac:dyDescent="0.25">
      <c r="A800" s="2" t="s">
        <v>802</v>
      </c>
      <c r="B800" s="3" t="s">
        <v>6</v>
      </c>
      <c r="C800" s="2" t="str">
        <f ca="1">IFERROR(__xludf.DUMMYFUNCTION("GOOGLETRANSLATE(A800,""bn"",""en"")"),"The hair dryer's heating element emits a burning smell that indicates a potential fire hazard")</f>
        <v>The hair dryer's heating element emits a burning smell that indicates a potential fire hazard</v>
      </c>
    </row>
    <row r="801" spans="1:3" ht="15.75" customHeight="1" x14ac:dyDescent="0.25">
      <c r="A801" s="2" t="s">
        <v>803</v>
      </c>
      <c r="B801" s="3" t="s">
        <v>4</v>
      </c>
      <c r="C801" s="2" t="str">
        <f ca="1">IFERROR(__xludf.DUMMYFUNCTION("GOOGLETRANSLATE(A801,""bn"",""en"")"),"The height of the dining chairs matches the table perfectly")</f>
        <v>The height of the dining chairs matches the table perfectly</v>
      </c>
    </row>
    <row r="802" spans="1:3" ht="15.75" customHeight="1" x14ac:dyDescent="0.25">
      <c r="A802" s="2" t="s">
        <v>804</v>
      </c>
      <c r="B802" s="3" t="s">
        <v>6</v>
      </c>
      <c r="C802" s="2" t="str">
        <f ca="1">IFERROR(__xludf.DUMMYFUNCTION("GOOGLETRANSLATE(A802,""bn"",""en"")"),"The inner lining tears easily exposing the inner padding")</f>
        <v>The inner lining tears easily exposing the inner padding</v>
      </c>
    </row>
    <row r="803" spans="1:3" ht="15.75" customHeight="1" x14ac:dyDescent="0.25">
      <c r="A803" s="2" t="s">
        <v>805</v>
      </c>
      <c r="B803" s="3" t="s">
        <v>6</v>
      </c>
      <c r="C803" s="2" t="str">
        <f ca="1">IFERROR(__xludf.DUMMYFUNCTION("GOOGLETRANSLATE(A803,""bn"",""en"")")," The turntable easily moves off its track causing spillage inside the cavity")</f>
        <v xml:space="preserve"> The turntable easily moves off its track causing spillage inside the cavity</v>
      </c>
    </row>
    <row r="804" spans="1:3" ht="15.75" customHeight="1" x14ac:dyDescent="0.25">
      <c r="A804" s="2" t="s">
        <v>806</v>
      </c>
      <c r="B804" s="3" t="s">
        <v>2</v>
      </c>
      <c r="C804" s="2" t="str">
        <f ca="1">IFERROR(__xludf.DUMMYFUNCTION("GOOGLETRANSLATE(A804,""bn"",""en"")"),"Integration facility not available")</f>
        <v>Integration facility not available</v>
      </c>
    </row>
    <row r="805" spans="1:3" ht="15.75" customHeight="1" x14ac:dyDescent="0.25">
      <c r="A805" s="2" t="s">
        <v>807</v>
      </c>
      <c r="B805" s="3" t="s">
        <v>4</v>
      </c>
      <c r="C805" s="2" t="str">
        <f ca="1">IFERROR(__xludf.DUMMYFUNCTION("GOOGLETRANSLATE(A805,""bn"",""en"")"),"It enhances the efficiency of makeup application")</f>
        <v>It enhances the efficiency of makeup application</v>
      </c>
    </row>
    <row r="806" spans="1:3" ht="15.75" customHeight="1" x14ac:dyDescent="0.25">
      <c r="A806" s="2" t="s">
        <v>808</v>
      </c>
      <c r="B806" s="3" t="s">
        <v>4</v>
      </c>
      <c r="C806" s="2" t="str">
        <f ca="1">IFERROR(__xludf.DUMMYFUNCTION("GOOGLETRANSLATE(A806,""bn"",""en"")"),"Very good binoculars")</f>
        <v>Very good binoculars</v>
      </c>
    </row>
    <row r="807" spans="1:3" ht="15.75" customHeight="1" x14ac:dyDescent="0.25">
      <c r="A807" s="2" t="s">
        <v>809</v>
      </c>
      <c r="B807" s="3" t="s">
        <v>4</v>
      </c>
      <c r="C807" s="2" t="str">
        <f ca="1">IFERROR(__xludf.DUMMYFUNCTION("GOOGLETRANSLATE(A807,""bn"",""en"")"),"It is very durable and long lasting")</f>
        <v>It is very durable and long lasting</v>
      </c>
    </row>
    <row r="808" spans="1:3" ht="15.75" customHeight="1" x14ac:dyDescent="0.25">
      <c r="A808" s="2" t="s">
        <v>810</v>
      </c>
      <c r="B808" s="3" t="s">
        <v>2</v>
      </c>
      <c r="C808" s="2" t="str">
        <f ca="1">IFERROR(__xludf.DUMMYFUNCTION("GOOGLETRANSLATE(A808,""bn"",""en"")"),"Light intensity is just right")</f>
        <v>Light intensity is just right</v>
      </c>
    </row>
    <row r="809" spans="1:3" ht="15.75" customHeight="1" x14ac:dyDescent="0.25">
      <c r="A809" s="2" t="s">
        <v>811</v>
      </c>
      <c r="B809" s="3" t="s">
        <v>4</v>
      </c>
      <c r="C809" s="2" t="str">
        <f ca="1">IFERROR(__xludf.DUMMYFUNCTION("GOOGLETRANSLATE(A809,""bn"",""en"")"),"The coffee aroma is so pleasant that I can use it as a perfume too")</f>
        <v>The coffee aroma is so pleasant that I can use it as a perfume too</v>
      </c>
    </row>
    <row r="810" spans="1:3" ht="15.75" customHeight="1" x14ac:dyDescent="0.25">
      <c r="A810" s="2" t="s">
        <v>812</v>
      </c>
      <c r="B810" s="3" t="s">
        <v>2</v>
      </c>
      <c r="C810" s="2" t="str">
        <f ca="1">IFERROR(__xludf.DUMMYFUNCTION("GOOGLETRANSLATE(A810,""bn"",""en"")"),"The design is simple but nothing special")</f>
        <v>The design is simple but nothing special</v>
      </c>
    </row>
    <row r="811" spans="1:3" ht="15.75" customHeight="1" x14ac:dyDescent="0.25">
      <c r="A811" s="2" t="s">
        <v>813</v>
      </c>
      <c r="B811" s="3" t="s">
        <v>4</v>
      </c>
      <c r="C811" s="2" t="str">
        <f ca="1">IFERROR(__xludf.DUMMYFUNCTION("GOOGLETRANSLATE(A811,""bn"",""en"")"),"Its taste reminds me of the love of home")</f>
        <v>Its taste reminds me of the love of home</v>
      </c>
    </row>
    <row r="812" spans="1:3" ht="15.75" customHeight="1" x14ac:dyDescent="0.25">
      <c r="A812" s="2" t="s">
        <v>814</v>
      </c>
      <c r="B812" s="3" t="s">
        <v>6</v>
      </c>
      <c r="C812" s="2" t="str">
        <f ca="1">IFERROR(__xludf.DUMMYFUNCTION("GOOGLETRANSLATE(A812,""bn"",""en"")"),"Despite claiming to be suitable for all skin types, face oils can lead to acne and congestion")</f>
        <v>Despite claiming to be suitable for all skin types, face oils can lead to acne and congestion</v>
      </c>
    </row>
    <row r="813" spans="1:3" ht="15.75" customHeight="1" x14ac:dyDescent="0.25">
      <c r="A813" s="2" t="s">
        <v>815</v>
      </c>
      <c r="B813" s="3" t="s">
        <v>2</v>
      </c>
      <c r="C813" s="2" t="str">
        <f ca="1">IFERROR(__xludf.DUMMYFUNCTION("GOOGLETRANSLATE(A813,""bn"",""en"")"),"Fabric quality is fair but there is room for improvement")</f>
        <v>Fabric quality is fair but there is room for improvement</v>
      </c>
    </row>
    <row r="814" spans="1:3" ht="15.75" customHeight="1" x14ac:dyDescent="0.25">
      <c r="A814" s="2" t="s">
        <v>816</v>
      </c>
      <c r="B814" s="3" t="s">
        <v>6</v>
      </c>
      <c r="C814" s="2" t="str">
        <f ca="1">IFERROR(__xludf.DUMMYFUNCTION("GOOGLETRANSLATE(A814,""bn"",""en"")")," The control panel works intermittently to reset the settings while cooking")</f>
        <v xml:space="preserve"> The control panel works intermittently to reset the settings while cooking</v>
      </c>
    </row>
    <row r="815" spans="1:3" ht="15.75" customHeight="1" x14ac:dyDescent="0.25">
      <c r="A815" s="2" t="s">
        <v>817</v>
      </c>
      <c r="B815" s="3" t="s">
        <v>2</v>
      </c>
      <c r="C815" s="2" t="str">
        <f ca="1">IFERROR(__xludf.DUMMYFUNCTION("GOOGLETRANSLATE(A815,""bn"",""en"")"),"Lack of detailed information about tea blends")</f>
        <v>Lack of detailed information about tea blends</v>
      </c>
    </row>
    <row r="816" spans="1:3" ht="15.75" customHeight="1" x14ac:dyDescent="0.25">
      <c r="A816" s="2" t="s">
        <v>818</v>
      </c>
      <c r="B816" s="3" t="s">
        <v>6</v>
      </c>
      <c r="C816" s="2" t="str">
        <f ca="1">IFERROR(__xludf.DUMMYFUNCTION("GOOGLETRANSLATE(A816,""bn"",""en"")"),"Body wash pump mechanism jammed making it impossible to dispense")</f>
        <v>Body wash pump mechanism jammed making it impossible to dispense</v>
      </c>
    </row>
    <row r="817" spans="1:3" ht="15.75" customHeight="1" x14ac:dyDescent="0.25">
      <c r="A817" s="2" t="s">
        <v>819</v>
      </c>
      <c r="B817" s="3" t="s">
        <v>2</v>
      </c>
      <c r="C817" s="2" t="str">
        <f ca="1">IFERROR(__xludf.DUMMYFUNCTION("GOOGLETRANSLATE(A817,""bn"",""en"")"),"The color of the light is not completely white")</f>
        <v>The color of the light is not completely white</v>
      </c>
    </row>
    <row r="818" spans="1:3" ht="15.75" customHeight="1" x14ac:dyDescent="0.25">
      <c r="A818" s="2" t="s">
        <v>820</v>
      </c>
      <c r="B818" s="3" t="s">
        <v>4</v>
      </c>
      <c r="C818" s="2" t="str">
        <f ca="1">IFERROR(__xludf.DUMMYFUNCTION("GOOGLETRANSLATE(A818,""bn"",""en"")"),"Our company environment is very conducive to work")</f>
        <v>Our company environment is very conducive to work</v>
      </c>
    </row>
    <row r="819" spans="1:3" ht="15.75" customHeight="1" x14ac:dyDescent="0.25">
      <c r="A819" s="2" t="s">
        <v>821</v>
      </c>
      <c r="B819" s="3" t="s">
        <v>2</v>
      </c>
      <c r="C819" s="2" t="str">
        <f ca="1">IFERROR(__xludf.DUMMYFUNCTION("GOOGLETRANSLATE(A819,""bn"",""en"")"),"There needs to be more ")</f>
        <v xml:space="preserve">There needs to be more </v>
      </c>
    </row>
    <row r="820" spans="1:3" ht="15.75" customHeight="1" x14ac:dyDescent="0.25">
      <c r="A820" s="2" t="s">
        <v>822</v>
      </c>
      <c r="B820" s="3" t="s">
        <v>6</v>
      </c>
      <c r="C820" s="2" t="str">
        <f ca="1">IFERROR(__xludf.DUMMYFUNCTION("GOOGLETRANSLATE(A820,""bn"",""en"")"),"  The spray irritates my skin and causes redness")</f>
        <v xml:space="preserve">  The spray irritates my skin and causes redness</v>
      </c>
    </row>
    <row r="821" spans="1:3" ht="15.75" customHeight="1" x14ac:dyDescent="0.25">
      <c r="A821" s="2" t="s">
        <v>823</v>
      </c>
      <c r="B821" s="3" t="s">
        <v>6</v>
      </c>
      <c r="C821" s="2" t="str">
        <f ca="1">IFERROR(__xludf.DUMMYFUNCTION("GOOGLETRANSLATE(A821,""bn"",""en"")"),"The picture is deceiving and in reality the dress is far from the expectation")</f>
        <v>The picture is deceiving and in reality the dress is far from the expectation</v>
      </c>
    </row>
    <row r="822" spans="1:3" ht="15.75" customHeight="1" x14ac:dyDescent="0.25">
      <c r="A822" s="2" t="s">
        <v>824</v>
      </c>
      <c r="B822" s="3" t="s">
        <v>4</v>
      </c>
      <c r="C822" s="2" t="str">
        <f ca="1">IFERROR(__xludf.DUMMYFUNCTION("GOOGLETRANSLATE(A822,""bn"",""en"")"),"I really liked the t-shirt. ")</f>
        <v xml:space="preserve">I really liked the t-shirt. </v>
      </c>
    </row>
    <row r="823" spans="1:3" ht="15.75" customHeight="1" x14ac:dyDescent="0.25">
      <c r="A823" s="2" t="s">
        <v>825</v>
      </c>
      <c r="B823" s="3" t="s">
        <v>4</v>
      </c>
      <c r="C823" s="2" t="str">
        <f ca="1">IFERROR(__xludf.DUMMYFUNCTION("GOOGLETRANSLATE(A823,""bn"",""en"")"),"The battery lasts quite a long time")</f>
        <v>The battery lasts quite a long time</v>
      </c>
    </row>
    <row r="824" spans="1:3" ht="15.75" customHeight="1" x14ac:dyDescent="0.25">
      <c r="A824" s="2" t="s">
        <v>826</v>
      </c>
      <c r="B824" s="3" t="s">
        <v>2</v>
      </c>
      <c r="C824" s="2" t="str">
        <f ca="1">IFERROR(__xludf.DUMMYFUNCTION("GOOGLETRANSLATE(A824,""bn"",""en"")"),"Far from soft but the feel is slight")</f>
        <v>Far from soft but the feel is slight</v>
      </c>
    </row>
    <row r="825" spans="1:3" ht="15.75" customHeight="1" x14ac:dyDescent="0.25">
      <c r="A825" s="2" t="s">
        <v>827</v>
      </c>
      <c r="B825" s="3" t="s">
        <v>4</v>
      </c>
      <c r="C825" s="2" t="str">
        <f ca="1">IFERROR(__xludf.DUMMYFUNCTION("GOOGLETRANSLATE(A825,""bn"",""en"")"),"Honey reduces flatulence")</f>
        <v>Honey reduces flatulence</v>
      </c>
    </row>
    <row r="826" spans="1:3" ht="15.75" customHeight="1" x14ac:dyDescent="0.25">
      <c r="A826" s="2" t="s">
        <v>828</v>
      </c>
      <c r="B826" s="3" t="s">
        <v>4</v>
      </c>
      <c r="C826" s="2" t="str">
        <f ca="1">IFERROR(__xludf.DUMMYFUNCTION("GOOGLETRANSLATE(A826,""bn"",""en"")"),"The kit contains all the necessary products together")</f>
        <v>The kit contains all the necessary products together</v>
      </c>
    </row>
    <row r="827" spans="1:3" ht="15.75" customHeight="1" x14ac:dyDescent="0.25">
      <c r="A827" s="2" t="s">
        <v>829</v>
      </c>
      <c r="B827" s="3" t="s">
        <v>6</v>
      </c>
      <c r="C827" s="2" t="str">
        <f ca="1">IFERROR(__xludf.DUMMYFUNCTION("GOOGLETRANSLATE(A827,""bn"",""en"")"),"The quality could have been better")</f>
        <v>The quality could have been better</v>
      </c>
    </row>
    <row r="828" spans="1:3" ht="15.75" customHeight="1" x14ac:dyDescent="0.25">
      <c r="A828" s="2" t="s">
        <v>830</v>
      </c>
      <c r="B828" s="3" t="s">
        <v>4</v>
      </c>
      <c r="C828" s="2" t="str">
        <f ca="1">IFERROR(__xludf.DUMMYFUNCTION("GOOGLETRANSLATE(A828,""bn"",""en"")"),"This body wash increases the vitality of the skin")</f>
        <v>This body wash increases the vitality of the skin</v>
      </c>
    </row>
    <row r="829" spans="1:3" ht="15.75" customHeight="1" x14ac:dyDescent="0.25">
      <c r="A829" s="2" t="s">
        <v>831</v>
      </c>
      <c r="B829" s="3" t="s">
        <v>6</v>
      </c>
      <c r="C829" s="2" t="str">
        <f ca="1">IFERROR(__xludf.DUMMYFUNCTION("GOOGLETRANSLATE(A829,""bn"",""en"")"),"The sizing chart is incorrect")</f>
        <v>The sizing chart is incorrect</v>
      </c>
    </row>
    <row r="830" spans="1:3" ht="15.75" customHeight="1" x14ac:dyDescent="0.25">
      <c r="A830" s="2" t="s">
        <v>832</v>
      </c>
      <c r="B830" s="3" t="s">
        <v>6</v>
      </c>
      <c r="C830" s="2" t="str">
        <f ca="1">IFERROR(__xludf.DUMMYFUNCTION("GOOGLETRANSLATE(A830,""bn"",""en"")")," Firmware updates fail to fix known issues leaving users frustrated")</f>
        <v xml:space="preserve"> Firmware updates fail to fix known issues leaving users frustrated</v>
      </c>
    </row>
    <row r="831" spans="1:3" ht="15.75" customHeight="1" x14ac:dyDescent="0.25">
      <c r="A831" s="2" t="s">
        <v>833</v>
      </c>
      <c r="B831" s="3" t="s">
        <v>6</v>
      </c>
      <c r="C831" s="2" t="str">
        <f ca="1">IFERROR(__xludf.DUMMYFUNCTION("GOOGLETRANSLATE(A831,""bn"",""en"")"),"Robot pet feeders overfeed pets by dispensing too much food")</f>
        <v>Robot pet feeders overfeed pets by dispensing too much food</v>
      </c>
    </row>
    <row r="832" spans="1:3" ht="15.75" customHeight="1" x14ac:dyDescent="0.25">
      <c r="A832" s="2" t="s">
        <v>834</v>
      </c>
      <c r="B832" s="3" t="s">
        <v>4</v>
      </c>
      <c r="C832" s="2" t="str">
        <f ca="1">IFERROR(__xludf.DUMMYFUNCTION("GOOGLETRANSLATE(A832,""bn"",""en"")"),"The child takes milk every morning")</f>
        <v>The child takes milk every morning</v>
      </c>
    </row>
    <row r="833" spans="1:3" ht="15.75" customHeight="1" x14ac:dyDescent="0.25">
      <c r="A833" s="2" t="s">
        <v>835</v>
      </c>
      <c r="B833" s="3" t="s">
        <v>6</v>
      </c>
      <c r="C833" s="2" t="str">
        <f ca="1">IFERROR(__xludf.DUMMYFUNCTION("GOOGLETRANSLATE(A833,""bn"",""en"")"),"The color of the tea set was dull and faded lacking vibrancy")</f>
        <v>The color of the tea set was dull and faded lacking vibrancy</v>
      </c>
    </row>
    <row r="834" spans="1:3" ht="15.75" customHeight="1" x14ac:dyDescent="0.25">
      <c r="A834" s="2" t="s">
        <v>836</v>
      </c>
      <c r="B834" s="3" t="s">
        <v>6</v>
      </c>
      <c r="C834" s="2" t="str">
        <f ca="1">IFERROR(__xludf.DUMMYFUNCTION("GOOGLETRANSLATE(A834,""bn"",""en"")"),"Solar powered LED lights stop working after a few days is unbelievable")</f>
        <v>Solar powered LED lights stop working after a few days is unbelievable</v>
      </c>
    </row>
    <row r="835" spans="1:3" ht="15.75" customHeight="1" x14ac:dyDescent="0.25">
      <c r="A835" s="2" t="s">
        <v>837</v>
      </c>
      <c r="B835" s="3" t="s">
        <v>4</v>
      </c>
      <c r="C835" s="2" t="str">
        <f ca="1">IFERROR(__xludf.DUMMYFUNCTION("GOOGLETRANSLATE(A835,""bn"",""en"")"),"Great dashcam great value and very useful")</f>
        <v>Great dashcam great value and very useful</v>
      </c>
    </row>
    <row r="836" spans="1:3" ht="15.75" customHeight="1" x14ac:dyDescent="0.25">
      <c r="A836" s="2" t="s">
        <v>838</v>
      </c>
      <c r="B836" s="3" t="s">
        <v>6</v>
      </c>
      <c r="C836" s="2" t="str">
        <f ca="1">IFERROR(__xludf.DUMMYFUNCTION("GOOGLETRANSLATE(A836,""bn"",""en"")"),"Despite following the care instructions the fabric shrinks significantly after the first wash making the garment unwearable")</f>
        <v>Despite following the care instructions the fabric shrinks significantly after the first wash making the garment unwearable</v>
      </c>
    </row>
    <row r="837" spans="1:3" ht="15.75" customHeight="1" x14ac:dyDescent="0.25">
      <c r="A837" s="2" t="s">
        <v>839</v>
      </c>
      <c r="B837" s="3" t="s">
        <v>4</v>
      </c>
      <c r="C837" s="2" t="str">
        <f ca="1">IFERROR(__xludf.DUMMYFUNCTION("GOOGLETRANSLATE(A837,""bn"",""en"")"),"Floors are shiny using the product")</f>
        <v>Floors are shiny using the product</v>
      </c>
    </row>
    <row r="838" spans="1:3" ht="15.75" customHeight="1" x14ac:dyDescent="0.25">
      <c r="A838" s="2" t="s">
        <v>840</v>
      </c>
      <c r="B838" s="3" t="s">
        <v>2</v>
      </c>
      <c r="C838" s="2" t="str">
        <f ca="1">IFERROR(__xludf.DUMMYFUNCTION("GOOGLETRANSLATE(A838,""bn"",""en"")"),"Cannot be pocketed")</f>
        <v>Cannot be pocketed</v>
      </c>
    </row>
    <row r="839" spans="1:3" ht="15.75" customHeight="1" x14ac:dyDescent="0.25">
      <c r="A839" s="2" t="s">
        <v>841</v>
      </c>
      <c r="B839" s="3" t="s">
        <v>4</v>
      </c>
      <c r="C839" s="2" t="str">
        <f ca="1">IFERROR(__xludf.DUMMYFUNCTION("GOOGLETRANSLATE(A839,""bn"",""en"")"),"The plastic flower is free from insect attack")</f>
        <v>The plastic flower is free from insect attack</v>
      </c>
    </row>
    <row r="840" spans="1:3" ht="15.75" customHeight="1" x14ac:dyDescent="0.25">
      <c r="A840" s="2" t="s">
        <v>842</v>
      </c>
      <c r="B840" s="3" t="s">
        <v>4</v>
      </c>
      <c r="C840" s="2" t="str">
        <f ca="1">IFERROR(__xludf.DUMMYFUNCTION("GOOGLETRANSLATE(A840,""bn"",""en"")"),"It has mild citrus notes hidden in it")</f>
        <v>It has mild citrus notes hidden in it</v>
      </c>
    </row>
    <row r="841" spans="1:3" ht="15.75" customHeight="1" x14ac:dyDescent="0.25">
      <c r="A841" s="2" t="s">
        <v>843</v>
      </c>
      <c r="B841" s="3" t="s">
        <v>4</v>
      </c>
      <c r="C841" s="2" t="str">
        <f ca="1">IFERROR(__xludf.DUMMYFUNCTION("GOOGLETRANSLATE(A841,""bn"",""en"")"),"Liquid does not seep through the edge of the pad")</f>
        <v>Liquid does not seep through the edge of the pad</v>
      </c>
    </row>
    <row r="842" spans="1:3" ht="15.75" customHeight="1" x14ac:dyDescent="0.25">
      <c r="A842" s="2" t="s">
        <v>844</v>
      </c>
      <c r="B842" s="3" t="s">
        <v>2</v>
      </c>
      <c r="C842" s="2" t="str">
        <f ca="1">IFERROR(__xludf.DUMMYFUNCTION("GOOGLETRANSLATE(A842,""bn"",""en"")"),"Received according to the price of the product")</f>
        <v>Received according to the price of the product</v>
      </c>
    </row>
    <row r="843" spans="1:3" ht="15.75" customHeight="1" x14ac:dyDescent="0.25">
      <c r="A843" s="2" t="s">
        <v>845</v>
      </c>
      <c r="B843" s="3" t="s">
        <v>2</v>
      </c>
      <c r="C843" s="2" t="str">
        <f ca="1">IFERROR(__xludf.DUMMYFUNCTION("GOOGLETRANSLATE(A843,""bn"",""en"")"),"The ice cube tray holds ice but it is a bit difficult to get the ice out")</f>
        <v>The ice cube tray holds ice but it is a bit difficult to get the ice out</v>
      </c>
    </row>
    <row r="844" spans="1:3" ht="15.75" customHeight="1" x14ac:dyDescent="0.25">
      <c r="A844" s="2" t="s">
        <v>846</v>
      </c>
      <c r="B844" s="3" t="s">
        <v>4</v>
      </c>
      <c r="C844" s="2" t="str">
        <f ca="1">IFERROR(__xludf.DUMMYFUNCTION("GOOGLETRANSLATE(A844,""bn"",""en"")"),"It makes makeup layering easier")</f>
        <v>It makes makeup layering easier</v>
      </c>
    </row>
    <row r="845" spans="1:3" ht="15.75" customHeight="1" x14ac:dyDescent="0.25">
      <c r="A845" s="2" t="s">
        <v>847</v>
      </c>
      <c r="B845" s="3" t="s">
        <v>6</v>
      </c>
      <c r="C845" s="2" t="str">
        <f ca="1">IFERROR(__xludf.DUMMYFUNCTION("GOOGLETRANSLATE(A845,""bn"",""en"")"),"Variety of poor quality beads")</f>
        <v>Variety of poor quality beads</v>
      </c>
    </row>
    <row r="846" spans="1:3" ht="15.75" customHeight="1" x14ac:dyDescent="0.25">
      <c r="A846" s="2" t="s">
        <v>848</v>
      </c>
      <c r="B846" s="3" t="s">
        <v>2</v>
      </c>
      <c r="C846" s="2" t="str">
        <f ca="1">IFERROR(__xludf.DUMMYFUNCTION("GOOGLETRANSLATE(A846,""bn"",""en"")"),"I recently collected these tea bags")</f>
        <v>I recently collected these tea bags</v>
      </c>
    </row>
    <row r="847" spans="1:3" ht="15.75" customHeight="1" x14ac:dyDescent="0.25">
      <c r="A847" s="2" t="s">
        <v>849</v>
      </c>
      <c r="B847" s="3" t="s">
        <v>4</v>
      </c>
      <c r="C847" s="2" t="str">
        <f ca="1">IFERROR(__xludf.DUMMYFUNCTION("GOOGLETRANSLATE(A847,""bn"",""en"")"),"It makes the skin smooth and soft")</f>
        <v>It makes the skin smooth and soft</v>
      </c>
    </row>
    <row r="848" spans="1:3" ht="15.75" customHeight="1" x14ac:dyDescent="0.25">
      <c r="A848" s="2" t="s">
        <v>850</v>
      </c>
      <c r="B848" s="3" t="s">
        <v>6</v>
      </c>
      <c r="C848" s="2" t="str">
        <f ca="1">IFERROR(__xludf.DUMMYFUNCTION("GOOGLETRANSLATE(A848,""bn"",""en"")"),"Sizing runs small resulting in toes and blisters after a short period of wear")</f>
        <v>Sizing runs small resulting in toes and blisters after a short period of wear</v>
      </c>
    </row>
    <row r="849" spans="1:3" ht="15.75" customHeight="1" x14ac:dyDescent="0.25">
      <c r="A849" s="2" t="s">
        <v>851</v>
      </c>
      <c r="B849" s="3" t="s">
        <v>4</v>
      </c>
      <c r="C849" s="2" t="str">
        <f ca="1">IFERROR(__xludf.DUMMYFUNCTION("GOOGLETRANSLATE(A849,""bn"",""en"")"),"Great product and pretty intuitive with no set up")</f>
        <v>Great product and pretty intuitive with no set up</v>
      </c>
    </row>
    <row r="850" spans="1:3" ht="15.75" customHeight="1" x14ac:dyDescent="0.25">
      <c r="A850" s="2" t="s">
        <v>852</v>
      </c>
      <c r="B850" s="3" t="s">
        <v>4</v>
      </c>
      <c r="C850" s="2" t="str">
        <f ca="1">IFERROR(__xludf.DUMMYFUNCTION("GOOGLETRANSLATE(A850,""bn"",""en"")"),"From the moment the tea is poured into the pot, its aroma spreads throughout the house")</f>
        <v>From the moment the tea is poured into the pot, its aroma spreads throughout the house</v>
      </c>
    </row>
    <row r="851" spans="1:3" ht="15.75" customHeight="1" x14ac:dyDescent="0.25">
      <c r="A851" s="2" t="s">
        <v>853</v>
      </c>
      <c r="B851" s="3" t="s">
        <v>4</v>
      </c>
      <c r="C851" s="2" t="str">
        <f ca="1">IFERROR(__xludf.DUMMYFUNCTION("GOOGLETRANSLATE(A851,""bn"",""en"")"),"I noticed that these pillows became more comfortable with use")</f>
        <v>I noticed that these pillows became more comfortable with use</v>
      </c>
    </row>
    <row r="852" spans="1:3" ht="15.75" customHeight="1" x14ac:dyDescent="0.25">
      <c r="A852" s="2" t="s">
        <v>854</v>
      </c>
      <c r="B852" s="3" t="s">
        <v>4</v>
      </c>
      <c r="C852" s="2" t="str">
        <f ca="1">IFERROR(__xludf.DUMMYFUNCTION("GOOGLETRANSLATE(A852,""bn"",""en"")"),"The new laptop keyboard is very smooth")</f>
        <v>The new laptop keyboard is very smooth</v>
      </c>
    </row>
    <row r="853" spans="1:3" ht="15.75" customHeight="1" x14ac:dyDescent="0.25">
      <c r="A853" s="2" t="s">
        <v>855</v>
      </c>
      <c r="B853" s="3" t="s">
        <v>2</v>
      </c>
      <c r="C853" s="2" t="str">
        <f ca="1">IFERROR(__xludf.DUMMYFUNCTION("GOOGLETRANSLATE(A853,""bn"",""en"")"),"The sunglasses block the sun but the frame is weak")</f>
        <v>The sunglasses block the sun but the frame is weak</v>
      </c>
    </row>
    <row r="854" spans="1:3" ht="15.75" customHeight="1" x14ac:dyDescent="0.25">
      <c r="A854" s="2" t="s">
        <v>856</v>
      </c>
      <c r="B854" s="3" t="s">
        <v>6</v>
      </c>
      <c r="C854" s="2" t="str">
        <f ca="1">IFERROR(__xludf.DUMMYFUNCTION("GOOGLETRANSLATE(A854,""bn"",""en"")"),"Bluetooth speakers interrupt the music by frequently disconnecting")</f>
        <v>Bluetooth speakers interrupt the music by frequently disconnecting</v>
      </c>
    </row>
    <row r="855" spans="1:3" ht="15.75" customHeight="1" x14ac:dyDescent="0.25">
      <c r="A855" s="2" t="s">
        <v>857</v>
      </c>
      <c r="B855" s="3" t="s">
        <v>4</v>
      </c>
      <c r="C855" s="2" t="str">
        <f ca="1">IFERROR(__xludf.DUMMYFUNCTION("GOOGLETRANSLATE(A855,""bn"",""en"")"),"Sound quality is very good charge goes percent in one hour delivery man was very good thanks ")</f>
        <v xml:space="preserve">Sound quality is very good charge goes percent in one hour delivery man was very good thanks </v>
      </c>
    </row>
    <row r="856" spans="1:3" ht="15.75" customHeight="1" x14ac:dyDescent="0.25">
      <c r="A856" s="2" t="s">
        <v>858</v>
      </c>
      <c r="B856" s="3" t="s">
        <v>2</v>
      </c>
      <c r="C856" s="2" t="str">
        <f ca="1">IFERROR(__xludf.DUMMYFUNCTION("GOOGLETRANSLATE(A856,""bn"",""en"")"),"Good value could be better")</f>
        <v>Good value could be better</v>
      </c>
    </row>
    <row r="857" spans="1:3" ht="15.75" customHeight="1" x14ac:dyDescent="0.25">
      <c r="A857" s="2" t="s">
        <v>859</v>
      </c>
      <c r="B857" s="3" t="s">
        <v>2</v>
      </c>
      <c r="C857" s="2" t="str">
        <f ca="1">IFERROR(__xludf.DUMMYFUNCTION("GOOGLETRANSLATE(A857,""bn"",""en"")"),"Pretty good for the price but not exceptional")</f>
        <v>Pretty good for the price but not exceptional</v>
      </c>
    </row>
    <row r="858" spans="1:3" ht="15.75" customHeight="1" x14ac:dyDescent="0.25">
      <c r="A858" s="2" t="s">
        <v>860</v>
      </c>
      <c r="B858" s="3" t="s">
        <v>2</v>
      </c>
      <c r="C858" s="2" t="str">
        <f ca="1">IFERROR(__xludf.DUMMYFUNCTION("GOOGLETRANSLATE(A858,""bn"",""en"")"),"Could have been better for the price")</f>
        <v>Could have been better for the price</v>
      </c>
    </row>
    <row r="859" spans="1:3" ht="15.75" customHeight="1" x14ac:dyDescent="0.25">
      <c r="A859" s="2" t="s">
        <v>861</v>
      </c>
      <c r="B859" s="3" t="s">
        <v>2</v>
      </c>
      <c r="C859" s="2" t="str">
        <f ca="1">IFERROR(__xludf.DUMMYFUNCTION("GOOGLETRANSLATE(A859,""bn"",""en"")"),"Control panel can be used")</f>
        <v>Control panel can be used</v>
      </c>
    </row>
    <row r="860" spans="1:3" ht="15.75" customHeight="1" x14ac:dyDescent="0.25">
      <c r="A860" s="2" t="s">
        <v>862</v>
      </c>
      <c r="B860" s="3" t="s">
        <v>6</v>
      </c>
      <c r="C860" s="2" t="str">
        <f ca="1">IFERROR(__xludf.DUMMYFUNCTION("GOOGLETRANSLATE(A860,""bn"",""en"")"),"The complicated setup process made initial use frustrating")</f>
        <v>The complicated setup process made initial use frustrating</v>
      </c>
    </row>
    <row r="861" spans="1:3" ht="15.75" customHeight="1" x14ac:dyDescent="0.25">
      <c r="A861" s="2" t="s">
        <v>863</v>
      </c>
      <c r="B861" s="3" t="s">
        <v>6</v>
      </c>
      <c r="C861" s="2" t="str">
        <f ca="1">IFERROR(__xludf.DUMMYFUNCTION("GOOGLETRANSLATE(A861,""bn"",""en"")"),"This is not a quality brush")</f>
        <v>This is not a quality brush</v>
      </c>
    </row>
    <row r="862" spans="1:3" ht="15.75" customHeight="1" x14ac:dyDescent="0.25">
      <c r="A862" s="2" t="s">
        <v>864</v>
      </c>
      <c r="B862" s="3" t="s">
        <v>4</v>
      </c>
      <c r="C862" s="2" t="str">
        <f ca="1">IFERROR(__xludf.DUMMYFUNCTION("GOOGLETRANSLATE(A862,""bn"",""en"")"),"The screen to body ratio of the mobile is very high")</f>
        <v>The screen to body ratio of the mobile is very high</v>
      </c>
    </row>
    <row r="863" spans="1:3" ht="15.75" customHeight="1" x14ac:dyDescent="0.25">
      <c r="A863" s="2" t="s">
        <v>865</v>
      </c>
      <c r="B863" s="3" t="s">
        <v>4</v>
      </c>
      <c r="C863" s="2" t="str">
        <f ca="1">IFERROR(__xludf.DUMMYFUNCTION("GOOGLETRANSLATE(A863,""bn"",""en"")"),"A very good product seems original")</f>
        <v>A very good product seems original</v>
      </c>
    </row>
    <row r="864" spans="1:3" ht="15.75" customHeight="1" x14ac:dyDescent="0.25">
      <c r="A864" s="2" t="s">
        <v>866</v>
      </c>
      <c r="B864" s="3" t="s">
        <v>4</v>
      </c>
      <c r="C864" s="2" t="str">
        <f ca="1">IFERROR(__xludf.DUMMYFUNCTION("GOOGLETRANSLATE(A864,""bn"",""en"")"),"No stains left after use")</f>
        <v>No stains left after use</v>
      </c>
    </row>
    <row r="865" spans="1:3" ht="15.75" customHeight="1" x14ac:dyDescent="0.25">
      <c r="A865" s="2" t="s">
        <v>867</v>
      </c>
      <c r="B865" s="3" t="s">
        <v>2</v>
      </c>
      <c r="C865" s="2" t="str">
        <f ca="1">IFERROR(__xludf.DUMMYFUNCTION("GOOGLETRANSLATE(A865,""bn"",""en"")"),"There are four legs with plastic adjustable feet")</f>
        <v>There are four legs with plastic adjustable feet</v>
      </c>
    </row>
    <row r="866" spans="1:3" ht="15.75" customHeight="1" x14ac:dyDescent="0.25">
      <c r="A866" s="2" t="s">
        <v>868</v>
      </c>
      <c r="B866" s="3" t="s">
        <v>2</v>
      </c>
      <c r="C866" s="2" t="str">
        <f ca="1">IFERROR(__xludf.DUMMYFUNCTION("GOOGLETRANSLATE(A866,""bn"",""en"")"),"The fertilizer was suitable but the yield did not increase much")</f>
        <v>The fertilizer was suitable but the yield did not increase much</v>
      </c>
    </row>
    <row r="867" spans="1:3" ht="15.75" customHeight="1" x14ac:dyDescent="0.25">
      <c r="A867" s="2" t="s">
        <v>869</v>
      </c>
      <c r="B867" s="3" t="s">
        <v>6</v>
      </c>
      <c r="C867" s="2" t="str">
        <f ca="1">IFERROR(__xludf.DUMMYFUNCTION("GOOGLETRANSLATE(A867,""bn"",""en"")"),"Causes significant hair tangles and breakage despite claims to be gentle")</f>
        <v>Causes significant hair tangles and breakage despite claims to be gentle</v>
      </c>
    </row>
    <row r="868" spans="1:3" ht="15.75" customHeight="1" x14ac:dyDescent="0.25">
      <c r="A868" s="2" t="s">
        <v>870</v>
      </c>
      <c r="B868" s="3" t="s">
        <v>2</v>
      </c>
      <c r="C868" s="2" t="str">
        <f ca="1">IFERROR(__xludf.DUMMYFUNCTION("GOOGLETRANSLATE(A868,""bn"",""en"")"),"The product is fairly good")</f>
        <v>The product is fairly good</v>
      </c>
    </row>
    <row r="869" spans="1:3" ht="15.75" customHeight="1" x14ac:dyDescent="0.25">
      <c r="A869" s="2" t="s">
        <v>871</v>
      </c>
      <c r="B869" s="3" t="s">
        <v>4</v>
      </c>
      <c r="C869" s="2" t="str">
        <f ca="1">IFERROR(__xludf.DUMMYFUNCTION("GOOGLETRANSLATE(A869,""bn"",""en"")"),"The product isn't bad it's really great")</f>
        <v>The product isn't bad it's really great</v>
      </c>
    </row>
    <row r="870" spans="1:3" ht="15.75" customHeight="1" x14ac:dyDescent="0.25">
      <c r="A870" s="2" t="s">
        <v>872</v>
      </c>
      <c r="B870" s="3" t="s">
        <v>4</v>
      </c>
      <c r="C870" s="2" t="str">
        <f ca="1">IFERROR(__xludf.DUMMYFUNCTION("GOOGLETRANSLATE(A870,""bn"",""en"")"),"The fabric is skin friendly")</f>
        <v>The fabric is skin friendly</v>
      </c>
    </row>
    <row r="871" spans="1:3" ht="15.75" customHeight="1" x14ac:dyDescent="0.25">
      <c r="A871" s="2" t="s">
        <v>873</v>
      </c>
      <c r="B871" s="3" t="s">
        <v>4</v>
      </c>
      <c r="C871" s="2" t="str">
        <f ca="1">IFERROR(__xludf.DUMMYFUNCTION("GOOGLETRANSLATE(A871,""bn"",""en"")"),"Using this body wash will make your skin more attractive")</f>
        <v>Using this body wash will make your skin more attractive</v>
      </c>
    </row>
    <row r="872" spans="1:3" ht="15.75" customHeight="1" x14ac:dyDescent="0.25">
      <c r="A872" s="2" t="s">
        <v>874</v>
      </c>
      <c r="B872" s="3" t="s">
        <v>4</v>
      </c>
      <c r="C872" s="2" t="str">
        <f ca="1">IFERROR(__xludf.DUMMYFUNCTION("GOOGLETRANSLATE(A872,""bn"",""en"")"),"Safe for kids no fear of breaking")</f>
        <v>Safe for kids no fear of breaking</v>
      </c>
    </row>
    <row r="873" spans="1:3" ht="15.75" customHeight="1" x14ac:dyDescent="0.25">
      <c r="A873" s="2" t="s">
        <v>875</v>
      </c>
      <c r="B873" s="3" t="s">
        <v>4</v>
      </c>
      <c r="C873" s="2" t="str">
        <f ca="1">IFERROR(__xludf.DUMMYFUNCTION("GOOGLETRANSLATE(A873,""bn"",""en"")"),"The doll's eyes close when laid down which my daughter found very funny")</f>
        <v>The doll's eyes close when laid down which my daughter found very funny</v>
      </c>
    </row>
    <row r="874" spans="1:3" ht="15.75" customHeight="1" x14ac:dyDescent="0.25">
      <c r="A874" s="2" t="s">
        <v>876</v>
      </c>
      <c r="B874" s="3" t="s">
        <v>2</v>
      </c>
      <c r="C874" s="2" t="str">
        <f ca="1">IFERROR(__xludf.DUMMYFUNCTION("GOOGLETRANSLATE(A874,""bn"",""en"")"),"This is a simple tool")</f>
        <v>This is a simple tool</v>
      </c>
    </row>
    <row r="875" spans="1:3" ht="15.75" customHeight="1" x14ac:dyDescent="0.25">
      <c r="A875" s="2" t="s">
        <v>877</v>
      </c>
      <c r="B875" s="3" t="s">
        <v>2</v>
      </c>
      <c r="C875" s="2" t="str">
        <f ca="1">IFERROR(__xludf.DUMMYFUNCTION("GOOGLETRANSLATE(A875,""bn"",""en"")"),"It is safe but so are most toys")</f>
        <v>It is safe but so are most toys</v>
      </c>
    </row>
    <row r="876" spans="1:3" ht="15.75" customHeight="1" x14ac:dyDescent="0.25">
      <c r="A876" s="2" t="s">
        <v>878</v>
      </c>
      <c r="B876" s="3" t="s">
        <v>6</v>
      </c>
      <c r="C876" s="2" t="str">
        <f ca="1">IFERROR(__xludf.DUMMYFUNCTION("GOOGLETRANSLATE(A876,""bn"",""en"")"),"Damaged products received are unacceptable")</f>
        <v>Damaged products received are unacceptable</v>
      </c>
    </row>
    <row r="877" spans="1:3" ht="15.75" customHeight="1" x14ac:dyDescent="0.25">
      <c r="A877" s="2" t="s">
        <v>879</v>
      </c>
      <c r="B877" s="3" t="s">
        <v>4</v>
      </c>
      <c r="C877" s="2" t="str">
        <f ca="1">IFERROR(__xludf.DUMMYFUNCTION("GOOGLETRANSLATE(A877,""bn"",""en"")"),"The weight can be moved with general ease")</f>
        <v>The weight can be moved with general ease</v>
      </c>
    </row>
    <row r="878" spans="1:3" ht="15.75" customHeight="1" x14ac:dyDescent="0.25">
      <c r="A878" s="2" t="s">
        <v>880</v>
      </c>
      <c r="B878" s="3" t="s">
        <v>2</v>
      </c>
      <c r="C878" s="2" t="str">
        <f ca="1">IFERROR(__xludf.DUMMYFUNCTION("GOOGLETRANSLATE(A878,""bn"",""en"")"),"Works but has no particular effect")</f>
        <v>Works but has no particular effect</v>
      </c>
    </row>
    <row r="879" spans="1:3" ht="15.75" customHeight="1" x14ac:dyDescent="0.25">
      <c r="A879" s="2" t="s">
        <v>881</v>
      </c>
      <c r="B879" s="3" t="s">
        <v>6</v>
      </c>
      <c r="C879" s="2" t="str">
        <f ca="1">IFERROR(__xludf.DUMMYFUNCTION("GOOGLETRANSLATE(A879,""bn"",""en"")")," Inconsistent thermometer readings make it difficult to accurately monitor a baby's temperature")</f>
        <v xml:space="preserve"> Inconsistent thermometer readings make it difficult to accurately monitor a baby's temperature</v>
      </c>
    </row>
    <row r="880" spans="1:3" ht="15.75" customHeight="1" x14ac:dyDescent="0.25">
      <c r="A880" s="2" t="s">
        <v>882</v>
      </c>
      <c r="B880" s="3" t="s">
        <v>4</v>
      </c>
      <c r="C880" s="2" t="str">
        <f ca="1">IFERROR(__xludf.DUMMYFUNCTION("GOOGLETRANSLATE(A880,""bn"",""en"")"),"Love the smell of the shampoo")</f>
        <v>Love the smell of the shampoo</v>
      </c>
    </row>
    <row r="881" spans="1:3" ht="15.75" customHeight="1" x14ac:dyDescent="0.25">
      <c r="A881" s="2" t="s">
        <v>883</v>
      </c>
      <c r="B881" s="3" t="s">
        <v>6</v>
      </c>
      <c r="C881" s="2" t="str">
        <f ca="1">IFERROR(__xludf.DUMMYFUNCTION("GOOGLETRANSLATE(A881,""bn"",""en"")"),"The hair serum makes my hair look greasy and weighs it down")</f>
        <v>The hair serum makes my hair look greasy and weighs it down</v>
      </c>
    </row>
    <row r="882" spans="1:3" ht="15.75" customHeight="1" x14ac:dyDescent="0.25">
      <c r="A882" s="2" t="s">
        <v>884</v>
      </c>
      <c r="B882" s="3" t="s">
        <v>2</v>
      </c>
      <c r="C882" s="2" t="str">
        <f ca="1">IFERROR(__xludf.DUMMYFUNCTION("GOOGLETRANSLATE(A882,""bn"",""en"")"),"The temperature drops gradually")</f>
        <v>The temperature drops gradually</v>
      </c>
    </row>
    <row r="883" spans="1:3" ht="15.75" customHeight="1" x14ac:dyDescent="0.25">
      <c r="A883" s="2" t="s">
        <v>885</v>
      </c>
      <c r="B883" s="3" t="s">
        <v>2</v>
      </c>
      <c r="C883" s="2" t="str">
        <f ca="1">IFERROR(__xludf.DUMMYFUNCTION("GOOGLETRANSLATE(A883,""bn"",""en"")"),"The structure of the cups is common with no special design")</f>
        <v>The structure of the cups is common with no special design</v>
      </c>
    </row>
    <row r="884" spans="1:3" ht="15.75" customHeight="1" x14ac:dyDescent="0.25">
      <c r="A884" s="2" t="s">
        <v>886</v>
      </c>
      <c r="B884" s="3" t="s">
        <v>4</v>
      </c>
      <c r="C884" s="2" t="str">
        <f ca="1">IFERROR(__xludf.DUMMYFUNCTION("GOOGLETRANSLATE(A884,""bn"",""en"")"),"Perfect for photos and videos")</f>
        <v>Perfect for photos and videos</v>
      </c>
    </row>
    <row r="885" spans="1:3" ht="15.75" customHeight="1" x14ac:dyDescent="0.25">
      <c r="A885" s="2" t="s">
        <v>887</v>
      </c>
      <c r="B885" s="3" t="s">
        <v>2</v>
      </c>
      <c r="C885" s="2" t="str">
        <f ca="1">IFERROR(__xludf.DUMMYFUNCTION("GOOGLETRANSLATE(A885,""bn"",""en"")"),"There are colors according to age but no color choice")</f>
        <v>There are colors according to age but no color choice</v>
      </c>
    </row>
    <row r="886" spans="1:3" ht="15.75" customHeight="1" x14ac:dyDescent="0.25">
      <c r="A886" s="2" t="s">
        <v>888</v>
      </c>
      <c r="B886" s="3" t="s">
        <v>2</v>
      </c>
      <c r="C886" s="2" t="str">
        <f ca="1">IFERROR(__xludf.DUMMYFUNCTION("GOOGLETRANSLATE(A886,""bn"",""en"")"),"The travel jewelry organizer holds jewelry but takes up less space")</f>
        <v>The travel jewelry organizer holds jewelry but takes up less space</v>
      </c>
    </row>
    <row r="887" spans="1:3" ht="15.75" customHeight="1" x14ac:dyDescent="0.25">
      <c r="A887" s="2" t="s">
        <v>889</v>
      </c>
      <c r="B887" s="3" t="s">
        <v>4</v>
      </c>
      <c r="C887" s="2" t="str">
        <f ca="1">IFERROR(__xludf.DUMMYFUNCTION("GOOGLETRANSLATE(A887,""bn"",""en"")"),"Modern and stylish design")</f>
        <v>Modern and stylish design</v>
      </c>
    </row>
    <row r="888" spans="1:3" ht="15.75" customHeight="1" x14ac:dyDescent="0.25">
      <c r="A888" s="2" t="s">
        <v>890</v>
      </c>
      <c r="B888" s="3" t="s">
        <v>4</v>
      </c>
      <c r="C888" s="2" t="str">
        <f ca="1">IFERROR(__xludf.DUMMYFUNCTION("GOOGLETRANSLATE(A888,""bn"",""en"")"),"The operation of this coffee machine is very simple and effective")</f>
        <v>The operation of this coffee machine is very simple and effective</v>
      </c>
    </row>
    <row r="889" spans="1:3" ht="15.75" customHeight="1" x14ac:dyDescent="0.25">
      <c r="A889" s="2" t="s">
        <v>891</v>
      </c>
      <c r="B889" s="3" t="s">
        <v>4</v>
      </c>
      <c r="C889" s="2" t="str">
        <f ca="1">IFERROR(__xludf.DUMMYFUNCTION("GOOGLETRANSLATE(A889,""bn"",""en"")"),"Its cable is quite strong and durable")</f>
        <v>Its cable is quite strong and durable</v>
      </c>
    </row>
    <row r="890" spans="1:3" ht="15.75" customHeight="1" x14ac:dyDescent="0.25">
      <c r="A890" s="2" t="s">
        <v>892</v>
      </c>
      <c r="B890" s="3" t="s">
        <v>6</v>
      </c>
      <c r="C890" s="2" t="str">
        <f ca="1">IFERROR(__xludf.DUMMYFUNCTION("GOOGLETRANSLATE(A890,""bn"",""en"")"),"Open containers are potential hygiene issues")</f>
        <v>Open containers are potential hygiene issues</v>
      </c>
    </row>
    <row r="891" spans="1:3" ht="15.75" customHeight="1" x14ac:dyDescent="0.25">
      <c r="A891" s="2" t="s">
        <v>893</v>
      </c>
      <c r="B891" s="3" t="s">
        <v>4</v>
      </c>
      <c r="C891" s="2" t="str">
        <f ca="1">IFERROR(__xludf.DUMMYFUNCTION("GOOGLETRANSLATE(A891,""bn"",""en"")"),"The size and shape of the brush also helps to reach the corner biases")</f>
        <v>The size and shape of the brush also helps to reach the corner biases</v>
      </c>
    </row>
    <row r="892" spans="1:3" ht="15.75" customHeight="1" x14ac:dyDescent="0.25">
      <c r="A892" s="2" t="s">
        <v>894</v>
      </c>
      <c r="B892" s="3" t="s">
        <v>4</v>
      </c>
      <c r="C892" s="2" t="str">
        <f ca="1">IFERROR(__xludf.DUMMYFUNCTION("GOOGLETRANSLATE(A892,""bn"",""en"")"),"Well worth buying it")</f>
        <v>Well worth buying it</v>
      </c>
    </row>
    <row r="893" spans="1:3" ht="15.75" customHeight="1" x14ac:dyDescent="0.25">
      <c r="A893" s="2" t="s">
        <v>895</v>
      </c>
      <c r="B893" s="3" t="s">
        <v>2</v>
      </c>
      <c r="C893" s="2" t="str">
        <f ca="1">IFERROR(__xludf.DUMMYFUNCTION("GOOGLETRANSLATE(A893,""bn"",""en"")"),"The electronic nail file scrapes the nails but makes more noise")</f>
        <v>The electronic nail file scrapes the nails but makes more noise</v>
      </c>
    </row>
    <row r="894" spans="1:3" ht="15.75" customHeight="1" x14ac:dyDescent="0.25">
      <c r="A894" s="2" t="s">
        <v>896</v>
      </c>
      <c r="B894" s="3" t="s">
        <v>2</v>
      </c>
      <c r="C894" s="2" t="str">
        <f ca="1">IFERROR(__xludf.DUMMYFUNCTION("GOOGLETRANSLATE(A894,""bn"",""en"")"),"Does not block food odors which can cause problems in some cases")</f>
        <v>Does not block food odors which can cause problems in some cases</v>
      </c>
    </row>
    <row r="895" spans="1:3" ht="15.75" customHeight="1" x14ac:dyDescent="0.25">
      <c r="A895" s="2" t="s">
        <v>897</v>
      </c>
      <c r="B895" s="3" t="s">
        <v>6</v>
      </c>
      <c r="C895" s="2" t="str">
        <f ca="1">IFERROR(__xludf.DUMMYFUNCTION("GOOGLETRANSLATE(A895,""bn"",""en"")"),"Brow gel is too runny making it difficult to control and results in messy brows")</f>
        <v>Brow gel is too runny making it difficult to control and results in messy brows</v>
      </c>
    </row>
    <row r="896" spans="1:3" ht="15.75" customHeight="1" x14ac:dyDescent="0.25">
      <c r="A896" s="2" t="s">
        <v>898</v>
      </c>
      <c r="B896" s="3" t="s">
        <v>6</v>
      </c>
      <c r="C896" s="2" t="str">
        <f ca="1">IFERROR(__xludf.DUMMYFUNCTION("GOOGLETRANSLATE(A896,""bn"",""en"")"),"Unsatisfactory sound quality and connectivity")</f>
        <v>Unsatisfactory sound quality and connectivity</v>
      </c>
    </row>
    <row r="897" spans="1:3" ht="15.75" customHeight="1" x14ac:dyDescent="0.25">
      <c r="A897" s="2" t="s">
        <v>899</v>
      </c>
      <c r="B897" s="3" t="s">
        <v>6</v>
      </c>
      <c r="C897" s="2" t="str">
        <f ca="1">IFERROR(__xludf.DUMMYFUNCTION("GOOGLETRANSLATE(A897,""bn"",""en"")"),"OK gifts for pre-teens")</f>
        <v>OK gifts for pre-teens</v>
      </c>
    </row>
    <row r="898" spans="1:3" ht="15.75" customHeight="1" x14ac:dyDescent="0.25">
      <c r="A898" s="2" t="s">
        <v>900</v>
      </c>
      <c r="B898" s="3" t="s">
        <v>2</v>
      </c>
      <c r="C898" s="2" t="str">
        <f ca="1">IFERROR(__xludf.DUMMYFUNCTION("GOOGLETRANSLATE(A898,""bn"",""en"")"),"The house looks nice but not extravagant")</f>
        <v>The house looks nice but not extravagant</v>
      </c>
    </row>
    <row r="899" spans="1:3" ht="15.75" customHeight="1" x14ac:dyDescent="0.25">
      <c r="A899" s="2" t="s">
        <v>901</v>
      </c>
      <c r="B899" s="3" t="s">
        <v>6</v>
      </c>
      <c r="C899" s="2" t="str">
        <f ca="1">IFERROR(__xludf.DUMMYFUNCTION("GOOGLETRANSLATE(A899,""bn"",""en"")"),"The baby bib's velcro closure is weak so it comes undone easily")</f>
        <v>The baby bib's velcro closure is weak so it comes undone easily</v>
      </c>
    </row>
    <row r="900" spans="1:3" ht="15.75" customHeight="1" x14ac:dyDescent="0.25">
      <c r="A900" s="2" t="s">
        <v>902</v>
      </c>
      <c r="B900" s="3" t="s">
        <v>2</v>
      </c>
      <c r="C900" s="2" t="str">
        <f ca="1">IFERROR(__xludf.DUMMYFUNCTION("GOOGLETRANSLATE(A900,""bn"",""en"")"),"It seems to cover nail imperfections")</f>
        <v>It seems to cover nail imperfections</v>
      </c>
    </row>
    <row r="901" spans="1:3" ht="15.75" customHeight="1" x14ac:dyDescent="0.25">
      <c r="A901" s="2" t="s">
        <v>903</v>
      </c>
      <c r="B901" s="3" t="s">
        <v>4</v>
      </c>
      <c r="C901" s="2" t="str">
        <f ca="1">IFERROR(__xludf.DUMMYFUNCTION("GOOGLETRANSLATE(A901,""bn"",""en"")"),"This tablet is ideal for studying")</f>
        <v>This tablet is ideal for studying</v>
      </c>
    </row>
    <row r="902" spans="1:3" ht="15.75" customHeight="1" x14ac:dyDescent="0.25">
      <c r="A902" s="2" t="s">
        <v>904</v>
      </c>
      <c r="B902" s="3" t="s">
        <v>4</v>
      </c>
      <c r="C902" s="2" t="str">
        <f ca="1">IFERROR(__xludf.DUMMYFUNCTION("GOOGLETRANSLATE(A902,""bn"",""en"")"),"An absolutely perfect piece of art")</f>
        <v>An absolutely perfect piece of art</v>
      </c>
    </row>
    <row r="903" spans="1:3" ht="15.75" customHeight="1" x14ac:dyDescent="0.25">
      <c r="A903" s="2" t="s">
        <v>905</v>
      </c>
      <c r="B903" s="3" t="s">
        <v>2</v>
      </c>
      <c r="C903" s="2" t="str">
        <f ca="1">IFERROR(__xludf.DUMMYFUNCTION("GOOGLETRANSLATE(A903,""bn"",""en"")"),"Cools down slowly after use")</f>
        <v>Cools down slowly after use</v>
      </c>
    </row>
    <row r="904" spans="1:3" ht="15.75" customHeight="1" x14ac:dyDescent="0.25">
      <c r="A904" s="2" t="s">
        <v>906</v>
      </c>
      <c r="B904" s="3" t="s">
        <v>2</v>
      </c>
      <c r="C904" s="2" t="str">
        <f ca="1">IFERROR(__xludf.DUMMYFUNCTION("GOOGLETRANSLATE(A904,""bn"",""en"")"),"I was somewhat interested in participating")</f>
        <v>I was somewhat interested in participating</v>
      </c>
    </row>
    <row r="905" spans="1:3" ht="15.75" customHeight="1" x14ac:dyDescent="0.25">
      <c r="A905" s="2" t="s">
        <v>907</v>
      </c>
      <c r="B905" s="3" t="s">
        <v>6</v>
      </c>
      <c r="C905" s="2" t="str">
        <f ca="1">IFERROR(__xludf.DUMMYFUNCTION("GOOGLETRANSLATE(A905,""bn"",""en"")"),"The frozen burrito had soggy tortillas and tasted like freezer burn")</f>
        <v>The frozen burrito had soggy tortillas and tasted like freezer burn</v>
      </c>
    </row>
    <row r="906" spans="1:3" ht="15.75" customHeight="1" x14ac:dyDescent="0.25">
      <c r="A906" s="2" t="s">
        <v>908</v>
      </c>
      <c r="B906" s="3" t="s">
        <v>4</v>
      </c>
      <c r="C906" s="2" t="str">
        <f ca="1">IFERROR(__xludf.DUMMYFUNCTION("GOOGLETRANSLATE(A906,""bn"",""en"")"),"It feels very reflective and valuable")</f>
        <v>It feels very reflective and valuable</v>
      </c>
    </row>
    <row r="907" spans="1:3" ht="15.75" customHeight="1" x14ac:dyDescent="0.25">
      <c r="A907" s="2" t="s">
        <v>909</v>
      </c>
      <c r="B907" s="3" t="s">
        <v>2</v>
      </c>
      <c r="C907" s="2" t="str">
        <f ca="1">IFERROR(__xludf.DUMMYFUNCTION("GOOGLETRANSLATE(A907,""bn"",""en"")"),"Good at first but then some problems")</f>
        <v>Good at first but then some problems</v>
      </c>
    </row>
    <row r="908" spans="1:3" ht="15.75" customHeight="1" x14ac:dyDescent="0.25">
      <c r="A908" s="2" t="s">
        <v>910</v>
      </c>
      <c r="B908" s="3" t="s">
        <v>4</v>
      </c>
      <c r="C908" s="2" t="str">
        <f ca="1">IFERROR(__xludf.DUMMYFUNCTION("GOOGLETRANSLATE(A908,""bn"",""en"")"),"Whenever I wear these earrings someone compliments me")</f>
        <v>Whenever I wear these earrings someone compliments me</v>
      </c>
    </row>
    <row r="909" spans="1:3" ht="15.75" customHeight="1" x14ac:dyDescent="0.25">
      <c r="A909" s="2" t="s">
        <v>911</v>
      </c>
      <c r="B909" s="3" t="s">
        <v>4</v>
      </c>
      <c r="C909" s="2" t="str">
        <f ca="1">IFERROR(__xludf.DUMMYFUNCTION("GOOGLETRANSLATE(A909,""bn"",""en"")"),"The watch strap is very comfortable")</f>
        <v>The watch strap is very comfortable</v>
      </c>
    </row>
    <row r="910" spans="1:3" ht="15.75" customHeight="1" x14ac:dyDescent="0.25">
      <c r="A910" s="2" t="s">
        <v>912</v>
      </c>
      <c r="B910" s="3" t="s">
        <v>2</v>
      </c>
      <c r="C910" s="2" t="str">
        <f ca="1">IFERROR(__xludf.DUMMYFUNCTION("GOOGLETRANSLATE(A910,""bn"",""en"")"),"Pretty good but not exceptional in terms of comfort warmth or looks")</f>
        <v>Pretty good but not exceptional in terms of comfort warmth or looks</v>
      </c>
    </row>
    <row r="911" spans="1:3" ht="15.75" customHeight="1" x14ac:dyDescent="0.25">
      <c r="A911" s="2" t="s">
        <v>913</v>
      </c>
      <c r="B911" s="3" t="s">
        <v>6</v>
      </c>
      <c r="C911" s="2" t="str">
        <f ca="1">IFERROR(__xludf.DUMMYFUNCTION("GOOGLETRANSLATE(A911,""bn"",""en"")"),"Solar garden lights do not charge properly and dim after a few hours")</f>
        <v>Solar garden lights do not charge properly and dim after a few hours</v>
      </c>
    </row>
    <row r="912" spans="1:3" ht="15.75" customHeight="1" x14ac:dyDescent="0.25">
      <c r="A912" s="2" t="s">
        <v>914</v>
      </c>
      <c r="B912" s="3" t="s">
        <v>6</v>
      </c>
      <c r="C912" s="2" t="str">
        <f ca="1">IFERROR(__xludf.DUMMYFUNCTION("GOOGLETRANSLATE(A912,""bn"",""en"")"),"The blades of kitchen knife sets become dull after only a few uses which require constant sharpening")</f>
        <v>The blades of kitchen knife sets become dull after only a few uses which require constant sharpening</v>
      </c>
    </row>
    <row r="913" spans="1:3" ht="15.75" customHeight="1" x14ac:dyDescent="0.25">
      <c r="A913" s="2" t="s">
        <v>915</v>
      </c>
      <c r="B913" s="3" t="s">
        <v>4</v>
      </c>
      <c r="C913" s="2" t="str">
        <f ca="1">IFERROR(__xludf.DUMMYFUNCTION("GOOGLETRANSLATE(A913,""bn"",""en"")"),"The new laptop is perfect for studying")</f>
        <v>The new laptop is perfect for studying</v>
      </c>
    </row>
    <row r="914" spans="1:3" ht="15.75" customHeight="1" x14ac:dyDescent="0.25">
      <c r="A914" s="2" t="s">
        <v>916</v>
      </c>
      <c r="B914" s="3" t="s">
        <v>2</v>
      </c>
      <c r="C914" s="2" t="str">
        <f ca="1">IFERROR(__xludf.DUMMYFUNCTION("GOOGLETRANSLATE(A914,""bn"",""en"")"),"Edges are fairly safe")</f>
        <v>Edges are fairly safe</v>
      </c>
    </row>
    <row r="915" spans="1:3" ht="15.75" customHeight="1" x14ac:dyDescent="0.25">
      <c r="A915" s="2" t="s">
        <v>917</v>
      </c>
      <c r="B915" s="3" t="s">
        <v>2</v>
      </c>
      <c r="C915" s="2" t="str">
        <f ca="1">IFERROR(__xludf.DUMMYFUNCTION("GOOGLETRANSLATE(A915,""bn"",""en"")"),"Beautiful and great quality with some limitations")</f>
        <v>Beautiful and great quality with some limitations</v>
      </c>
    </row>
    <row r="916" spans="1:3" ht="15.75" customHeight="1" x14ac:dyDescent="0.25">
      <c r="A916" s="2" t="s">
        <v>918</v>
      </c>
      <c r="B916" s="3" t="s">
        <v>2</v>
      </c>
      <c r="C916" s="2" t="str">
        <f ca="1">IFERROR(__xludf.DUMMYFUNCTION("GOOGLETRANSLATE(A916,""bn"",""en"")"),"The value of pineapple is slightly lower")</f>
        <v>The value of pineapple is slightly lower</v>
      </c>
    </row>
    <row r="917" spans="1:3" ht="15.75" customHeight="1" x14ac:dyDescent="0.25">
      <c r="A917" s="2" t="s">
        <v>919</v>
      </c>
      <c r="B917" s="3" t="s">
        <v>4</v>
      </c>
      <c r="C917" s="2" t="str">
        <f ca="1">IFERROR(__xludf.DUMMYFUNCTION("GOOGLETRANSLATE(A917,""bn"",""en"")"),"The battery life of the mobile is very long")</f>
        <v>The battery life of the mobile is very long</v>
      </c>
    </row>
    <row r="918" spans="1:3" ht="15.75" customHeight="1" x14ac:dyDescent="0.25">
      <c r="A918" s="2" t="s">
        <v>920</v>
      </c>
      <c r="B918" s="3" t="s">
        <v>2</v>
      </c>
      <c r="C918" s="2" t="str">
        <f ca="1">IFERROR(__xludf.DUMMYFUNCTION("GOOGLETRANSLATE(A918,""bn"",""en"")"),"It works but has no extra features")</f>
        <v>It works but has no extra features</v>
      </c>
    </row>
    <row r="919" spans="1:3" ht="15.75" customHeight="1" x14ac:dyDescent="0.25">
      <c r="A919" s="2" t="s">
        <v>921</v>
      </c>
      <c r="B919" s="3" t="s">
        <v>6</v>
      </c>
      <c r="C919" s="2" t="str">
        <f ca="1">IFERROR(__xludf.DUMMYFUNCTION("GOOGLETRANSLATE(A919,""bn"",""en"")"),"  Washing dries out my skin and makes it itchy")</f>
        <v xml:space="preserve">  Washing dries out my skin and makes it itchy</v>
      </c>
    </row>
    <row r="920" spans="1:3" ht="15.75" customHeight="1" x14ac:dyDescent="0.25">
      <c r="A920" s="2" t="s">
        <v>922</v>
      </c>
      <c r="B920" s="3" t="s">
        <v>4</v>
      </c>
      <c r="C920" s="2" t="str">
        <f ca="1">IFERROR(__xludf.DUMMYFUNCTION("GOOGLETRANSLATE(A920,""bn"",""en"")")," Happy with the quality of the product as per the price very good sound quality")</f>
        <v xml:space="preserve"> Happy with the quality of the product as per the price very good sound quality</v>
      </c>
    </row>
    <row r="921" spans="1:3" ht="15.75" customHeight="1" x14ac:dyDescent="0.25">
      <c r="A921" s="2" t="s">
        <v>923</v>
      </c>
      <c r="B921" s="3" t="s">
        <v>4</v>
      </c>
      <c r="C921" s="2" t="str">
        <f ca="1">IFERROR(__xludf.DUMMYFUNCTION("GOOGLETRANSLATE(A921,""bn"",""en"")"),"Everyone in our class has a good relationship")</f>
        <v>Everyone in our class has a good relationship</v>
      </c>
    </row>
    <row r="922" spans="1:3" ht="15.75" customHeight="1" x14ac:dyDescent="0.25">
      <c r="A922" s="2" t="s">
        <v>924</v>
      </c>
      <c r="B922" s="3" t="s">
        <v>2</v>
      </c>
      <c r="C922" s="2" t="str">
        <f ca="1">IFERROR(__xludf.DUMMYFUNCTION("GOOGLETRANSLATE(A922,""bn"",""en"")"),"Quite tasty but intense")</f>
        <v>Quite tasty but intense</v>
      </c>
    </row>
    <row r="923" spans="1:3" ht="15.75" customHeight="1" x14ac:dyDescent="0.25">
      <c r="A923" s="2" t="s">
        <v>925</v>
      </c>
      <c r="B923" s="3" t="s">
        <v>6</v>
      </c>
      <c r="C923" s="2" t="str">
        <f ca="1">IFERROR(__xludf.DUMMYFUNCTION("GOOGLETRANSLATE(A923,""bn"",""en"")"),"Poor heat dissipation ineffective cooling")</f>
        <v>Poor heat dissipation ineffective cooling</v>
      </c>
    </row>
    <row r="924" spans="1:3" ht="15.75" customHeight="1" x14ac:dyDescent="0.25">
      <c r="A924" s="2" t="s">
        <v>926</v>
      </c>
      <c r="B924" s="3" t="s">
        <v>4</v>
      </c>
      <c r="C924" s="2" t="str">
        <f ca="1">IFERROR(__xludf.DUMMYFUNCTION("GOOGLETRANSLATE(A924,""bn"",""en"")"),"The flower created a calm atmosphere in my room")</f>
        <v>The flower created a calm atmosphere in my room</v>
      </c>
    </row>
    <row r="925" spans="1:3" ht="15.75" customHeight="1" x14ac:dyDescent="0.25">
      <c r="A925" s="2" t="s">
        <v>927</v>
      </c>
      <c r="B925" s="3" t="s">
        <v>2</v>
      </c>
      <c r="C925" s="2" t="str">
        <f ca="1">IFERROR(__xludf.DUMMYFUNCTION("GOOGLETRANSLATE(A925,""bn"",""en"")"),"Enjoyed reading the book but it didn't quite live up to expectations")</f>
        <v>Enjoyed reading the book but it didn't quite live up to expectations</v>
      </c>
    </row>
    <row r="926" spans="1:3" ht="15.75" customHeight="1" x14ac:dyDescent="0.25">
      <c r="A926" s="2" t="s">
        <v>928</v>
      </c>
      <c r="B926" s="3" t="s">
        <v>4</v>
      </c>
      <c r="C926" s="2" t="str">
        <f ca="1">IFERROR(__xludf.DUMMYFUNCTION("GOOGLETRANSLATE(A926,""bn"",""en"")"),"Works great for the money")</f>
        <v>Works great for the money</v>
      </c>
    </row>
    <row r="927" spans="1:3" ht="15.75" customHeight="1" x14ac:dyDescent="0.25">
      <c r="A927" s="2" t="s">
        <v>929</v>
      </c>
      <c r="B927" s="3" t="s">
        <v>2</v>
      </c>
      <c r="C927" s="2" t="str">
        <f ca="1">IFERROR(__xludf.DUMMYFUNCTION("GOOGLETRANSLATE(A927,""bn"",""en"")"),"Drawers are a bit difficult to open and close")</f>
        <v>Drawers are a bit difficult to open and close</v>
      </c>
    </row>
    <row r="928" spans="1:3" ht="15.75" customHeight="1" x14ac:dyDescent="0.25">
      <c r="A928" s="2" t="s">
        <v>930</v>
      </c>
      <c r="B928" s="3" t="s">
        <v>4</v>
      </c>
      <c r="C928" s="2" t="str">
        <f ca="1">IFERROR(__xludf.DUMMYFUNCTION("GOOGLETRANSLATE(A928,""bn"",""en"")"),"Thank you very much ")</f>
        <v xml:space="preserve">Thank you very much </v>
      </c>
    </row>
    <row r="929" spans="1:3" ht="15.75" customHeight="1" x14ac:dyDescent="0.25">
      <c r="A929" s="2" t="s">
        <v>931</v>
      </c>
      <c r="B929" s="3" t="s">
        <v>2</v>
      </c>
      <c r="C929" s="2" t="str">
        <f ca="1">IFERROR(__xludf.DUMMYFUNCTION("GOOGLETRANSLATE(A929,""bn"",""en"")"),"The oven mitt works on time but the battery drains quickly")</f>
        <v>The oven mitt works on time but the battery drains quickly</v>
      </c>
    </row>
    <row r="930" spans="1:3" ht="15.75" customHeight="1" x14ac:dyDescent="0.25">
      <c r="A930" s="2" t="s">
        <v>932</v>
      </c>
      <c r="B930" s="3" t="s">
        <v>4</v>
      </c>
      <c r="C930" s="2" t="str">
        <f ca="1">IFERROR(__xludf.DUMMYFUNCTION("GOOGLETRANSLATE(A930,""bn"",""en"")"),"It regulates the amount of water in the body")</f>
        <v>It regulates the amount of water in the body</v>
      </c>
    </row>
    <row r="931" spans="1:3" ht="15.75" customHeight="1" x14ac:dyDescent="0.25">
      <c r="A931" s="2" t="s">
        <v>933</v>
      </c>
      <c r="B931" s="3" t="s">
        <v>4</v>
      </c>
      <c r="C931" s="2" t="str">
        <f ca="1">IFERROR(__xludf.DUMMYFUNCTION("GOOGLETRANSLATE(A931,""bn"",""en"")"),"Great second buy don't miss the product ")</f>
        <v xml:space="preserve">Great second buy don't miss the product </v>
      </c>
    </row>
    <row r="932" spans="1:3" ht="15.75" customHeight="1" x14ac:dyDescent="0.25">
      <c r="A932" s="2" t="s">
        <v>934</v>
      </c>
      <c r="B932" s="3" t="s">
        <v>6</v>
      </c>
      <c r="C932" s="2" t="str">
        <f ca="1">IFERROR(__xludf.DUMMYFUNCTION("GOOGLETRANSLATE(A932,""bn"",""en"")"),"The lipstick has a strange chemical taste and smells unpleasant")</f>
        <v>The lipstick has a strange chemical taste and smells unpleasant</v>
      </c>
    </row>
    <row r="933" spans="1:3" ht="15.75" customHeight="1" x14ac:dyDescent="0.25">
      <c r="A933" s="2" t="s">
        <v>935</v>
      </c>
      <c r="B933" s="3" t="s">
        <v>4</v>
      </c>
      <c r="C933" s="2" t="str">
        <f ca="1">IFERROR(__xludf.DUMMYFUNCTION("GOOGLETRANSLATE(A933,""bn"",""en"")"),"Very good I am satisfied")</f>
        <v>Very good I am satisfied</v>
      </c>
    </row>
    <row r="934" spans="1:3" ht="15.75" customHeight="1" x14ac:dyDescent="0.25">
      <c r="A934" s="2" t="s">
        <v>936</v>
      </c>
      <c r="B934" s="3" t="s">
        <v>4</v>
      </c>
      <c r="C934" s="2" t="str">
        <f ca="1">IFERROR(__xludf.DUMMYFUNCTION("GOOGLETRANSLATE(A934,""bn"",""en"")"),"The reservoir size is quite large")</f>
        <v>The reservoir size is quite large</v>
      </c>
    </row>
    <row r="935" spans="1:3" ht="15.75" customHeight="1" x14ac:dyDescent="0.25">
      <c r="A935" s="2" t="s">
        <v>937</v>
      </c>
      <c r="B935" s="3" t="s">
        <v>4</v>
      </c>
      <c r="C935" s="2" t="str">
        <f ca="1">IFERROR(__xludf.DUMMYFUNCTION("GOOGLETRANSLATE(A935,""bn"",""en"")"),"The pillows in this set provide perfect support and have reduced my neck and shoulder pain a lot")</f>
        <v>The pillows in this set provide perfect support and have reduced my neck and shoulder pain a lot</v>
      </c>
    </row>
    <row r="936" spans="1:3" ht="15.75" customHeight="1" x14ac:dyDescent="0.25">
      <c r="A936" s="2" t="s">
        <v>938</v>
      </c>
      <c r="B936" s="3" t="s">
        <v>4</v>
      </c>
      <c r="C936" s="2" t="str">
        <f ca="1">IFERROR(__xludf.DUMMYFUNCTION("GOOGLETRANSLATE(A936,""bn"",""en"")"),"The sound of rain falling on the umbrella is a sweet experience")</f>
        <v>The sound of rain falling on the umbrella is a sweet experience</v>
      </c>
    </row>
    <row r="937" spans="1:3" ht="15.75" customHeight="1" x14ac:dyDescent="0.25">
      <c r="A937" s="2" t="s">
        <v>939</v>
      </c>
      <c r="B937" s="3" t="s">
        <v>2</v>
      </c>
      <c r="C937" s="2" t="str">
        <f ca="1">IFERROR(__xludf.DUMMYFUNCTION("GOOGLETRANSLATE(A937,""bn"",""en"")"),"The automatic function is quite effective")</f>
        <v>The automatic function is quite effective</v>
      </c>
    </row>
    <row r="938" spans="1:3" ht="15.75" customHeight="1" x14ac:dyDescent="0.25">
      <c r="A938" s="2" t="s">
        <v>940</v>
      </c>
      <c r="B938" s="3" t="s">
        <v>2</v>
      </c>
      <c r="C938" s="2" t="str">
        <f ca="1">IFERROR(__xludf.DUMMYFUNCTION("GOOGLETRANSLATE(A938,""bn"",""en"")"),"Can be kept in the freezer but may spoil in extreme cold")</f>
        <v>Can be kept in the freezer but may spoil in extreme cold</v>
      </c>
    </row>
    <row r="939" spans="1:3" ht="15.75" customHeight="1" x14ac:dyDescent="0.25">
      <c r="A939" s="2" t="s">
        <v>941</v>
      </c>
      <c r="B939" s="3" t="s">
        <v>6</v>
      </c>
      <c r="C939" s="2" t="str">
        <f ca="1">IFERROR(__xludf.DUMMYFUNCTION("GOOGLETRANSLATE(A939,""bn"",""en"")"),"Smells like Pond's Cold Cream, not fragrance free as advertised")</f>
        <v>Smells like Pond's Cold Cream, not fragrance free as advertised</v>
      </c>
    </row>
    <row r="940" spans="1:3" ht="15.75" customHeight="1" x14ac:dyDescent="0.25">
      <c r="A940" s="2" t="s">
        <v>942</v>
      </c>
      <c r="B940" s="3" t="s">
        <v>2</v>
      </c>
      <c r="C940" s="2" t="str">
        <f ca="1">IFERROR(__xludf.DUMMYFUNCTION("GOOGLETRANSLATE(A940,""bn"",""en"")"),"The smell is good but the drink is a bit unusual")</f>
        <v>The smell is good but the drink is a bit unusual</v>
      </c>
    </row>
    <row r="941" spans="1:3" ht="15.75" customHeight="1" x14ac:dyDescent="0.25">
      <c r="A941" s="2" t="s">
        <v>943</v>
      </c>
      <c r="B941" s="3" t="s">
        <v>2</v>
      </c>
      <c r="C941" s="2" t="str">
        <f ca="1">IFERROR(__xludf.DUMMYFUNCTION("GOOGLETRANSLATE(A941,""bn"",""en"")"),"Although the price was affordable, the performance was not as expected")</f>
        <v>Although the price was affordable, the performance was not as expected</v>
      </c>
    </row>
    <row r="942" spans="1:3" ht="15.75" customHeight="1" x14ac:dyDescent="0.25">
      <c r="A942" s="2" t="s">
        <v>944</v>
      </c>
      <c r="B942" s="3" t="s">
        <v>2</v>
      </c>
      <c r="C942" s="2" t="str">
        <f ca="1">IFERROR(__xludf.DUMMYFUNCTION("GOOGLETRANSLATE(A942,""bn"",""en"")"),"It gives a modern look but not too modern")</f>
        <v>It gives a modern look but not too modern</v>
      </c>
    </row>
    <row r="943" spans="1:3" ht="15.75" customHeight="1" x14ac:dyDescent="0.25">
      <c r="A943" s="2" t="s">
        <v>945</v>
      </c>
      <c r="B943" s="3" t="s">
        <v>2</v>
      </c>
      <c r="C943" s="2" t="str">
        <f ca="1">IFERROR(__xludf.DUMMYFUNCTION("GOOGLETRANSLATE(A943,""bn"",""en"")"),"All items can be bought together but the price is a bit higher")</f>
        <v>All items can be bought together but the price is a bit higher</v>
      </c>
    </row>
    <row r="944" spans="1:3" ht="15.75" customHeight="1" x14ac:dyDescent="0.25">
      <c r="A944" s="2" t="s">
        <v>946</v>
      </c>
      <c r="B944" s="3" t="s">
        <v>6</v>
      </c>
      <c r="C944" s="2" t="str">
        <f ca="1">IFERROR(__xludf.DUMMYFUNCTION("GOOGLETRANSLATE(A944,""bn"",""en"")"),"The packaging was excessive with unnecessary layers of wrapping and padding")</f>
        <v>The packaging was excessive with unnecessary layers of wrapping and padding</v>
      </c>
    </row>
    <row r="945" spans="1:3" ht="15.75" customHeight="1" x14ac:dyDescent="0.25">
      <c r="A945" s="2" t="s">
        <v>947</v>
      </c>
      <c r="B945" s="3" t="s">
        <v>4</v>
      </c>
      <c r="C945" s="2" t="str">
        <f ca="1">IFERROR(__xludf.DUMMYFUNCTION("GOOGLETRANSLATE(A945,""bn"",""en"")"),"The material of the watch is of high quality")</f>
        <v>The material of the watch is of high quality</v>
      </c>
    </row>
    <row r="946" spans="1:3" ht="15.75" customHeight="1" x14ac:dyDescent="0.25">
      <c r="A946" s="2" t="s">
        <v>948</v>
      </c>
      <c r="B946" s="3" t="s">
        <v>6</v>
      </c>
      <c r="C946" s="2" t="str">
        <f ca="1">IFERROR(__xludf.DUMMYFUNCTION("GOOGLETRANSLATE(A946,""bn"",""en"")"),"The paint tubes were dry upon arrival")</f>
        <v>The paint tubes were dry upon arrival</v>
      </c>
    </row>
    <row r="947" spans="1:3" ht="15.75" customHeight="1" x14ac:dyDescent="0.25">
      <c r="A947" s="2" t="s">
        <v>949</v>
      </c>
      <c r="B947" s="3" t="s">
        <v>4</v>
      </c>
      <c r="C947" s="2" t="str">
        <f ca="1">IFERROR(__xludf.DUMMYFUNCTION("GOOGLETRANSLATE(A947,""bn"",""en"")"),"The headphone microphone is very clear and effective")</f>
        <v>The headphone microphone is very clear and effective</v>
      </c>
    </row>
    <row r="948" spans="1:3" ht="15.75" customHeight="1" x14ac:dyDescent="0.25">
      <c r="A948" s="2" t="s">
        <v>950</v>
      </c>
      <c r="B948" s="3" t="s">
        <v>2</v>
      </c>
      <c r="C948" s="2" t="str">
        <f ca="1">IFERROR(__xludf.DUMMYFUNCTION("GOOGLETRANSLATE(A948,""bn"",""en"")"),"It may be safe for children")</f>
        <v>It may be safe for children</v>
      </c>
    </row>
    <row r="949" spans="1:3" ht="15.75" customHeight="1" x14ac:dyDescent="0.25">
      <c r="A949" s="2" t="s">
        <v>951</v>
      </c>
      <c r="B949" s="3" t="s">
        <v>4</v>
      </c>
      <c r="C949" s="2" t="str">
        <f ca="1">IFERROR(__xludf.DUMMYFUNCTION("GOOGLETRANSLATE(A949,""bn"",""en"")"),"The design and color of the new table matches the room")</f>
        <v>The design and color of the new table matches the room</v>
      </c>
    </row>
    <row r="950" spans="1:3" ht="15.75" customHeight="1" x14ac:dyDescent="0.25">
      <c r="A950" s="2" t="s">
        <v>952</v>
      </c>
      <c r="B950" s="3" t="s">
        <v>6</v>
      </c>
      <c r="C950" s="2" t="str">
        <f ca="1">IFERROR(__xludf.DUMMYFUNCTION("GOOGLETRANSLATE(A950,""bn"",""en"")"),"A waste of money is inspired by the image of the flimsy doll")</f>
        <v>A waste of money is inspired by the image of the flimsy doll</v>
      </c>
    </row>
    <row r="951" spans="1:3" ht="15.75" customHeight="1" x14ac:dyDescent="0.25">
      <c r="A951" s="2" t="s">
        <v>953</v>
      </c>
      <c r="B951" s="3" t="s">
        <v>2</v>
      </c>
      <c r="C951" s="2" t="str">
        <f ca="1">IFERROR(__xludf.DUMMYFUNCTION("GOOGLETRANSLATE(A951,""bn"",""en"")"),"Plant health improved but some flowers withered")</f>
        <v>Plant health improved but some flowers withered</v>
      </c>
    </row>
    <row r="952" spans="1:3" ht="15.75" customHeight="1" x14ac:dyDescent="0.25">
      <c r="A952" s="2" t="s">
        <v>954</v>
      </c>
      <c r="B952" s="3" t="s">
        <v>2</v>
      </c>
      <c r="C952" s="2" t="str">
        <f ca="1">IFERROR(__xludf.DUMMYFUNCTION("GOOGLETRANSLATE(A952,""bn"",""en"")"),"The mesh looks a bit disappointing")</f>
        <v>The mesh looks a bit disappointing</v>
      </c>
    </row>
    <row r="953" spans="1:3" ht="15.75" customHeight="1" x14ac:dyDescent="0.25">
      <c r="A953" s="2" t="s">
        <v>955</v>
      </c>
      <c r="B953" s="3" t="s">
        <v>2</v>
      </c>
      <c r="C953" s="2" t="str">
        <f ca="1">IFERROR(__xludf.DUMMYFUNCTION("GOOGLETRANSLATE(A953,""bn"",""en"")"),"Bose SoundLink Flex Bluetooth Speaker Portable Speaker Wireless WaterPro with Microphone Mixed Reviews")</f>
        <v>Bose SoundLink Flex Bluetooth Speaker Portable Speaker Wireless WaterPro with Microphone Mixed Reviews</v>
      </c>
    </row>
    <row r="954" spans="1:3" ht="15.75" customHeight="1" x14ac:dyDescent="0.25">
      <c r="A954" s="2" t="s">
        <v>956</v>
      </c>
      <c r="B954" s="3" t="s">
        <v>2</v>
      </c>
      <c r="C954" s="2" t="str">
        <f ca="1">IFERROR(__xludf.DUMMYFUNCTION("GOOGLETRANSLATE(A954,""bn"",""en"")"),"Great product but some parts may not be very bright")</f>
        <v>Great product but some parts may not be very bright</v>
      </c>
    </row>
    <row r="955" spans="1:3" ht="15.75" customHeight="1" x14ac:dyDescent="0.25">
      <c r="A955" s="2" t="s">
        <v>957</v>
      </c>
      <c r="B955" s="3" t="s">
        <v>4</v>
      </c>
      <c r="C955" s="2" t="str">
        <f ca="1">IFERROR(__xludf.DUMMYFUNCTION("GOOGLETRANSLATE(A955,""bn"",""en"")"),"Water filter works perfectly")</f>
        <v>Water filter works perfectly</v>
      </c>
    </row>
    <row r="956" spans="1:3" ht="15.75" customHeight="1" x14ac:dyDescent="0.25">
      <c r="A956" s="2" t="s">
        <v>958</v>
      </c>
      <c r="B956" s="3" t="s">
        <v>4</v>
      </c>
      <c r="C956" s="2" t="str">
        <f ca="1">IFERROR(__xludf.DUMMYFUNCTION("GOOGLETRANSLATE(A956,""bn"",""en"")"),"My standard of good coffee now is what I compare all other coffees to")</f>
        <v>My standard of good coffee now is what I compare all other coffees to</v>
      </c>
    </row>
    <row r="957" spans="1:3" ht="15.75" customHeight="1" x14ac:dyDescent="0.25">
      <c r="A957" s="2" t="s">
        <v>959</v>
      </c>
      <c r="B957" s="3" t="s">
        <v>2</v>
      </c>
      <c r="C957" s="2" t="str">
        <f ca="1">IFERROR(__xludf.DUMMYFUNCTION("GOOGLETRANSLATE(A957,""bn"",""en"")"),"Good but the sugar content should have been less")</f>
        <v>Good but the sugar content should have been less</v>
      </c>
    </row>
    <row r="958" spans="1:3" ht="15.75" customHeight="1" x14ac:dyDescent="0.25">
      <c r="A958" s="2" t="s">
        <v>960</v>
      </c>
      <c r="B958" s="3" t="s">
        <v>6</v>
      </c>
      <c r="C958" s="2" t="str">
        <f ca="1">IFERROR(__xludf.DUMMYFUNCTION("GOOGLETRANSLATE(A958,""bn"",""en"")"),"The stiffness of the fabric provides a barrier against easy and free movement")</f>
        <v>The stiffness of the fabric provides a barrier against easy and free movement</v>
      </c>
    </row>
    <row r="959" spans="1:3" ht="15.75" customHeight="1" x14ac:dyDescent="0.25">
      <c r="A959" s="2" t="s">
        <v>961</v>
      </c>
      <c r="B959" s="3" t="s">
        <v>2</v>
      </c>
      <c r="C959" s="2" t="str">
        <f ca="1">IFERROR(__xludf.DUMMYFUNCTION("GOOGLETRANSLATE(A959,""bn"",""en"")"),"Larger than expected but not useful in all cases")</f>
        <v>Larger than expected but not useful in all cases</v>
      </c>
    </row>
    <row r="960" spans="1:3" ht="15.75" customHeight="1" x14ac:dyDescent="0.25">
      <c r="A960" s="2" t="s">
        <v>962</v>
      </c>
      <c r="B960" s="3" t="s">
        <v>2</v>
      </c>
      <c r="C960" s="2" t="str">
        <f ca="1">IFERROR(__xludf.DUMMYFUNCTION("GOOGLETRANSLATE(A960,""bn"",""en"")"),"The material of the bag is biodegradable")</f>
        <v>The material of the bag is biodegradable</v>
      </c>
    </row>
    <row r="961" spans="1:3" ht="15.75" customHeight="1" x14ac:dyDescent="0.25">
      <c r="A961" s="2" t="s">
        <v>963</v>
      </c>
      <c r="B961" s="3" t="s">
        <v>4</v>
      </c>
      <c r="C961" s="2" t="str">
        <f ca="1">IFERROR(__xludf.DUMMYFUNCTION("GOOGLETRANSLATE(A961,""bn"",""en"")"),"The speaker quality of the mobile is excellent")</f>
        <v>The speaker quality of the mobile is excellent</v>
      </c>
    </row>
    <row r="962" spans="1:3" ht="15.75" customHeight="1" x14ac:dyDescent="0.25">
      <c r="A962" s="2" t="s">
        <v>964</v>
      </c>
      <c r="B962" s="3" t="s">
        <v>4</v>
      </c>
      <c r="C962" s="2" t="str">
        <f ca="1">IFERROR(__xludf.DUMMYFUNCTION("GOOGLETRANSLATE(A962,""bn"",""en"")"),"Suitable for both beginners and professionals")</f>
        <v>Suitable for both beginners and professionals</v>
      </c>
    </row>
    <row r="963" spans="1:3" ht="15.75" customHeight="1" x14ac:dyDescent="0.25">
      <c r="A963" s="2" t="s">
        <v>965</v>
      </c>
      <c r="B963" s="3" t="s">
        <v>6</v>
      </c>
      <c r="C963" s="2" t="str">
        <f ca="1">IFERROR(__xludf.DUMMYFUNCTION("GOOGLETRANSLATE(A963,""bn"",""en"")")," Car seat straps are difficult to adjust making it difficult to properly secure the child")</f>
        <v xml:space="preserve"> Car seat straps are difficult to adjust making it difficult to properly secure the child</v>
      </c>
    </row>
    <row r="964" spans="1:3" ht="15.75" customHeight="1" x14ac:dyDescent="0.25">
      <c r="A964" s="2" t="s">
        <v>966</v>
      </c>
      <c r="B964" s="3" t="s">
        <v>2</v>
      </c>
      <c r="C964" s="2" t="str">
        <f ca="1">IFERROR(__xludf.DUMMYFUNCTION("GOOGLETRANSLATE(A964,""bn"",""en"")"),"Shrunk a bit after washing but still usable")</f>
        <v>Shrunk a bit after washing but still usable</v>
      </c>
    </row>
    <row r="965" spans="1:3" ht="15.75" customHeight="1" x14ac:dyDescent="0.25">
      <c r="A965" s="2" t="s">
        <v>967</v>
      </c>
      <c r="B965" s="3" t="s">
        <v>2</v>
      </c>
      <c r="C965" s="2" t="str">
        <f ca="1">IFERROR(__xludf.DUMMYFUNCTION("GOOGLETRANSLATE(A965,""bn"",""en"")"),"The hangers hold the clothes but the quality of the plastic is not good")</f>
        <v>The hangers hold the clothes but the quality of the plastic is not good</v>
      </c>
    </row>
    <row r="966" spans="1:3" ht="15.75" customHeight="1" x14ac:dyDescent="0.25">
      <c r="A966" s="2" t="s">
        <v>968</v>
      </c>
      <c r="B966" s="3" t="s">
        <v>4</v>
      </c>
      <c r="C966" s="2" t="str">
        <f ca="1">IFERROR(__xludf.DUMMYFUNCTION("GOOGLETRANSLATE(A966,""bn"",""en"")"),"The fan works very well all the time")</f>
        <v>The fan works very well all the time</v>
      </c>
    </row>
    <row r="967" spans="1:3" ht="15.75" customHeight="1" x14ac:dyDescent="0.25">
      <c r="A967" s="2" t="s">
        <v>969</v>
      </c>
      <c r="B967" s="3" t="s">
        <v>6</v>
      </c>
      <c r="C967" s="2" t="str">
        <f ca="1">IFERROR(__xludf.DUMMYFUNCTION("GOOGLETRANSLATE(A967,""bn"",""en"")"),"The illustration lacks liveliness and is dull and uninspiring")</f>
        <v>The illustration lacks liveliness and is dull and uninspiring</v>
      </c>
    </row>
    <row r="968" spans="1:3" ht="15.75" customHeight="1" x14ac:dyDescent="0.25">
      <c r="A968" s="2" t="s">
        <v>970</v>
      </c>
      <c r="B968" s="3" t="s">
        <v>4</v>
      </c>
      <c r="C968" s="2" t="str">
        <f ca="1">IFERROR(__xludf.DUMMYFUNCTION("GOOGLETRANSLATE(A968,""bn"",""en"")"),"The Wallmount is very useful for mounting the TV")</f>
        <v>The Wallmount is very useful for mounting the TV</v>
      </c>
    </row>
    <row r="969" spans="1:3" ht="15.75" customHeight="1" x14ac:dyDescent="0.25">
      <c r="A969" s="2" t="s">
        <v>971</v>
      </c>
      <c r="B969" s="3" t="s">
        <v>4</v>
      </c>
      <c r="C969" s="2" t="str">
        <f ca="1">IFERROR(__xludf.DUMMYFUNCTION("GOOGLETRANSLATE(A969,""bn"",""en"")"),"Don't miss the product ")</f>
        <v xml:space="preserve">Don't miss the product </v>
      </c>
    </row>
    <row r="970" spans="1:3" ht="15.75" customHeight="1" x14ac:dyDescent="0.25">
      <c r="A970" s="2" t="s">
        <v>972</v>
      </c>
      <c r="B970" s="3" t="s">
        <v>4</v>
      </c>
      <c r="C970" s="2" t="str">
        <f ca="1">IFERROR(__xludf.DUMMYFUNCTION("GOOGLETRANSLATE(A970,""bn"",""en"")"),"The primer in the makeup kit makes the skin smooth")</f>
        <v>The primer in the makeup kit makes the skin smooth</v>
      </c>
    </row>
    <row r="971" spans="1:3" ht="15.75" customHeight="1" x14ac:dyDescent="0.25">
      <c r="A971" s="2" t="s">
        <v>973</v>
      </c>
      <c r="B971" s="3" t="s">
        <v>6</v>
      </c>
      <c r="C971" s="2" t="str">
        <f ca="1">IFERROR(__xludf.DUMMYFUNCTION("GOOGLETRANSLATE(A971,""bn"",""en"")"),"Persistent dirt problem unsolved despite replacement")</f>
        <v>Persistent dirt problem unsolved despite replacement</v>
      </c>
    </row>
    <row r="972" spans="1:3" ht="15.75" customHeight="1" x14ac:dyDescent="0.25">
      <c r="A972" s="2" t="s">
        <v>974</v>
      </c>
      <c r="B972" s="3" t="s">
        <v>4</v>
      </c>
      <c r="C972" s="2" t="str">
        <f ca="1">IFERROR(__xludf.DUMMYFUNCTION("GOOGLETRANSLATE(A972,""bn"",""en"")"),"AOP D prefers this SSD")</f>
        <v>AOP D prefers this SSD</v>
      </c>
    </row>
    <row r="973" spans="1:3" ht="15.75" customHeight="1" x14ac:dyDescent="0.25">
      <c r="A973" s="2" t="s">
        <v>975</v>
      </c>
      <c r="B973" s="3" t="s">
        <v>2</v>
      </c>
      <c r="C973" s="2" t="str">
        <f ca="1">IFERROR(__xludf.DUMMYFUNCTION("GOOGLETRANSLATE(A973,""bn"",""en"")"),"It has a feedback system")</f>
        <v>It has a feedback system</v>
      </c>
    </row>
    <row r="974" spans="1:3" ht="15.75" customHeight="1" x14ac:dyDescent="0.25">
      <c r="A974" s="2" t="s">
        <v>976</v>
      </c>
      <c r="B974" s="3" t="s">
        <v>4</v>
      </c>
      <c r="C974" s="2" t="str">
        <f ca="1">IFERROR(__xludf.DUMMYFUNCTION("GOOGLETRANSLATE(A974,""bn"",""en"")"),"The size and weight of the plate is just right for the serving")</f>
        <v>The size and weight of the plate is just right for the serving</v>
      </c>
    </row>
    <row r="975" spans="1:3" ht="15.75" customHeight="1" x14ac:dyDescent="0.25">
      <c r="A975" s="2" t="s">
        <v>977</v>
      </c>
      <c r="B975" s="3" t="s">
        <v>4</v>
      </c>
      <c r="C975" s="2" t="str">
        <f ca="1">IFERROR(__xludf.DUMMYFUNCTION("GOOGLETRANSLATE(A975,""bn"",""en"")"),"Safe, solid and reliable")</f>
        <v>Safe, solid and reliable</v>
      </c>
    </row>
    <row r="976" spans="1:3" ht="15.75" customHeight="1" x14ac:dyDescent="0.25">
      <c r="A976" s="2" t="s">
        <v>978</v>
      </c>
      <c r="B976" s="3" t="s">
        <v>2</v>
      </c>
      <c r="C976" s="2" t="str">
        <f ca="1">IFERROR(__xludf.DUMMYFUNCTION("GOOGLETRANSLATE(A976,""bn"",""en"")"),"Not too much, not a little")</f>
        <v>Not too much, not a little</v>
      </c>
    </row>
    <row r="977" spans="1:3" ht="15.75" customHeight="1" x14ac:dyDescent="0.25">
      <c r="A977" s="2" t="s">
        <v>979</v>
      </c>
      <c r="B977" s="3" t="s">
        <v>4</v>
      </c>
      <c r="C977" s="2" t="str">
        <f ca="1">IFERROR(__xludf.DUMMYFUNCTION("GOOGLETRANSLATE(A977,""bn"",""en"")"),"The phone's battery lasts a long time")</f>
        <v>The phone's battery lasts a long time</v>
      </c>
    </row>
    <row r="978" spans="1:3" ht="15.75" customHeight="1" x14ac:dyDescent="0.25">
      <c r="A978" s="2" t="s">
        <v>980</v>
      </c>
      <c r="B978" s="3" t="s">
        <v>4</v>
      </c>
      <c r="C978" s="2" t="str">
        <f ca="1">IFERROR(__xludf.DUMMYFUNCTION("GOOGLETRANSLATE(A978,""bn"",""en"")"),"The device's voice recognition is very accurate")</f>
        <v>The device's voice recognition is very accurate</v>
      </c>
    </row>
    <row r="979" spans="1:3" ht="15.75" customHeight="1" x14ac:dyDescent="0.25">
      <c r="A979" s="2" t="s">
        <v>981</v>
      </c>
      <c r="B979" s="3" t="s">
        <v>2</v>
      </c>
      <c r="C979" s="2" t="str">
        <f ca="1">IFERROR(__xludf.DUMMYFUNCTION("GOOGLETRANSLATE(A979,""bn"",""en"")"),"The rain coat is water resistant but warm when worn")</f>
        <v>The rain coat is water resistant but warm when worn</v>
      </c>
    </row>
    <row r="980" spans="1:3" ht="15.75" customHeight="1" x14ac:dyDescent="0.25">
      <c r="A980" s="2" t="s">
        <v>982</v>
      </c>
      <c r="B980" s="3" t="s">
        <v>6</v>
      </c>
      <c r="C980" s="2" t="str">
        <f ca="1">IFERROR(__xludf.DUMMYFUNCTION("GOOGLETRANSLATE(A980,""bn"",""en"")"),"  The zipper was faulty and sticking making it difficult to put on or take off")</f>
        <v xml:space="preserve">  The zipper was faulty and sticking making it difficult to put on or take off</v>
      </c>
    </row>
    <row r="981" spans="1:3" ht="15.75" customHeight="1" x14ac:dyDescent="0.25">
      <c r="A981" s="2" t="s">
        <v>983</v>
      </c>
      <c r="B981" s="3" t="s">
        <v>6</v>
      </c>
      <c r="C981" s="2" t="str">
        <f ca="1">IFERROR(__xludf.DUMMYFUNCTION("GOOGLETRANSLATE(A981,""bn"",""en"")"),"Disappointed to find stains or discoloration on clothing upon arrival that could not be removed despite washing")</f>
        <v>Disappointed to find stains or discoloration on clothing upon arrival that could not be removed despite washing</v>
      </c>
    </row>
    <row r="982" spans="1:3" ht="15.75" customHeight="1" x14ac:dyDescent="0.25">
      <c r="A982" s="2" t="s">
        <v>984</v>
      </c>
      <c r="B982" s="3" t="s">
        <v>6</v>
      </c>
      <c r="C982" s="2" t="str">
        <f ca="1">IFERROR(__xludf.DUMMYFUNCTION("GOOGLETRANSLATE(A982,""bn"",""en"")"),"The color of the shoes fades quickly after just a few wears reducing their aesthetic appeal")</f>
        <v>The color of the shoes fades quickly after just a few wears reducing their aesthetic appeal</v>
      </c>
    </row>
    <row r="983" spans="1:3" ht="15.75" customHeight="1" x14ac:dyDescent="0.25">
      <c r="A983" s="2" t="s">
        <v>985</v>
      </c>
      <c r="B983" s="3" t="s">
        <v>4</v>
      </c>
      <c r="C983" s="2" t="str">
        <f ca="1">IFERROR(__xludf.DUMMYFUNCTION("GOOGLETRANSLATE(A983,""bn"",""en"")"),"I have worked on iPhone and iPad 3rd generation but Apple plugins and cords are not easy to find")</f>
        <v>I have worked on iPhone and iPad 3rd generation but Apple plugins and cords are not easy to find</v>
      </c>
    </row>
    <row r="984" spans="1:3" ht="15.75" customHeight="1" x14ac:dyDescent="0.25">
      <c r="A984" s="2" t="s">
        <v>986</v>
      </c>
      <c r="B984" s="3" t="s">
        <v>6</v>
      </c>
      <c r="C984" s="2" t="str">
        <f ca="1">IFERROR(__xludf.DUMMYFUNCTION("GOOGLETRANSLATE(A984,""bn"",""en"")"),"An odd fit was the waistline sat too high and the skirt flared awkwardly")</f>
        <v>An odd fit was the waistline sat too high and the skirt flared awkwardly</v>
      </c>
    </row>
    <row r="985" spans="1:3" ht="15.75" customHeight="1" x14ac:dyDescent="0.25">
      <c r="A985" s="2" t="s">
        <v>987</v>
      </c>
      <c r="B985" s="3" t="s">
        <v>2</v>
      </c>
      <c r="C985" s="2" t="str">
        <f ca="1">IFERROR(__xludf.DUMMYFUNCTION("GOOGLETRANSLATE(A985,""bn"",""en"")"),"Has security features")</f>
        <v>Has security features</v>
      </c>
    </row>
    <row r="986" spans="1:3" ht="15.75" customHeight="1" x14ac:dyDescent="0.25">
      <c r="A986" s="2" t="s">
        <v>988</v>
      </c>
      <c r="B986" s="3" t="s">
        <v>6</v>
      </c>
      <c r="C986" s="2" t="str">
        <f ca="1">IFERROR(__xludf.DUMMYFUNCTION("GOOGLETRANSLATE(A986,""bn"",""en"")"),"Padding around the ankles is inadequate resulting in chafing and irritation")</f>
        <v>Padding around the ankles is inadequate resulting in chafing and irritation</v>
      </c>
    </row>
    <row r="987" spans="1:3" ht="15.75" customHeight="1" x14ac:dyDescent="0.25">
      <c r="A987" s="2" t="s">
        <v>989</v>
      </c>
      <c r="B987" s="3" t="s">
        <v>2</v>
      </c>
      <c r="C987" s="2" t="str">
        <f ca="1">IFERROR(__xludf.DUMMYFUNCTION("GOOGLETRANSLATE(A987,""bn"",""en"")"),"Odor control could be slightly improved")</f>
        <v>Odor control could be slightly improved</v>
      </c>
    </row>
    <row r="988" spans="1:3" ht="15.75" customHeight="1" x14ac:dyDescent="0.25">
      <c r="A988" s="2" t="s">
        <v>990</v>
      </c>
      <c r="B988" s="3" t="s">
        <v>6</v>
      </c>
      <c r="C988" s="2" t="str">
        <f ca="1">IFERROR(__xludf.DUMMYFUNCTION("GOOGLETRANSLATE(A988,""bn"",""en"")")," T came torn along the seam making it unwearable without repair")</f>
        <v xml:space="preserve"> T came torn along the seam making it unwearable without repair</v>
      </c>
    </row>
    <row r="989" spans="1:3" ht="15.75" customHeight="1" x14ac:dyDescent="0.25">
      <c r="A989" s="2" t="s">
        <v>991</v>
      </c>
      <c r="B989" s="3" t="s">
        <v>2</v>
      </c>
      <c r="C989" s="2" t="str">
        <f ca="1">IFERROR(__xludf.DUMMYFUNCTION("GOOGLETRANSLATE(A989,""bn"",""en"")"),"Dishwasher safe but color fades")</f>
        <v>Dishwasher safe but color fades</v>
      </c>
    </row>
    <row r="990" spans="1:3" ht="15.75" customHeight="1" x14ac:dyDescent="0.25">
      <c r="A990" s="2" t="s">
        <v>992</v>
      </c>
      <c r="B990" s="3" t="s">
        <v>6</v>
      </c>
      <c r="C990" s="2" t="str">
        <f ca="1">IFERROR(__xludf.DUMMYFUNCTION("GOOGLETRANSLATE(A990,""bn"",""en"")"),"Canned soup tastes bland and has no artificial flavor depth")</f>
        <v>Canned soup tastes bland and has no artificial flavor depth</v>
      </c>
    </row>
    <row r="991" spans="1:3" ht="15.75" customHeight="1" x14ac:dyDescent="0.25">
      <c r="A991" s="2" t="s">
        <v>993</v>
      </c>
      <c r="B991" s="3" t="s">
        <v>6</v>
      </c>
      <c r="C991" s="2" t="str">
        <f ca="1">IFERROR(__xludf.DUMMYFUNCTION("GOOGLETRANSLATE(A991,""bn"",""en"")"),"  The cream did not moisturize my skin enough")</f>
        <v xml:space="preserve">  The cream did not moisturize my skin enough</v>
      </c>
    </row>
    <row r="992" spans="1:3" ht="15.75" customHeight="1" x14ac:dyDescent="0.25">
      <c r="A992" s="2" t="s">
        <v>994</v>
      </c>
      <c r="B992" s="3" t="s">
        <v>4</v>
      </c>
      <c r="C992" s="2" t="str">
        <f ca="1">IFERROR(__xludf.DUMMYFUNCTION("GOOGLETRANSLATE(A992,""bn"",""en"")"),"Every bite is a fun feeling")</f>
        <v>Every bite is a fun feeling</v>
      </c>
    </row>
    <row r="993" spans="1:3" ht="15.75" customHeight="1" x14ac:dyDescent="0.25">
      <c r="A993" s="2" t="s">
        <v>995</v>
      </c>
      <c r="B993" s="3" t="s">
        <v>4</v>
      </c>
      <c r="C993" s="2" t="str">
        <f ca="1">IFERROR(__xludf.DUMMYFUNCTION("GOOGLETRANSLATE(A993,""bn"",""en"")"),"Such a beautiful fragrance that lasts all day after washing hair")</f>
        <v>Such a beautiful fragrance that lasts all day after washing hair</v>
      </c>
    </row>
    <row r="994" spans="1:3" ht="15.75" customHeight="1" x14ac:dyDescent="0.25">
      <c r="A994" s="2" t="s">
        <v>996</v>
      </c>
      <c r="B994" s="3" t="s">
        <v>2</v>
      </c>
      <c r="C994" s="2" t="str">
        <f ca="1">IFERROR(__xludf.DUMMYFUNCTION("GOOGLETRANSLATE(A994,""bn"",""en"")"),"Washable after use")</f>
        <v>Washable after use</v>
      </c>
    </row>
    <row r="995" spans="1:3" ht="15.75" customHeight="1" x14ac:dyDescent="0.25">
      <c r="A995" s="2" t="s">
        <v>997</v>
      </c>
      <c r="B995" s="3" t="s">
        <v>6</v>
      </c>
      <c r="C995" s="2" t="str">
        <f ca="1">IFERROR(__xludf.DUMMYFUNCTION("GOOGLETRANSLATE(A995,""bn"",""en"")"),"Product arrived damaged or defective")</f>
        <v>Product arrived damaged or defective</v>
      </c>
    </row>
    <row r="996" spans="1:3" ht="15.75" customHeight="1" x14ac:dyDescent="0.25">
      <c r="A996" s="2" t="s">
        <v>998</v>
      </c>
      <c r="B996" s="3" t="s">
        <v>4</v>
      </c>
      <c r="C996" s="2" t="str">
        <f ca="1">IFERROR(__xludf.DUMMYFUNCTION("GOOGLETRANSLATE(A996,""bn"",""en"")"),"Jose is a thing")</f>
        <v>Jose is a thing</v>
      </c>
    </row>
    <row r="997" spans="1:3" ht="15.75" customHeight="1" x14ac:dyDescent="0.25">
      <c r="A997" s="2" t="s">
        <v>999</v>
      </c>
      <c r="B997" s="3" t="s">
        <v>2</v>
      </c>
      <c r="C997" s="2" t="str">
        <f ca="1">IFERROR(__xludf.DUMMYFUNCTION("GOOGLETRANSLATE(A997,""bn"",""en"")"),"Hopefully everyone in the family can use it")</f>
        <v>Hopefully everyone in the family can use it</v>
      </c>
    </row>
    <row r="998" spans="1:3" ht="15.75" customHeight="1" x14ac:dyDescent="0.25">
      <c r="A998" s="2" t="s">
        <v>1000</v>
      </c>
      <c r="B998" s="3" t="s">
        <v>2</v>
      </c>
      <c r="C998" s="2" t="str">
        <f ca="1">IFERROR(__xludf.DUMMYFUNCTION("GOOGLETRANSLATE(A998,""bn"",""en"")"),"The room heats up within an hour")</f>
        <v>The room heats up within an hour</v>
      </c>
    </row>
    <row r="999" spans="1:3" ht="15.75" customHeight="1" x14ac:dyDescent="0.25">
      <c r="A999" s="2" t="s">
        <v>1001</v>
      </c>
      <c r="B999" s="3" t="s">
        <v>6</v>
      </c>
      <c r="C999" s="2" t="str">
        <f ca="1">IFERROR(__xludf.DUMMYFUNCTION("GOOGLETRANSLATE(A999,""bn"",""en"")"),"Even though it is labeled as unscented, overly strong scents can cause headaches and allergic reactions")</f>
        <v>Even though it is labeled as unscented, overly strong scents can cause headaches and allergic reactions</v>
      </c>
    </row>
    <row r="1000" spans="1:3" ht="15.75" customHeight="1" x14ac:dyDescent="0.25">
      <c r="A1000" s="2" t="s">
        <v>1002</v>
      </c>
      <c r="B1000" s="3" t="s">
        <v>4</v>
      </c>
      <c r="C1000" s="2" t="str">
        <f ca="1">IFERROR(__xludf.DUMMYFUNCTION("GOOGLETRANSLATE(A1000,""bn"",""en"")"),"The shape and design of the chair is perfect for sitting")</f>
        <v>The shape and design of the chair is perfect for sitting</v>
      </c>
    </row>
    <row r="1001" spans="1:3" ht="15.75" customHeight="1" x14ac:dyDescent="0.25">
      <c r="A1001" s="2" t="s">
        <v>1003</v>
      </c>
      <c r="B1001" s="3" t="s">
        <v>2</v>
      </c>
      <c r="C1001" s="2" t="str">
        <f ca="1">IFERROR(__xludf.DUMMYFUNCTION("GOOGLETRANSLATE(A1001,""bn"",""en"")"),"Wireless earbuds are pretty much okay")</f>
        <v>Wireless earbuds are pretty much okay</v>
      </c>
    </row>
    <row r="1002" spans="1:3" ht="15.75" customHeight="1" x14ac:dyDescent="0.25">
      <c r="A1002" s="2" t="s">
        <v>1004</v>
      </c>
      <c r="B1002" s="3" t="s">
        <v>4</v>
      </c>
      <c r="C1002" s="2" t="str">
        <f ca="1">IFERROR(__xludf.DUMMYFUNCTION("GOOGLETRANSLATE(A1002,""bn"",""en"")"),"This shampoo smells so good")</f>
        <v>This shampoo smells so good</v>
      </c>
    </row>
    <row r="1003" spans="1:3" ht="15.75" customHeight="1" x14ac:dyDescent="0.25">
      <c r="A1003" s="2" t="s">
        <v>1005</v>
      </c>
      <c r="B1003" s="3" t="s">
        <v>4</v>
      </c>
      <c r="C1003" s="2" t="str">
        <f ca="1">IFERROR(__xludf.DUMMYFUNCTION("GOOGLETRANSLATE(A1003,""bn"",""en"")"),"Still working well after two months of use")</f>
        <v>Still working well after two months of use</v>
      </c>
    </row>
    <row r="1004" spans="1:3" ht="15.75" customHeight="1" x14ac:dyDescent="0.25">
      <c r="A1004" s="2" t="s">
        <v>1006</v>
      </c>
      <c r="B1004" s="3" t="s">
        <v>2</v>
      </c>
      <c r="C1004" s="2" t="str">
        <f ca="1">IFERROR(__xludf.DUMMYFUNCTION("GOOGLETRANSLATE(A1004,""bn"",""en"")"),"The toothpaste tastes like mint")</f>
        <v>The toothpaste tastes like mint</v>
      </c>
    </row>
    <row r="1005" spans="1:3" ht="15.75" customHeight="1" x14ac:dyDescent="0.25">
      <c r="A1005" s="2" t="s">
        <v>1007</v>
      </c>
      <c r="B1005" s="3" t="s">
        <v>4</v>
      </c>
      <c r="C1005" s="2" t="str">
        <f ca="1">IFERROR(__xludf.DUMMYFUNCTION("GOOGLETRANSLATE(A1005,""bn"",""en"")"),"The skin is softened with each use of the soap")</f>
        <v>The skin is softened with each use of the soap</v>
      </c>
    </row>
    <row r="1006" spans="1:3" ht="15.75" customHeight="1" x14ac:dyDescent="0.25">
      <c r="A1006" s="2" t="s">
        <v>1008</v>
      </c>
      <c r="B1006" s="3" t="s">
        <v>6</v>
      </c>
      <c r="C1006" s="2" t="str">
        <f ca="1">IFERROR(__xludf.DUMMYFUNCTION("GOOGLETRANSLATE(A1006,""bn"",""en"")"),"The handle of the teapot was too short to hold comfortably")</f>
        <v>The handle of the teapot was too short to hold comfortably</v>
      </c>
    </row>
    <row r="1007" spans="1:3" ht="15.75" customHeight="1" x14ac:dyDescent="0.25">
      <c r="A1007" s="2" t="s">
        <v>1009</v>
      </c>
      <c r="B1007" s="3" t="s">
        <v>6</v>
      </c>
      <c r="C1007" s="2" t="str">
        <f ca="1">IFERROR(__xludf.DUMMYFUNCTION("GOOGLETRANSLATE(A1007,""bn"",""en"")"),"Camera lens mounts are prone to wear and tear resulting in broken connections and potential damage")</f>
        <v>Camera lens mounts are prone to wear and tear resulting in broken connections and potential damage</v>
      </c>
    </row>
    <row r="1008" spans="1:3" ht="15.75" customHeight="1" x14ac:dyDescent="0.25">
      <c r="A1008" s="2" t="s">
        <v>1010</v>
      </c>
      <c r="B1008" s="3" t="s">
        <v>6</v>
      </c>
      <c r="C1008" s="2" t="str">
        <f ca="1">IFERROR(__xludf.DUMMYFUNCTION("GOOGLETRANSLATE(A1008,""bn"",""en"")"),"The flavor was flat and lifeless lacking any memorable characteristics")</f>
        <v>The flavor was flat and lifeless lacking any memorable characteristics</v>
      </c>
    </row>
    <row r="1009" spans="1:3" ht="15.75" customHeight="1" x14ac:dyDescent="0.25">
      <c r="A1009" s="2" t="s">
        <v>1011</v>
      </c>
      <c r="B1009" s="3" t="s">
        <v>4</v>
      </c>
      <c r="C1009" s="2" t="str">
        <f ca="1">IFERROR(__xludf.DUMMYFUNCTION("GOOGLETRANSLATE(A1009,""bn"",""en"")"),"The compressor works very quietly with no annoying noise from outside")</f>
        <v>The compressor works very quietly with no annoying noise from outside</v>
      </c>
    </row>
    <row r="1010" spans="1:3" ht="15.75" customHeight="1" x14ac:dyDescent="0.25">
      <c r="A1010" s="2" t="s">
        <v>1012</v>
      </c>
      <c r="B1010" s="3" t="s">
        <v>4</v>
      </c>
      <c r="C1010" s="2" t="str">
        <f ca="1">IFERROR(__xludf.DUMMYFUNCTION("GOOGLETRANSLATE(A1010,""bn"",""en"")"),"Good item as described good price fast shipping")</f>
        <v>Good item as described good price fast shipping</v>
      </c>
    </row>
    <row r="1011" spans="1:3" ht="15.75" customHeight="1" x14ac:dyDescent="0.25">
      <c r="A1011" s="2" t="s">
        <v>1013</v>
      </c>
      <c r="B1011" s="3" t="s">
        <v>6</v>
      </c>
      <c r="C1011" s="2" t="str">
        <f ca="1">IFERROR(__xludf.DUMMYFUNCTION("GOOGLETRANSLATE(A1011,""bn"",""en"")"),"There is no improvement in hair condition instead breakage causes split ends and overall loss")</f>
        <v>There is no improvement in hair condition instead breakage causes split ends and overall loss</v>
      </c>
    </row>
    <row r="1012" spans="1:3" ht="15.75" customHeight="1" x14ac:dyDescent="0.25">
      <c r="A1012" s="2" t="s">
        <v>1014</v>
      </c>
      <c r="B1012" s="3" t="s">
        <v>6</v>
      </c>
      <c r="C1012" s="2" t="str">
        <f ca="1">IFERROR(__xludf.DUMMYFUNCTION("GOOGLETRANSLATE(A1012,""bn"",""en"")"),"Packaged fruit cups contain spiced fruit and syrupy liquid, far from the flavor of fresh fruit")</f>
        <v>Packaged fruit cups contain spiced fruit and syrupy liquid, far from the flavor of fresh fruit</v>
      </c>
    </row>
    <row r="1013" spans="1:3" ht="15.75" customHeight="1" x14ac:dyDescent="0.25">
      <c r="A1013" s="2" t="s">
        <v>1015</v>
      </c>
      <c r="B1013" s="3" t="s">
        <v>4</v>
      </c>
      <c r="C1013" s="2" t="str">
        <f ca="1">IFERROR(__xludf.DUMMYFUNCTION("GOOGLETRANSLATE(A1013,""bn"",""en"")"),"Every time I drink this coffee I experience a new taste")</f>
        <v>Every time I drink this coffee I experience a new taste</v>
      </c>
    </row>
    <row r="1014" spans="1:3" ht="15.75" customHeight="1" x14ac:dyDescent="0.25">
      <c r="A1014" s="2" t="s">
        <v>1016</v>
      </c>
      <c r="B1014" s="3" t="s">
        <v>6</v>
      </c>
      <c r="C1014" s="2" t="str">
        <f ca="1">IFERROR(__xludf.DUMMYFUNCTION("GOOGLETRANSLATE(A1014,""bn"",""en"")"),"The cups had an unpleasant odor probably from improper manufacturing")</f>
        <v>The cups had an unpleasant odor probably from improper manufacturing</v>
      </c>
    </row>
    <row r="1015" spans="1:3" ht="15.75" customHeight="1" x14ac:dyDescent="0.25">
      <c r="A1015" s="2" t="s">
        <v>1017</v>
      </c>
      <c r="B1015" s="3" t="s">
        <v>6</v>
      </c>
      <c r="C1015" s="2" t="str">
        <f ca="1">IFERROR(__xludf.DUMMYFUNCTION("GOOGLETRANSLATE(A1015,""bn"",""en"")"),"I came back unhappy because of the instability")</f>
        <v>I came back unhappy because of the instability</v>
      </c>
    </row>
    <row r="1016" spans="1:3" ht="15.75" customHeight="1" x14ac:dyDescent="0.25">
      <c r="A1016" s="2" t="s">
        <v>1018</v>
      </c>
      <c r="B1016" s="3" t="s">
        <v>4</v>
      </c>
      <c r="C1016" s="2" t="str">
        <f ca="1">IFERROR(__xludf.DUMMYFUNCTION("GOOGLETRANSLATE(A1016,""bn"",""en"")"),"The best of biscuits")</f>
        <v>The best of biscuits</v>
      </c>
    </row>
    <row r="1017" spans="1:3" ht="15.75" customHeight="1" x14ac:dyDescent="0.25">
      <c r="A1017" s="2" t="s">
        <v>1019</v>
      </c>
      <c r="B1017" s="3" t="s">
        <v>6</v>
      </c>
      <c r="C1017" s="2" t="str">
        <f ca="1">IFERROR(__xludf.DUMMYFUNCTION("GOOGLETRANSLATE(A1017,""bn"",""en"")"),"Get one with loose threads hanging everywhere")</f>
        <v>Get one with loose threads hanging everywhere</v>
      </c>
    </row>
    <row r="1018" spans="1:3" ht="15.75" customHeight="1" x14ac:dyDescent="0.25">
      <c r="A1018" s="2" t="s">
        <v>1020</v>
      </c>
      <c r="B1018" s="3" t="s">
        <v>2</v>
      </c>
      <c r="C1018" s="2" t="str">
        <f ca="1">IFERROR(__xludf.DUMMYFUNCTION("GOOGLETRANSLATE(A1018,""bn"",""en"")"),"The floor lamp gives light but the base is unstable")</f>
        <v>The floor lamp gives light but the base is unstable</v>
      </c>
    </row>
    <row r="1019" spans="1:3" ht="15.75" customHeight="1" x14ac:dyDescent="0.25">
      <c r="A1019" s="2" t="s">
        <v>1021</v>
      </c>
      <c r="B1019" s="3" t="s">
        <v>4</v>
      </c>
      <c r="C1019" s="2" t="str">
        <f ca="1">IFERROR(__xludf.DUMMYFUNCTION("GOOGLETRANSLATE(A1019,""bn"",""en"")"),"The design is very aesthetic")</f>
        <v>The design is very aesthetic</v>
      </c>
    </row>
    <row r="1020" spans="1:3" ht="15.75" customHeight="1" x14ac:dyDescent="0.25">
      <c r="A1020" s="2" t="s">
        <v>1022</v>
      </c>
      <c r="B1020" s="3" t="s">
        <v>2</v>
      </c>
      <c r="C1020" s="2" t="str">
        <f ca="1">IFERROR(__xludf.DUMMYFUNCTION("GOOGLETRANSLATE(A1020,""bn"",""en"")"),"Accepted by family members")</f>
        <v>Accepted by family members</v>
      </c>
    </row>
    <row r="1021" spans="1:3" ht="15.75" customHeight="1" x14ac:dyDescent="0.25">
      <c r="A1021" s="2" t="s">
        <v>1023</v>
      </c>
      <c r="B1021" s="3" t="s">
        <v>4</v>
      </c>
      <c r="C1021" s="2" t="str">
        <f ca="1">IFERROR(__xludf.DUMMYFUNCTION("GOOGLETRANSLATE(A1021,""bn"",""en"")"),"It can be used for different types of makeup")</f>
        <v>It can be used for different types of makeup</v>
      </c>
    </row>
    <row r="1022" spans="1:3" ht="15.75" customHeight="1" x14ac:dyDescent="0.25">
      <c r="A1022" s="2" t="s">
        <v>1024</v>
      </c>
      <c r="B1022" s="3" t="s">
        <v>2</v>
      </c>
      <c r="C1022" s="2" t="str">
        <f ca="1">IFERROR(__xludf.DUMMYFUNCTION("GOOGLETRANSLATE(A1022,""bn"",""en"")"),"Just what I wanted but not perfect")</f>
        <v>Just what I wanted but not perfect</v>
      </c>
    </row>
    <row r="1023" spans="1:3" ht="15.75" customHeight="1" x14ac:dyDescent="0.25">
      <c r="A1023" s="2" t="s">
        <v>1025</v>
      </c>
      <c r="B1023" s="3" t="s">
        <v>2</v>
      </c>
      <c r="C1023" s="2" t="str">
        <f ca="1">IFERROR(__xludf.DUMMYFUNCTION("GOOGLETRANSLATE(A1023,""bn"",""en"")"),"It's a bit of a classic")</f>
        <v>It's a bit of a classic</v>
      </c>
    </row>
    <row r="1024" spans="1:3" ht="15.75" customHeight="1" x14ac:dyDescent="0.25">
      <c r="A1024" s="2" t="s">
        <v>1026</v>
      </c>
      <c r="B1024" s="3" t="s">
        <v>2</v>
      </c>
      <c r="C1024" s="2" t="str">
        <f ca="1">IFERROR(__xludf.DUMMYFUNCTION("GOOGLETRANSLATE(A1024,""bn"",""en"")"),"Smart Plant Monitor checks plant health but the app is slow")</f>
        <v>Smart Plant Monitor checks plant health but the app is slow</v>
      </c>
    </row>
    <row r="1025" spans="1:3" ht="15.75" customHeight="1" x14ac:dyDescent="0.25">
      <c r="A1025" s="2" t="s">
        <v>1027</v>
      </c>
      <c r="B1025" s="3" t="s">
        <v>6</v>
      </c>
      <c r="C1025" s="2" t="str">
        <f ca="1">IFERROR(__xludf.DUMMYFUNCTION("GOOGLETRANSLATE(A1025,""bn"",""en"")"),"The hair mask was difficult to wash off and left my hair feeling heavy")</f>
        <v>The hair mask was difficult to wash off and left my hair feeling heavy</v>
      </c>
    </row>
    <row r="1026" spans="1:3" ht="15.75" customHeight="1" x14ac:dyDescent="0.25">
      <c r="A1026" s="2" t="s">
        <v>1028</v>
      </c>
      <c r="B1026" s="3" t="s">
        <v>4</v>
      </c>
      <c r="C1026" s="2" t="str">
        <f ca="1">IFERROR(__xludf.DUMMYFUNCTION("GOOGLETRANSLATE(A1026,""bn"",""en"")"),"The fabric used in this bedsheet is very advanced and looks great")</f>
        <v>The fabric used in this bedsheet is very advanced and looks great</v>
      </c>
    </row>
    <row r="1027" spans="1:3" ht="15.75" customHeight="1" x14ac:dyDescent="0.25">
      <c r="A1027" s="2" t="s">
        <v>1029</v>
      </c>
      <c r="B1027" s="3" t="s">
        <v>2</v>
      </c>
      <c r="C1027" s="2" t="str">
        <f ca="1">IFERROR(__xludf.DUMMYFUNCTION("GOOGLETRANSLATE(A1027,""bn"",""en"")"),"It may be good for those who like soft bristles and fresh flavor")</f>
        <v>It may be good for those who like soft bristles and fresh flavor</v>
      </c>
    </row>
    <row r="1028" spans="1:3" ht="15.75" customHeight="1" x14ac:dyDescent="0.25">
      <c r="A1028" s="2" t="s">
        <v>1030</v>
      </c>
      <c r="B1028" s="3" t="s">
        <v>4</v>
      </c>
      <c r="C1028" s="2" t="str">
        <f ca="1">IFERROR(__xludf.DUMMYFUNCTION("GOOGLETRANSLATE(A1028,""bn"",""en"")"),"The new cold drink tastes amazing")</f>
        <v>The new cold drink tastes amazing</v>
      </c>
    </row>
    <row r="1029" spans="1:3" ht="15.75" customHeight="1" x14ac:dyDescent="0.25">
      <c r="A1029" s="2" t="s">
        <v>1031</v>
      </c>
      <c r="B1029" s="3" t="s">
        <v>2</v>
      </c>
      <c r="C1029" s="2" t="str">
        <f ca="1">IFERROR(__xludf.DUMMYFUNCTION("GOOGLETRANSLATE(A1029,""bn"",""en"")"),"The upper part is dry")</f>
        <v>The upper part is dry</v>
      </c>
    </row>
    <row r="1030" spans="1:3" ht="15.75" customHeight="1" x14ac:dyDescent="0.25">
      <c r="A1030" s="2" t="s">
        <v>1032</v>
      </c>
      <c r="B1030" s="3" t="s">
        <v>6</v>
      </c>
      <c r="C1030" s="2" t="str">
        <f ca="1">IFERROR(__xludf.DUMMYFUNCTION("GOOGLETRANSLATE(A1030,""bn"",""en"")"),"The mattress is uncomfortable and lacks adequate support causing back pain and discomfort while sleeping")</f>
        <v>The mattress is uncomfortable and lacks adequate support causing back pain and discomfort while sleeping</v>
      </c>
    </row>
    <row r="1031" spans="1:3" ht="15.75" customHeight="1" x14ac:dyDescent="0.25">
      <c r="A1031" s="2" t="s">
        <v>1033</v>
      </c>
      <c r="B1031" s="3" t="s">
        <v>2</v>
      </c>
      <c r="C1031" s="2" t="str">
        <f ca="1">IFERROR(__xludf.DUMMYFUNCTION("GOOGLETRANSLATE(A1031,""bn"",""en"")"),"Not as sharp as expected")</f>
        <v>Not as sharp as expected</v>
      </c>
    </row>
    <row r="1032" spans="1:3" ht="15.75" customHeight="1" x14ac:dyDescent="0.25">
      <c r="A1032" s="2" t="s">
        <v>1034</v>
      </c>
      <c r="B1032" s="3" t="s">
        <v>2</v>
      </c>
      <c r="C1032" s="2" t="str">
        <f ca="1">IFERROR(__xludf.DUMMYFUNCTION("GOOGLETRANSLATE(A1032,""bn"",""en"")"),"The pocket projector shows images but the resolution is low")</f>
        <v>The pocket projector shows images but the resolution is low</v>
      </c>
    </row>
    <row r="1033" spans="1:3" ht="15.75" customHeight="1" x14ac:dyDescent="0.25">
      <c r="A1033" s="2" t="s">
        <v>1035</v>
      </c>
      <c r="B1033" s="3" t="s">
        <v>4</v>
      </c>
      <c r="C1033" s="2" t="str">
        <f ca="1">IFERROR(__xludf.DUMMYFUNCTION("GOOGLETRANSLATE(A1033,""bn"",""en"")"),"The plastic flower helps to decorate the house in different seasons")</f>
        <v>The plastic flower helps to decorate the house in different seasons</v>
      </c>
    </row>
    <row r="1034" spans="1:3" ht="15.75" customHeight="1" x14ac:dyDescent="0.25">
      <c r="A1034" s="2" t="s">
        <v>1036</v>
      </c>
      <c r="B1034" s="3" t="s">
        <v>4</v>
      </c>
      <c r="C1034" s="2" t="str">
        <f ca="1">IFERROR(__xludf.DUMMYFUNCTION("GOOGLETRANSLATE(A1034,""bn"",""en"")"),"Nutritional information is clearly provided on the package")</f>
        <v>Nutritional information is clearly provided on the package</v>
      </c>
    </row>
    <row r="1035" spans="1:3" ht="15.75" customHeight="1" x14ac:dyDescent="0.25">
      <c r="A1035" s="2" t="s">
        <v>1037</v>
      </c>
      <c r="B1035" s="3" t="s">
        <v>4</v>
      </c>
      <c r="C1035" s="2" t="str">
        <f ca="1">IFERROR(__xludf.DUMMYFUNCTION("GOOGLETRANSLATE(A1035,""bn"",""en"")"),"This scarf is very soft and comfortable")</f>
        <v>This scarf is very soft and comfortable</v>
      </c>
    </row>
    <row r="1036" spans="1:3" ht="15.75" customHeight="1" x14ac:dyDescent="0.25">
      <c r="A1036" s="2" t="s">
        <v>1038</v>
      </c>
      <c r="B1036" s="3" t="s">
        <v>4</v>
      </c>
      <c r="C1036" s="2" t="str">
        <f ca="1">IFERROR(__xludf.DUMMYFUNCTION("GOOGLETRANSLATE(A1036,""bn"",""en"")"),"This lamp is perfect for studying")</f>
        <v>This lamp is perfect for studying</v>
      </c>
    </row>
    <row r="1037" spans="1:3" ht="15.75" customHeight="1" x14ac:dyDescent="0.25">
      <c r="A1037" s="2" t="s">
        <v>1039</v>
      </c>
      <c r="B1037" s="3" t="s">
        <v>4</v>
      </c>
      <c r="C1037" s="2" t="str">
        <f ca="1">IFERROR(__xludf.DUMMYFUNCTION("GOOGLETRANSLATE(A1037,""bn"",""en"")"),"Baby has many choices ")</f>
        <v xml:space="preserve">Baby has many choices </v>
      </c>
    </row>
    <row r="1038" spans="1:3" ht="15.75" customHeight="1" x14ac:dyDescent="0.25">
      <c r="A1038" s="2" t="s">
        <v>1040</v>
      </c>
      <c r="B1038" s="3" t="s">
        <v>4</v>
      </c>
      <c r="C1038" s="2" t="str">
        <f ca="1">IFERROR(__xludf.DUMMYFUNCTION("GOOGLETRANSLATE(A1038,""bn"",""en"")"),"Perfect for interior design")</f>
        <v>Perfect for interior design</v>
      </c>
    </row>
    <row r="1039" spans="1:3" ht="15.75" customHeight="1" x14ac:dyDescent="0.25">
      <c r="A1039" s="2" t="s">
        <v>1041</v>
      </c>
      <c r="B1039" s="3" t="s">
        <v>2</v>
      </c>
      <c r="C1039" s="2" t="str">
        <f ca="1">IFERROR(__xludf.DUMMYFUNCTION("GOOGLETRANSLATE(A1039,""bn"",""en"")"),"Fabric is ok but color is light")</f>
        <v>Fabric is ok but color is light</v>
      </c>
    </row>
    <row r="1040" spans="1:3" ht="15.75" customHeight="1" x14ac:dyDescent="0.25">
      <c r="A1040" s="2" t="s">
        <v>1042</v>
      </c>
      <c r="B1040" s="3" t="s">
        <v>6</v>
      </c>
      <c r="C1040" s="2" t="str">
        <f ca="1">IFERROR(__xludf.DUMMYFUNCTION("GOOGLETRANSLATE(A1040,""bn"",""en"")"),"The wireless charging pad overheats making it unsafe to use")</f>
        <v>The wireless charging pad overheats making it unsafe to use</v>
      </c>
    </row>
    <row r="1041" spans="1:3" ht="15.75" customHeight="1" x14ac:dyDescent="0.25">
      <c r="A1041" s="2" t="s">
        <v>1043</v>
      </c>
      <c r="B1041" s="3" t="s">
        <v>4</v>
      </c>
      <c r="C1041" s="2" t="str">
        <f ca="1">IFERROR(__xludf.DUMMYFUNCTION("GOOGLETRANSLATE(A1041,""bn"",""en"")"),"Hair dryness is reduced by use of shampoo")</f>
        <v>Hair dryness is reduced by use of shampoo</v>
      </c>
    </row>
    <row r="1042" spans="1:3" ht="15.75" customHeight="1" x14ac:dyDescent="0.25">
      <c r="A1042" s="2" t="s">
        <v>1044</v>
      </c>
      <c r="B1042" s="3" t="s">
        <v>4</v>
      </c>
      <c r="C1042" s="2" t="str">
        <f ca="1">IFERROR(__xludf.DUMMYFUNCTION("GOOGLETRANSLATE(A1042,""bn"",""en"")"),"The colors of the furniture match the decor of my room perfectly")</f>
        <v>The colors of the furniture match the decor of my room perfectly</v>
      </c>
    </row>
    <row r="1043" spans="1:3" ht="15.75" customHeight="1" x14ac:dyDescent="0.25">
      <c r="A1043" s="2" t="s">
        <v>1045</v>
      </c>
      <c r="B1043" s="3" t="s">
        <v>4</v>
      </c>
      <c r="C1043" s="2" t="str">
        <f ca="1">IFERROR(__xludf.DUMMYFUNCTION("GOOGLETRANSLATE(A1043,""bn"",""en"")"),"Skin is refreshed with every use of Beauty Soap")</f>
        <v>Skin is refreshed with every use of Beauty Soap</v>
      </c>
    </row>
    <row r="1044" spans="1:3" ht="15.75" customHeight="1" x14ac:dyDescent="0.25">
      <c r="A1044" s="2" t="s">
        <v>1046</v>
      </c>
      <c r="B1044" s="3" t="s">
        <v>2</v>
      </c>
      <c r="C1044" s="2" t="str">
        <f ca="1">IFERROR(__xludf.DUMMYFUNCTION("GOOGLETRANSLATE(A1044,""bn"",""en"")"),"Prolonged use may be somewhat uncomfortable")</f>
        <v>Prolonged use may be somewhat uncomfortable</v>
      </c>
    </row>
    <row r="1045" spans="1:3" ht="15.75" customHeight="1" x14ac:dyDescent="0.25">
      <c r="A1045" s="2" t="s">
        <v>1047</v>
      </c>
      <c r="B1045" s="3" t="s">
        <v>2</v>
      </c>
      <c r="C1045" s="2" t="str">
        <f ca="1">IFERROR(__xludf.DUMMYFUNCTION("GOOGLETRANSLATE(A1045,""bn"",""en"")"),"Fabric quality is fair but may get stained")</f>
        <v>Fabric quality is fair but may get stained</v>
      </c>
    </row>
    <row r="1046" spans="1:3" ht="15.75" customHeight="1" x14ac:dyDescent="0.25">
      <c r="A1046" s="2" t="s">
        <v>1048</v>
      </c>
      <c r="B1046" s="3" t="s">
        <v>4</v>
      </c>
      <c r="C1046" s="2" t="str">
        <f ca="1">IFERROR(__xludf.DUMMYFUNCTION("GOOGLETRANSLATE(A1046,""bn"",""en"")"),"The design of the dress is very beautiful")</f>
        <v>The design of the dress is very beautiful</v>
      </c>
    </row>
    <row r="1047" spans="1:3" ht="15.75" customHeight="1" x14ac:dyDescent="0.25">
      <c r="A1047" s="2" t="s">
        <v>1049</v>
      </c>
      <c r="B1047" s="3" t="s">
        <v>6</v>
      </c>
      <c r="C1047" s="2" t="str">
        <f ca="1">IFERROR(__xludf.DUMMYFUNCTION("GOOGLETRANSLATE(A1047,""bn"",""en"")"),"The outer coating peels off easily to reveal the underlying substance")</f>
        <v>The outer coating peels off easily to reveal the underlying substance</v>
      </c>
    </row>
    <row r="1048" spans="1:3" ht="15.75" customHeight="1" x14ac:dyDescent="0.25">
      <c r="A1048" s="2" t="s">
        <v>1050</v>
      </c>
      <c r="B1048" s="3" t="s">
        <v>6</v>
      </c>
      <c r="C1048" s="2" t="str">
        <f ca="1">IFERROR(__xludf.DUMMYFUNCTION("GOOGLETRANSLATE(A1048,""bn"",""en"")"),"The smell was too strong to overpower any subtlety")</f>
        <v>The smell was too strong to overpower any subtlety</v>
      </c>
    </row>
    <row r="1049" spans="1:3" ht="15.75" customHeight="1" x14ac:dyDescent="0.25">
      <c r="A1049" s="2" t="s">
        <v>1051</v>
      </c>
      <c r="B1049" s="3" t="s">
        <v>2</v>
      </c>
      <c r="C1049" s="2" t="str">
        <f ca="1">IFERROR(__xludf.DUMMYFUNCTION("GOOGLETRANSLATE(A1049,""bn"",""en"")"),"Common tools for sewing")</f>
        <v>Common tools for sewing</v>
      </c>
    </row>
    <row r="1050" spans="1:3" ht="15.75" customHeight="1" x14ac:dyDescent="0.25">
      <c r="A1050" s="2" t="s">
        <v>1052</v>
      </c>
      <c r="B1050" s="3" t="s">
        <v>2</v>
      </c>
      <c r="C1050" s="2" t="str">
        <f ca="1">IFERROR(__xludf.DUMMYFUNCTION("GOOGLETRANSLATE(A1050,""bn"",""en"")"),"Hooks are provided for storing mops")</f>
        <v>Hooks are provided for storing mops</v>
      </c>
    </row>
    <row r="1051" spans="1:3" ht="15.75" customHeight="1" x14ac:dyDescent="0.25">
      <c r="A1051" s="2" t="s">
        <v>1053</v>
      </c>
      <c r="B1051" s="3" t="s">
        <v>2</v>
      </c>
      <c r="C1051" s="2" t="str">
        <f ca="1">IFERROR(__xludf.DUMMYFUNCTION("GOOGLETRANSLATE(A1051,""bn"",""en"")"),"The wireless key finder finds the key but the battery change is complicated")</f>
        <v>The wireless key finder finds the key but the battery change is complicated</v>
      </c>
    </row>
    <row r="1052" spans="1:3" ht="15.75" customHeight="1" x14ac:dyDescent="0.25">
      <c r="A1052" s="2" t="s">
        <v>1054</v>
      </c>
      <c r="B1052" s="3" t="s">
        <v>4</v>
      </c>
      <c r="C1052" s="2" t="str">
        <f ca="1">IFERROR(__xludf.DUMMYFUNCTION("GOOGLETRANSLATE(A1052,""bn"",""en"")"),"My expectations have been fulfilled")</f>
        <v>My expectations have been fulfilled</v>
      </c>
    </row>
    <row r="1053" spans="1:3" ht="15.75" customHeight="1" x14ac:dyDescent="0.25">
      <c r="A1053" s="2" t="s">
        <v>1055</v>
      </c>
      <c r="B1053" s="3" t="s">
        <v>6</v>
      </c>
      <c r="C1053" s="2" t="str">
        <f ca="1">IFERROR(__xludf.DUMMYFUNCTION("GOOGLETRANSLATE(A1053,""bn"",""en"")"),"Item arrived unsealed condition is unclear")</f>
        <v>Item arrived unsealed condition is unclear</v>
      </c>
    </row>
    <row r="1054" spans="1:3" ht="15.75" customHeight="1" x14ac:dyDescent="0.25">
      <c r="A1054" s="2" t="s">
        <v>1056</v>
      </c>
      <c r="B1054" s="3" t="s">
        <v>2</v>
      </c>
      <c r="C1054" s="2" t="str">
        <f ca="1">IFERROR(__xludf.DUMMYFUNCTION("GOOGLETRANSLATE(A1054,""bn"",""en"")"),"Could be the best product")</f>
        <v>Could be the best product</v>
      </c>
    </row>
    <row r="1055" spans="1:3" ht="15.75" customHeight="1" x14ac:dyDescent="0.25">
      <c r="A1055" s="2" t="s">
        <v>1057</v>
      </c>
      <c r="B1055" s="3" t="s">
        <v>6</v>
      </c>
      <c r="C1055" s="2" t="str">
        <f ca="1">IFERROR(__xludf.DUMMYFUNCTION("GOOGLETRANSLATE(A1055,""bn"",""en"")"),"The durability of this item is very weak")</f>
        <v>The durability of this item is very weak</v>
      </c>
    </row>
    <row r="1056" spans="1:3" ht="15.75" customHeight="1" x14ac:dyDescent="0.25">
      <c r="A1056" s="2" t="s">
        <v>1058</v>
      </c>
      <c r="B1056" s="3" t="s">
        <v>4</v>
      </c>
      <c r="C1056" s="2" t="str">
        <f ca="1">IFERROR(__xludf.DUMMYFUNCTION("GOOGLETRANSLATE(A1056,""bn"",""en"")"),"good relationship")</f>
        <v>good relationship</v>
      </c>
    </row>
    <row r="1057" spans="1:3" ht="15.75" customHeight="1" x14ac:dyDescent="0.25">
      <c r="A1057" s="2" t="s">
        <v>1059</v>
      </c>
      <c r="B1057" s="3" t="s">
        <v>6</v>
      </c>
      <c r="C1057" s="2" t="str">
        <f ca="1">IFERROR(__xludf.DUMMYFUNCTION("GOOGLETRANSLATE(A1057,""bn"",""en"")"),"Hemming brutally resembles the work of an amateur")</f>
        <v>Hemming brutally resembles the work of an amateur</v>
      </c>
    </row>
    <row r="1058" spans="1:3" ht="15.75" customHeight="1" x14ac:dyDescent="0.25">
      <c r="A1058" s="2" t="s">
        <v>1060</v>
      </c>
      <c r="B1058" s="3" t="s">
        <v>6</v>
      </c>
      <c r="C1058" s="2" t="str">
        <f ca="1">IFERROR(__xludf.DUMMYFUNCTION("GOOGLETRANSLATE(A1058,""bn"",""en"")"),"Improper design creates inappropriate clothing for various occasions")</f>
        <v>Improper design creates inappropriate clothing for various occasions</v>
      </c>
    </row>
    <row r="1059" spans="1:3" ht="15.75" customHeight="1" x14ac:dyDescent="0.25">
      <c r="A1059" s="2" t="s">
        <v>1061</v>
      </c>
      <c r="B1059" s="3" t="s">
        <v>4</v>
      </c>
      <c r="C1059" s="2" t="str">
        <f ca="1">IFERROR(__xludf.DUMMYFUNCTION("GOOGLETRANSLATE(A1059,""bn"",""en"")"),"It is a very effective air cooler")</f>
        <v>It is a very effective air cooler</v>
      </c>
    </row>
    <row r="1060" spans="1:3" ht="15.75" customHeight="1" x14ac:dyDescent="0.25">
      <c r="A1060" s="2" t="s">
        <v>1062</v>
      </c>
      <c r="B1060" s="3" t="s">
        <v>2</v>
      </c>
      <c r="C1060" s="2" t="str">
        <f ca="1">IFERROR(__xludf.DUMMYFUNCTION("GOOGLETRANSLATE(A1060,""bn"",""en"")"),"Battery life seems relatively short")</f>
        <v>Battery life seems relatively short</v>
      </c>
    </row>
    <row r="1061" spans="1:3" ht="15.75" customHeight="1" x14ac:dyDescent="0.25">
      <c r="A1061" s="2" t="s">
        <v>1063</v>
      </c>
      <c r="B1061" s="3" t="s">
        <v>4</v>
      </c>
      <c r="C1061" s="2" t="str">
        <f ca="1">IFERROR(__xludf.DUMMYFUNCTION("GOOGLETRANSLATE(A1061,""bn"",""en"")"),"No fear of drying up in the sun, always alive")</f>
        <v>No fear of drying up in the sun, always alive</v>
      </c>
    </row>
    <row r="1062" spans="1:3" ht="15.75" customHeight="1" x14ac:dyDescent="0.25">
      <c r="A1062" s="2" t="s">
        <v>1064</v>
      </c>
      <c r="B1062" s="3" t="s">
        <v>2</v>
      </c>
      <c r="C1062" s="2" t="str">
        <f ca="1">IFERROR(__xludf.DUMMYFUNCTION("GOOGLETRANSLATE(A1062,""bn"",""en"")"),"The charger looks nice but charges a bit slow")</f>
        <v>The charger looks nice but charges a bit slow</v>
      </c>
    </row>
    <row r="1063" spans="1:3" ht="15.75" customHeight="1" x14ac:dyDescent="0.25">
      <c r="A1063" s="2" t="s">
        <v>1065</v>
      </c>
      <c r="B1063" s="3" t="s">
        <v>6</v>
      </c>
      <c r="C1063" s="2" t="str">
        <f ca="1">IFERROR(__xludf.DUMMYFUNCTION("GOOGLETRANSLATE(A1063,""bn"",""en"")"),"The keyboard keys feel mushy and lack tactile feedback which hinders typing speed and accuracy")</f>
        <v>The keyboard keys feel mushy and lack tactile feedback which hinders typing speed and accuracy</v>
      </c>
    </row>
    <row r="1064" spans="1:3" ht="15.75" customHeight="1" x14ac:dyDescent="0.25">
      <c r="A1064" s="2" t="s">
        <v>1066</v>
      </c>
      <c r="B1064" s="3" t="s">
        <v>6</v>
      </c>
      <c r="C1064" s="2" t="str">
        <f ca="1">IFERROR(__xludf.DUMMYFUNCTION("GOOGLETRANSLATE(A1064,""bn"",""en"")"),"Stains and discoloration on the tea set make it look dirty")</f>
        <v>Stains and discoloration on the tea set make it look dirty</v>
      </c>
    </row>
    <row r="1065" spans="1:3" ht="15.75" customHeight="1" x14ac:dyDescent="0.25">
      <c r="A1065" s="2" t="s">
        <v>1067</v>
      </c>
      <c r="B1065" s="3" t="s">
        <v>4</v>
      </c>
      <c r="C1065" s="2" t="str">
        <f ca="1">IFERROR(__xludf.DUMMYFUNCTION("GOOGLETRANSLATE(A1065,""bn"",""en"")"),"The temperature control system inside the cupboard keeps the books well")</f>
        <v>The temperature control system inside the cupboard keeps the books well</v>
      </c>
    </row>
    <row r="1066" spans="1:3" ht="15.75" customHeight="1" x14ac:dyDescent="0.25">
      <c r="A1066" s="2" t="s">
        <v>1068</v>
      </c>
      <c r="B1066" s="3" t="s">
        <v>6</v>
      </c>
      <c r="C1066" s="2" t="str">
        <f ca="1">IFERROR(__xludf.DUMMYFUNCTION("GOOGLETRANSLATE(A1066,""bn"",""en"")"),"The painting set did not include enough solvent for cleaning")</f>
        <v>The painting set did not include enough solvent for cleaning</v>
      </c>
    </row>
    <row r="1067" spans="1:3" ht="15.75" customHeight="1" x14ac:dyDescent="0.25">
      <c r="A1067" s="2" t="s">
        <v>1069</v>
      </c>
      <c r="B1067" s="3" t="s">
        <v>6</v>
      </c>
      <c r="C1067" s="2" t="str">
        <f ca="1">IFERROR(__xludf.DUMMYFUNCTION("GOOGLETRANSLATE(A1067,""bn"",""en"")")," Ear hooks that are too tight or too loose cause them to either dig into the ear or fail to provide adequate support during activity.")</f>
        <v xml:space="preserve"> Ear hooks that are too tight or too loose cause them to either dig into the ear or fail to provide adequate support during activity.</v>
      </c>
    </row>
    <row r="1068" spans="1:3" ht="15.75" customHeight="1" x14ac:dyDescent="0.25">
      <c r="A1068" s="2" t="s">
        <v>1070</v>
      </c>
      <c r="B1068" s="3" t="s">
        <v>6</v>
      </c>
      <c r="C1068" s="2" t="str">
        <f ca="1">IFERROR(__xludf.DUMMYFUNCTION("GOOGLETRANSLATE(A1068,""bn"",""en"")"),"The shampoo leaves my hair feeling dry and brittle with no shine or bounce")</f>
        <v>The shampoo leaves my hair feeling dry and brittle with no shine or bounce</v>
      </c>
    </row>
    <row r="1069" spans="1:3" ht="15.75" customHeight="1" x14ac:dyDescent="0.25">
      <c r="A1069" s="2" t="s">
        <v>1071</v>
      </c>
      <c r="B1069" s="3" t="s">
        <v>4</v>
      </c>
      <c r="C1069" s="2" t="str">
        <f ca="1">IFERROR(__xludf.DUMMYFUNCTION("GOOGLETRANSLATE(A1069,""bn"",""en"")"),"This coffee reminds me of Italian cafes")</f>
        <v>This coffee reminds me of Italian cafes</v>
      </c>
    </row>
    <row r="1070" spans="1:3" ht="15.75" customHeight="1" x14ac:dyDescent="0.25">
      <c r="A1070" s="2" t="s">
        <v>1072</v>
      </c>
      <c r="B1070" s="3" t="s">
        <v>2</v>
      </c>
      <c r="C1070" s="2" t="str">
        <f ca="1">IFERROR(__xludf.DUMMYFUNCTION("GOOGLETRANSLATE(A1070,""bn"",""en"")"),"Limited warranty coverage")</f>
        <v>Limited warranty coverage</v>
      </c>
    </row>
    <row r="1071" spans="1:3" ht="15.75" customHeight="1" x14ac:dyDescent="0.25">
      <c r="A1071" s="2" t="s">
        <v>1073</v>
      </c>
      <c r="B1071" s="3" t="s">
        <v>4</v>
      </c>
      <c r="C1071" s="2" t="str">
        <f ca="1">IFERROR(__xludf.DUMMYFUNCTION("GOOGLETRANSLATE(A1071,""bn"",""en"")"),"Colors dry quickly which reduces smearing")</f>
        <v>Colors dry quickly which reduces smearing</v>
      </c>
    </row>
    <row r="1072" spans="1:3" ht="15.75" customHeight="1" x14ac:dyDescent="0.25">
      <c r="A1072" s="2" t="s">
        <v>1074</v>
      </c>
      <c r="B1072" s="3" t="s">
        <v>6</v>
      </c>
      <c r="C1072" s="2" t="str">
        <f ca="1">IFERROR(__xludf.DUMMYFUNCTION("GOOGLETRANSLATE(A1072,""bn"",""en"")"),"The stitching on the wallet came undone causing the cards to fall out")</f>
        <v>The stitching on the wallet came undone causing the cards to fall out</v>
      </c>
    </row>
    <row r="1073" spans="1:3" ht="15.75" customHeight="1" x14ac:dyDescent="0.25">
      <c r="A1073" s="2" t="s">
        <v>1075</v>
      </c>
      <c r="B1073" s="3" t="s">
        <v>4</v>
      </c>
      <c r="C1073" s="2" t="str">
        <f ca="1">IFERROR(__xludf.DUMMYFUNCTION("GOOGLETRANSLATE(A1073,""bn"",""en"")"),"There is always a happy atmosphere in our classes")</f>
        <v>There is always a happy atmosphere in our classes</v>
      </c>
    </row>
    <row r="1074" spans="1:3" ht="15.75" customHeight="1" x14ac:dyDescent="0.25">
      <c r="A1074" s="2" t="s">
        <v>1076</v>
      </c>
      <c r="B1074" s="3" t="s">
        <v>4</v>
      </c>
      <c r="C1074" s="2" t="str">
        <f ca="1">IFERROR(__xludf.DUMMYFUNCTION("GOOGLETRANSLATE(A1074,""bn"",""en"")"),"Its antibacterial coating keeps the air in my room sterile, very good for health")</f>
        <v>Its antibacterial coating keeps the air in my room sterile, very good for health</v>
      </c>
    </row>
    <row r="1075" spans="1:3" ht="15.75" customHeight="1" x14ac:dyDescent="0.25">
      <c r="A1075" s="2" t="s">
        <v>1077</v>
      </c>
      <c r="B1075" s="3" t="s">
        <v>6</v>
      </c>
      <c r="C1075" s="2" t="str">
        <f ca="1">IFERROR(__xludf.DUMMYFUNCTION("GOOGLETRANSLATE(A1075,""bn"",""en"")"),"Heat protectant sprays leave my hair feeling sticky and sticky")</f>
        <v>Heat protectant sprays leave my hair feeling sticky and sticky</v>
      </c>
    </row>
    <row r="1076" spans="1:3" ht="15.75" customHeight="1" x14ac:dyDescent="0.25">
      <c r="A1076" s="2" t="s">
        <v>1078</v>
      </c>
      <c r="B1076" s="3" t="s">
        <v>6</v>
      </c>
      <c r="C1076" s="2" t="str">
        <f ca="1">IFERROR(__xludf.DUMMYFUNCTION("GOOGLETRANSLATE(A1076,""bn"",""en"")")," The vent grill gets clogged with dust and debris that prevents proper airflow")</f>
        <v xml:space="preserve"> The vent grill gets clogged with dust and debris that prevents proper airflow</v>
      </c>
    </row>
    <row r="1077" spans="1:3" ht="15.75" customHeight="1" x14ac:dyDescent="0.25">
      <c r="A1077" s="2" t="s">
        <v>1079</v>
      </c>
      <c r="B1077" s="3" t="s">
        <v>6</v>
      </c>
      <c r="C1077" s="2" t="str">
        <f ca="1">IFERROR(__xludf.DUMMYFUNCTION("GOOGLETRANSLATE(A1077,""bn"",""en"")"),"Avoid this overpriced low quality item")</f>
        <v>Avoid this overpriced low quality item</v>
      </c>
    </row>
    <row r="1078" spans="1:3" ht="15.75" customHeight="1" x14ac:dyDescent="0.25">
      <c r="A1078" s="2" t="s">
        <v>1080</v>
      </c>
      <c r="B1078" s="3" t="s">
        <v>6</v>
      </c>
      <c r="C1078" s="2" t="str">
        <f ca="1">IFERROR(__xludf.DUMMYFUNCTION("GOOGLETRANSLATE(A1078,""bn"",""en"")"),"The cumbersome refilling process requires constant attention")</f>
        <v>The cumbersome refilling process requires constant attention</v>
      </c>
    </row>
    <row r="1079" spans="1:3" ht="15.75" customHeight="1" x14ac:dyDescent="0.25">
      <c r="A1079" s="2" t="s">
        <v>1081</v>
      </c>
      <c r="B1079" s="3" t="s">
        <v>2</v>
      </c>
      <c r="C1079" s="2" t="str">
        <f ca="1">IFERROR(__xludf.DUMMYFUNCTION("GOOGLETRANSLATE(A1079,""bn"",""en"")"),"It keeps warm but difficult to control the temperature")</f>
        <v>It keeps warm but difficult to control the temperature</v>
      </c>
    </row>
    <row r="1080" spans="1:3" ht="15.75" customHeight="1" x14ac:dyDescent="0.25">
      <c r="A1080" s="2" t="s">
        <v>1082</v>
      </c>
      <c r="B1080" s="3" t="s">
        <v>4</v>
      </c>
      <c r="C1080" s="2" t="str">
        <f ca="1">IFERROR(__xludf.DUMMYFUNCTION("GOOGLETRANSLATE(A1080,""bn"",""en"")"),"The cooker cooks food quickly and evenly")</f>
        <v>The cooker cooks food quickly and evenly</v>
      </c>
    </row>
    <row r="1081" spans="1:3" ht="15.75" customHeight="1" x14ac:dyDescent="0.25">
      <c r="A1081" s="2" t="s">
        <v>1083</v>
      </c>
      <c r="B1081" s="3" t="s">
        <v>6</v>
      </c>
      <c r="C1081" s="2" t="str">
        <f ca="1">IFERROR(__xludf.DUMMYFUNCTION("GOOGLETRANSLATE(A1081,""bn"",""en"")"),"The granules of the body scrub were too harsh which resulted in redness and irritation")</f>
        <v>The granules of the body scrub were too harsh which resulted in redness and irritation</v>
      </c>
    </row>
    <row r="1082" spans="1:3" ht="15.75" customHeight="1" x14ac:dyDescent="0.25">
      <c r="A1082" s="2" t="s">
        <v>1084</v>
      </c>
      <c r="B1082" s="3" t="s">
        <v>4</v>
      </c>
      <c r="C1082" s="2" t="str">
        <f ca="1">IFERROR(__xludf.DUMMYFUNCTION("GOOGLETRANSLATE(A1082,""bn"",""en"")"),"Ideal for any room")</f>
        <v>Ideal for any room</v>
      </c>
    </row>
    <row r="1083" spans="1:3" ht="15.75" customHeight="1" x14ac:dyDescent="0.25">
      <c r="A1083" s="2" t="s">
        <v>1085</v>
      </c>
      <c r="B1083" s="3" t="s">
        <v>6</v>
      </c>
      <c r="C1083" s="2" t="str">
        <f ca="1">IFERROR(__xludf.DUMMYFUNCTION("GOOGLETRANSLATE(A1083,""bn"",""en"")"),"The color of the lipstick fades unevenly leaving a ring of color around the lips")</f>
        <v>The color of the lipstick fades unevenly leaving a ring of color around the lips</v>
      </c>
    </row>
    <row r="1084" spans="1:3" ht="15.75" customHeight="1" x14ac:dyDescent="0.25">
      <c r="A1084" s="2" t="s">
        <v>1086</v>
      </c>
      <c r="B1084" s="3" t="s">
        <v>2</v>
      </c>
      <c r="C1084" s="2" t="str">
        <f ca="1">IFERROR(__xludf.DUMMYFUNCTION("GOOGLETRANSLATE(A1084,""bn"",""en"")"),"The quality of the glass is fine")</f>
        <v>The quality of the glass is fine</v>
      </c>
    </row>
    <row r="1085" spans="1:3" ht="15.75" customHeight="1" x14ac:dyDescent="0.25">
      <c r="A1085" s="2" t="s">
        <v>1087</v>
      </c>
      <c r="B1085" s="3" t="s">
        <v>4</v>
      </c>
      <c r="C1085" s="2" t="str">
        <f ca="1">IFERROR(__xludf.DUMMYFUNCTION("GOOGLETRANSLATE(A1085,""bn"",""en"")"),"The sound quality of this mobile is great")</f>
        <v>The sound quality of this mobile is great</v>
      </c>
    </row>
    <row r="1086" spans="1:3" ht="15.75" customHeight="1" x14ac:dyDescent="0.25">
      <c r="A1086" s="2" t="s">
        <v>1088</v>
      </c>
      <c r="B1086" s="3" t="s">
        <v>2</v>
      </c>
      <c r="C1086" s="2" t="str">
        <f ca="1">IFERROR(__xludf.DUMMYFUNCTION("GOOGLETRANSLATE(A1086,""bn"",""en"")"),"It is moderately cool")</f>
        <v>It is moderately cool</v>
      </c>
    </row>
    <row r="1087" spans="1:3" ht="15.75" customHeight="1" x14ac:dyDescent="0.25">
      <c r="A1087" s="2" t="s">
        <v>1089</v>
      </c>
      <c r="B1087" s="3" t="s">
        <v>2</v>
      </c>
      <c r="C1087" s="2" t="str">
        <f ca="1">IFERROR(__xludf.DUMMYFUNCTION("GOOGLETRANSLATE(A1087,""bn"",""en"")"),"The brush works but the quality is not that good")</f>
        <v>The brush works but the quality is not that good</v>
      </c>
    </row>
    <row r="1088" spans="1:3" ht="15.75" customHeight="1" x14ac:dyDescent="0.25">
      <c r="A1088" s="2" t="s">
        <v>1090</v>
      </c>
      <c r="B1088" s="3" t="s">
        <v>4</v>
      </c>
      <c r="C1088" s="2" t="str">
        <f ca="1">IFERROR(__xludf.DUMMYFUNCTION("GOOGLETRANSLATE(A1088,""bn"",""en"")"),"The size of the cup is perfect for drinking tea")</f>
        <v>The size of the cup is perfect for drinking tea</v>
      </c>
    </row>
    <row r="1089" spans="1:3" ht="15.75" customHeight="1" x14ac:dyDescent="0.25">
      <c r="A1089" s="2" t="s">
        <v>1091</v>
      </c>
      <c r="B1089" s="3" t="s">
        <v>2</v>
      </c>
      <c r="C1089" s="2" t="str">
        <f ca="1">IFERROR(__xludf.DUMMYFUNCTION("GOOGLETRANSLATE(A1089,""bn"",""en"")"),"Quality is decent not exceptional")</f>
        <v>Quality is decent not exceptional</v>
      </c>
    </row>
    <row r="1090" spans="1:3" ht="15.75" customHeight="1" x14ac:dyDescent="0.25">
      <c r="A1090" s="2" t="s">
        <v>1092</v>
      </c>
      <c r="B1090" s="3" t="s">
        <v>2</v>
      </c>
      <c r="C1090" s="2" t="str">
        <f ca="1">IFERROR(__xludf.DUMMYFUNCTION("GOOGLETRANSLATE(A1090,""bn"",""en"")"),"Not all beautiful colors are exceptional")</f>
        <v>Not all beautiful colors are exceptional</v>
      </c>
    </row>
    <row r="1091" spans="1:3" ht="15.75" customHeight="1" x14ac:dyDescent="0.25">
      <c r="A1091" s="2" t="s">
        <v>1093</v>
      </c>
      <c r="B1091" s="3" t="s">
        <v>6</v>
      </c>
      <c r="C1091" s="2" t="str">
        <f ca="1">IFERROR(__xludf.DUMMYFUNCTION("GOOGLETRANSLATE(A1091,""bn"",""en"")")," The door seal is loose allowing steam to escape and moisture to build up inside")</f>
        <v xml:space="preserve"> The door seal is loose allowing steam to escape and moisture to build up inside</v>
      </c>
    </row>
    <row r="1092" spans="1:3" ht="15.75" customHeight="1" x14ac:dyDescent="0.25">
      <c r="A1092" s="2" t="s">
        <v>1094</v>
      </c>
      <c r="B1092" s="3" t="s">
        <v>2</v>
      </c>
      <c r="C1092" s="2" t="str">
        <f ca="1">IFERROR(__xludf.DUMMYFUNCTION("GOOGLETRANSLATE(A1092,""bn"",""en"")"),"The mouse pad works but the size is a bit small")</f>
        <v>The mouse pad works but the size is a bit small</v>
      </c>
    </row>
    <row r="1093" spans="1:3" ht="15.75" customHeight="1" x14ac:dyDescent="0.25">
      <c r="A1093" s="2" t="s">
        <v>1095</v>
      </c>
      <c r="B1093" s="3" t="s">
        <v>2</v>
      </c>
      <c r="C1093" s="2" t="str">
        <f ca="1">IFERROR(__xludf.DUMMYFUNCTION("GOOGLETRANSLATE(A1093,""bn"",""en"")"),"Each pad is individually wrapped")</f>
        <v>Each pad is individually wrapped</v>
      </c>
    </row>
    <row r="1094" spans="1:3" ht="15.75" customHeight="1" x14ac:dyDescent="0.25">
      <c r="A1094" s="2" t="s">
        <v>1096</v>
      </c>
      <c r="B1094" s="3" t="s">
        <v>6</v>
      </c>
      <c r="C1094" s="2" t="str">
        <f ca="1">IFERROR(__xludf.DUMMYFUNCTION("GOOGLETRANSLATE(A1094,""bn"",""en"")"),"The hand cream is heavily scented causing allergies and sensitivities in some users")</f>
        <v>The hand cream is heavily scented causing allergies and sensitivities in some users</v>
      </c>
    </row>
    <row r="1095" spans="1:3" ht="15.75" customHeight="1" x14ac:dyDescent="0.25">
      <c r="A1095" s="2" t="s">
        <v>1097</v>
      </c>
      <c r="B1095" s="3" t="s">
        <v>4</v>
      </c>
      <c r="C1095" s="2" t="str">
        <f ca="1">IFERROR(__xludf.DUMMYFUNCTION("GOOGLETRANSLATE(A1095,""bn"",""en"")"),"The plastic flower is incredibly realistic")</f>
        <v>The plastic flower is incredibly realistic</v>
      </c>
    </row>
    <row r="1096" spans="1:3" ht="15.75" customHeight="1" x14ac:dyDescent="0.25">
      <c r="A1096" s="2" t="s">
        <v>1098</v>
      </c>
      <c r="B1096" s="3" t="s">
        <v>2</v>
      </c>
      <c r="C1096" s="2" t="str">
        <f ca="1">IFERROR(__xludf.DUMMYFUNCTION("GOOGLETRANSLATE(A1096,""bn"",""en"")"),"General design")</f>
        <v>General design</v>
      </c>
    </row>
    <row r="1097" spans="1:3" ht="15.75" customHeight="1" x14ac:dyDescent="0.25">
      <c r="A1097" s="2" t="s">
        <v>1099</v>
      </c>
      <c r="B1097" s="3" t="s">
        <v>2</v>
      </c>
      <c r="C1097" s="2" t="str">
        <f ca="1">IFERROR(__xludf.DUMMYFUNCTION("GOOGLETRANSLATE(A1097,""bn"",""en"")"),"Size is ok but feels a bit rigid")</f>
        <v>Size is ok but feels a bit rigid</v>
      </c>
    </row>
    <row r="1098" spans="1:3" ht="15.75" customHeight="1" x14ac:dyDescent="0.25">
      <c r="A1098" s="2" t="s">
        <v>1100</v>
      </c>
      <c r="B1098" s="3" t="s">
        <v>6</v>
      </c>
      <c r="C1098" s="2" t="str">
        <f ca="1">IFERROR(__xludf.DUMMYFUNCTION("GOOGLETRANSLATE(A1098,""bn"",""en"")"),"The zipper does not close properly")</f>
        <v>The zipper does not close properly</v>
      </c>
    </row>
    <row r="1099" spans="1:3" ht="15.75" customHeight="1" x14ac:dyDescent="0.25">
      <c r="A1099" s="2" t="s">
        <v>1101</v>
      </c>
      <c r="B1099" s="3" t="s">
        <v>2</v>
      </c>
      <c r="C1099" s="2" t="str">
        <f ca="1">IFERROR(__xludf.DUMMYFUNCTION("GOOGLETRANSLATE(A1099,""bn"",""en"")"),"Sufficient for daily work but hard to say if it will last long")</f>
        <v>Sufficient for daily work but hard to say if it will last long</v>
      </c>
    </row>
    <row r="1100" spans="1:3" ht="15.75" customHeight="1" x14ac:dyDescent="0.25">
      <c r="A1100" s="2" t="s">
        <v>1102</v>
      </c>
      <c r="B1100" s="3" t="s">
        <v>6</v>
      </c>
      <c r="C1100" s="2" t="str">
        <f ca="1">IFERROR(__xludf.DUMMYFUNCTION("GOOGLETRANSLATE(A1100,""bn"",""en"")"),"Packaged granola bars were overly sweet and lacked nutritional value with artificial flavors")</f>
        <v>Packaged granola bars were overly sweet and lacked nutritional value with artificial flavors</v>
      </c>
    </row>
    <row r="1101" spans="1:3" ht="15.75" customHeight="1" x14ac:dyDescent="0.25">
      <c r="A1101" s="2" t="s">
        <v>1103</v>
      </c>
      <c r="B1101" s="3" t="s">
        <v>2</v>
      </c>
      <c r="C1101" s="2" t="str">
        <f ca="1">IFERROR(__xludf.DUMMYFUNCTION("GOOGLETRANSLATE(A1101,""bn"",""en"")"),"It meets my needs but I'm not particularly impressed")</f>
        <v>It meets my needs but I'm not particularly impressed</v>
      </c>
    </row>
    <row r="1102" spans="1:3" ht="15.75" customHeight="1" x14ac:dyDescent="0.25">
      <c r="A1102" s="2" t="s">
        <v>1104</v>
      </c>
      <c r="B1102" s="3" t="s">
        <v>2</v>
      </c>
      <c r="C1102" s="2" t="str">
        <f ca="1">IFERROR(__xludf.DUMMYFUNCTION("GOOGLETRANSLATE(A1102,""bn"",""en"")"),"Quality is fair for the price")</f>
        <v>Quality is fair for the price</v>
      </c>
    </row>
    <row r="1103" spans="1:3" ht="15.75" customHeight="1" x14ac:dyDescent="0.25">
      <c r="A1103" s="2" t="s">
        <v>1105</v>
      </c>
      <c r="B1103" s="3" t="s">
        <v>6</v>
      </c>
      <c r="C1103" s="2" t="str">
        <f ca="1">IFERROR(__xludf.DUMMYFUNCTION("GOOGLETRANSLATE(A1103,""bn"",""en"")"),"Came with a broken zipper that was impossible to wear without repair")</f>
        <v>Came with a broken zipper that was impossible to wear without repair</v>
      </c>
    </row>
    <row r="1104" spans="1:3" ht="15.75" customHeight="1" x14ac:dyDescent="0.25">
      <c r="A1104" s="2" t="s">
        <v>1106</v>
      </c>
      <c r="B1104" s="3" t="s">
        <v>4</v>
      </c>
      <c r="C1104" s="2" t="str">
        <f ca="1">IFERROR(__xludf.DUMMYFUNCTION("GOOGLETRANSLATE(A1104,""bn"",""en"")"),"Makeup brushes create the perfect look")</f>
        <v>Makeup brushes create the perfect look</v>
      </c>
    </row>
    <row r="1105" spans="1:3" ht="15.75" customHeight="1" x14ac:dyDescent="0.25">
      <c r="A1105" s="2" t="s">
        <v>1107</v>
      </c>
      <c r="B1105" s="3" t="s">
        <v>6</v>
      </c>
      <c r="C1105" s="2" t="str">
        <f ca="1">IFERROR(__xludf.DUMMYFUNCTION("GOOGLETRANSLATE(A1105,""bn"",""en"")"),"Hairspray didn't hold my hair in place and my hair was frizzy")</f>
        <v>Hairspray didn't hold my hair in place and my hair was frizzy</v>
      </c>
    </row>
    <row r="1106" spans="1:3" ht="15.75" customHeight="1" x14ac:dyDescent="0.25">
      <c r="A1106" s="2" t="s">
        <v>1108</v>
      </c>
      <c r="B1106" s="3" t="s">
        <v>6</v>
      </c>
      <c r="C1106" s="2" t="str">
        <f ca="1">IFERROR(__xludf.DUMMYFUNCTION("GOOGLETRANSLATE(A1106,""bn"",""en"")"),"Many of the products are very small and easily lost")</f>
        <v>Many of the products are very small and easily lost</v>
      </c>
    </row>
    <row r="1107" spans="1:3" ht="15.75" customHeight="1" x14ac:dyDescent="0.25">
      <c r="A1107" s="2" t="s">
        <v>1109</v>
      </c>
      <c r="B1107" s="3" t="s">
        <v>6</v>
      </c>
      <c r="C1107" s="2" t="str">
        <f ca="1">IFERROR(__xludf.DUMMYFUNCTION("GOOGLETRANSLATE(A1107,""bn"",""en"")"),"The dress had loose sequins that easily fell off the fabric")</f>
        <v>The dress had loose sequins that easily fell off the fabric</v>
      </c>
    </row>
    <row r="1108" spans="1:3" ht="15.75" customHeight="1" x14ac:dyDescent="0.25">
      <c r="A1108" s="2" t="s">
        <v>1110</v>
      </c>
      <c r="B1108" s="3" t="s">
        <v>4</v>
      </c>
      <c r="C1108" s="2" t="str">
        <f ca="1">IFERROR(__xludf.DUMMYFUNCTION("GOOGLETRANSLATE(A1108,""bn"",""en"")"),"Words cannot explain the product is very good ")</f>
        <v xml:space="preserve">Words cannot explain the product is very good </v>
      </c>
    </row>
    <row r="1109" spans="1:3" ht="15.75" customHeight="1" x14ac:dyDescent="0.25">
      <c r="A1109" s="2" t="s">
        <v>1111</v>
      </c>
      <c r="B1109" s="3" t="s">
        <v>2</v>
      </c>
      <c r="C1109" s="2" t="str">
        <f ca="1">IFERROR(__xludf.DUMMYFUNCTION("GOOGLETRANSLATE(A1109,""bn"",""en"")"),"Suitable for heavy flow days")</f>
        <v>Suitable for heavy flow days</v>
      </c>
    </row>
    <row r="1110" spans="1:3" ht="15.75" customHeight="1" x14ac:dyDescent="0.25">
      <c r="A1110" s="2" t="s">
        <v>1112</v>
      </c>
      <c r="B1110" s="3" t="s">
        <v>6</v>
      </c>
      <c r="C1110" s="2" t="str">
        <f ca="1">IFERROR(__xludf.DUMMYFUNCTION("GOOGLETRANSLATE(A1110,""bn"",""en"")"),"No seal not sure if the product is unused")</f>
        <v>No seal not sure if the product is unused</v>
      </c>
    </row>
    <row r="1111" spans="1:3" ht="15.75" customHeight="1" x14ac:dyDescent="0.25">
      <c r="A1111" s="2" t="s">
        <v>1113</v>
      </c>
      <c r="B1111" s="3" t="s">
        <v>4</v>
      </c>
      <c r="C1111" s="2" t="str">
        <f ca="1">IFERROR(__xludf.DUMMYFUNCTION("GOOGLETRANSLATE(A1111,""bn"",""en"")"),"Amazon Basics Micro SDXC is the unsung hero of digital storage")</f>
        <v>Amazon Basics Micro SDXC is the unsung hero of digital storage</v>
      </c>
    </row>
    <row r="1112" spans="1:3" ht="15.75" customHeight="1" x14ac:dyDescent="0.25">
      <c r="A1112" s="2" t="s">
        <v>1114</v>
      </c>
      <c r="B1112" s="3" t="s">
        <v>6</v>
      </c>
      <c r="C1112" s="2" t="str">
        <f ca="1">IFERROR(__xludf.DUMMYFUNCTION("GOOGLETRANSLATE(A1112,""bn"",""en"")"),"There was noticeable motion blur on the screen during fast-paced scenes which affected picture quality")</f>
        <v>There was noticeable motion blur on the screen during fast-paced scenes which affected picture quality</v>
      </c>
    </row>
    <row r="1113" spans="1:3" ht="15.75" customHeight="1" x14ac:dyDescent="0.25">
      <c r="A1113" s="2" t="s">
        <v>1115</v>
      </c>
      <c r="B1113" s="3" t="s">
        <v>2</v>
      </c>
      <c r="C1113" s="2" t="str">
        <f ca="1">IFERROR(__xludf.DUMMYFUNCTION("GOOGLETRANSLATE(A1113,""bn"",""en"")"),"Coffee storage instructions are provided on the packet")</f>
        <v>Coffee storage instructions are provided on the packet</v>
      </c>
    </row>
    <row r="1114" spans="1:3" ht="15.75" customHeight="1" x14ac:dyDescent="0.25">
      <c r="A1114" s="2" t="s">
        <v>1116</v>
      </c>
      <c r="B1114" s="3" t="s">
        <v>4</v>
      </c>
      <c r="C1114" s="2" t="str">
        <f ca="1">IFERROR(__xludf.DUMMYFUNCTION("GOOGLETRANSLATE(A1114,""bn"",""en"")"),"Since it is portable, you can take it wherever you want, so the fun is doubled when you take it on a picnic")</f>
        <v>Since it is portable, you can take it wherever you want, so the fun is doubled when you take it on a picnic</v>
      </c>
    </row>
    <row r="1115" spans="1:3" ht="15.75" customHeight="1" x14ac:dyDescent="0.25">
      <c r="A1115" s="2" t="s">
        <v>1117</v>
      </c>
      <c r="B1115" s="3" t="s">
        <v>4</v>
      </c>
      <c r="C1115" s="2" t="str">
        <f ca="1">IFERROR(__xludf.DUMMYFUNCTION("GOOGLETRANSLATE(A1115,""bn"",""en"")"),"Best of all, this dinner set is microwave and dishwasher safe making it very easy to use and clean.")</f>
        <v>Best of all, this dinner set is microwave and dishwasher safe making it very easy to use and clean.</v>
      </c>
    </row>
    <row r="1116" spans="1:3" ht="15.75" customHeight="1" x14ac:dyDescent="0.25">
      <c r="A1116" s="2" t="s">
        <v>1118</v>
      </c>
      <c r="B1116" s="3" t="s">
        <v>4</v>
      </c>
      <c r="C1116" s="2" t="str">
        <f ca="1">IFERROR(__xludf.DUMMYFUNCTION("GOOGLETRANSLATE(A1116,""bn"",""en"")"),"The storage capacity of the device is very high")</f>
        <v>The storage capacity of the device is very high</v>
      </c>
    </row>
    <row r="1117" spans="1:3" ht="15.75" customHeight="1" x14ac:dyDescent="0.25">
      <c r="A1117" s="2" t="s">
        <v>1119</v>
      </c>
      <c r="B1117" s="3" t="s">
        <v>6</v>
      </c>
      <c r="C1117" s="2" t="str">
        <f ca="1">IFERROR(__xludf.DUMMYFUNCTION("GOOGLETRANSLATE(A1117,""bn"",""en"")"),"Constant dripping from the spout creates a puddle on the countertop")</f>
        <v>Constant dripping from the spout creates a puddle on the countertop</v>
      </c>
    </row>
    <row r="1118" spans="1:3" ht="15.75" customHeight="1" x14ac:dyDescent="0.25">
      <c r="A1118" s="2" t="s">
        <v>1120</v>
      </c>
      <c r="B1118" s="3" t="s">
        <v>4</v>
      </c>
      <c r="C1118" s="2" t="str">
        <f ca="1">IFERROR(__xludf.DUMMYFUNCTION("GOOGLETRANSLATE(A1118,""bn"",""en"")"),"Bought this doll for my daughter's birthday last week and she was smitten the first time she saw it")</f>
        <v>Bought this doll for my daughter's birthday last week and she was smitten the first time she saw it</v>
      </c>
    </row>
    <row r="1119" spans="1:3" ht="15.75" customHeight="1" x14ac:dyDescent="0.25">
      <c r="A1119" s="2" t="s">
        <v>1121</v>
      </c>
      <c r="B1119" s="3" t="s">
        <v>2</v>
      </c>
      <c r="C1119" s="2" t="str">
        <f ca="1">IFERROR(__xludf.DUMMYFUNCTION("GOOGLETRANSLATE(A1119,""bn"",""en"")"),"Water may spill if moved during use")</f>
        <v>Water may spill if moved during use</v>
      </c>
    </row>
    <row r="1120" spans="1:3" ht="15.75" customHeight="1" x14ac:dyDescent="0.25">
      <c r="A1120" s="2" t="s">
        <v>1122</v>
      </c>
      <c r="B1120" s="3" t="s">
        <v>4</v>
      </c>
      <c r="C1120" s="2" t="str">
        <f ca="1">IFERROR(__xludf.DUMMYFUNCTION("GOOGLETRANSLATE(A1120,""bn"",""en"")"),"The filter is very effective")</f>
        <v>The filter is very effective</v>
      </c>
    </row>
    <row r="1121" spans="1:3" ht="15.75" customHeight="1" x14ac:dyDescent="0.25">
      <c r="A1121" s="2" t="s">
        <v>1123</v>
      </c>
      <c r="B1121" s="3" t="s">
        <v>2</v>
      </c>
      <c r="C1121" s="2" t="str">
        <f ca="1">IFERROR(__xludf.DUMMYFUNCTION("GOOGLETRANSLATE(A1121,""bn"",""en"")"),"The mop cloth can last longer")</f>
        <v>The mop cloth can last longer</v>
      </c>
    </row>
    <row r="1122" spans="1:3" ht="15.75" customHeight="1" x14ac:dyDescent="0.25">
      <c r="A1122" s="2" t="s">
        <v>1124</v>
      </c>
      <c r="B1122" s="3" t="s">
        <v>2</v>
      </c>
      <c r="C1122" s="2" t="str">
        <f ca="1">IFERROR(__xludf.DUMMYFUNCTION("GOOGLETRANSLATE(A1122,""bn"",""en"")"),"There is a fear of breaking the bottle")</f>
        <v>There is a fear of breaking the bottle</v>
      </c>
    </row>
    <row r="1123" spans="1:3" ht="15.75" customHeight="1" x14ac:dyDescent="0.25">
      <c r="A1123" s="2" t="s">
        <v>1125</v>
      </c>
      <c r="B1123" s="3" t="s">
        <v>2</v>
      </c>
      <c r="C1123" s="2" t="str">
        <f ca="1">IFERROR(__xludf.DUMMYFUNCTION("GOOGLETRANSLATE(A1123,""bn"",""en"")"),"Cricket stumps are light but not durable")</f>
        <v>Cricket stumps are light but not durable</v>
      </c>
    </row>
    <row r="1124" spans="1:3" ht="15.75" customHeight="1" x14ac:dyDescent="0.25">
      <c r="A1124" s="2" t="s">
        <v>1126</v>
      </c>
      <c r="B1124" s="3" t="s">
        <v>4</v>
      </c>
      <c r="C1124" s="2" t="str">
        <f ca="1">IFERROR(__xludf.DUMMYFUNCTION("GOOGLETRANSLATE(A1124,""bn"",""en"")"),"Its packaging is quite attractive")</f>
        <v>Its packaging is quite attractive</v>
      </c>
    </row>
    <row r="1125" spans="1:3" ht="15.75" customHeight="1" x14ac:dyDescent="0.25">
      <c r="A1125" s="2" t="s">
        <v>1127</v>
      </c>
      <c r="B1125" s="3" t="s">
        <v>6</v>
      </c>
      <c r="C1125" s="2" t="str">
        <f ca="1">IFERROR(__xludf.DUMMYFUNCTION("GOOGLETRANSLATE(A1125,""bn"",""en"")"),"The smart water bottle lid hinge is broken and cannot be closed properly")</f>
        <v>The smart water bottle lid hinge is broken and cannot be closed properly</v>
      </c>
    </row>
    <row r="1126" spans="1:3" ht="15.75" customHeight="1" x14ac:dyDescent="0.25">
      <c r="A1126" s="2" t="s">
        <v>1128</v>
      </c>
      <c r="B1126" s="3" t="s">
        <v>2</v>
      </c>
      <c r="C1126" s="2" t="str">
        <f ca="1">IFERROR(__xludf.DUMMYFUNCTION("GOOGLETRANSLATE(A1126,""bn"",""en"")"),"Better than my old AirPods but not much of an improvement")</f>
        <v>Better than my old AirPods but not much of an improvement</v>
      </c>
    </row>
    <row r="1127" spans="1:3" ht="15.75" customHeight="1" x14ac:dyDescent="0.25">
      <c r="A1127" s="2" t="s">
        <v>1129</v>
      </c>
      <c r="B1127" s="3" t="s">
        <v>6</v>
      </c>
      <c r="C1127" s="2" t="str">
        <f ca="1">IFERROR(__xludf.DUMMYFUNCTION("GOOGLETRANSLATE(A1127,""bn"",""en"")"),"The bottle is torn and cracked which makes it unusable")</f>
        <v>The bottle is torn and cracked which makes it unusable</v>
      </c>
    </row>
    <row r="1128" spans="1:3" ht="15.75" customHeight="1" x14ac:dyDescent="0.25">
      <c r="A1128" s="2" t="s">
        <v>1130</v>
      </c>
      <c r="B1128" s="3" t="s">
        <v>2</v>
      </c>
      <c r="C1128" s="2" t="str">
        <f ca="1">IFERROR(__xludf.DUMMYFUNCTION("GOOGLETRANSLATE(A1128,""bn"",""en"")"),"The design is traditional")</f>
        <v>The design is traditional</v>
      </c>
    </row>
    <row r="1129" spans="1:3" ht="15.75" customHeight="1" x14ac:dyDescent="0.25">
      <c r="A1129" s="2" t="s">
        <v>1131</v>
      </c>
      <c r="B1129" s="3" t="s">
        <v>2</v>
      </c>
      <c r="C1129" s="2" t="str">
        <f ca="1">IFERROR(__xludf.DUMMYFUNCTION("GOOGLETRANSLATE(A1129,""bn"",""en"")"),"The fertilizer is suitable for the land but other problems still remain")</f>
        <v>The fertilizer is suitable for the land but other problems still remain</v>
      </c>
    </row>
    <row r="1130" spans="1:3" ht="15.75" customHeight="1" x14ac:dyDescent="0.25">
      <c r="A1130" s="2" t="s">
        <v>1132</v>
      </c>
      <c r="B1130" s="3" t="s">
        <v>6</v>
      </c>
      <c r="C1130" s="2" t="str">
        <f ca="1">IFERROR(__xludf.DUMMYFUNCTION("GOOGLETRANSLATE(A1130,""bn"",""en"")"),"The colors in the bath bombs stained my skin which required scrubbing to remove")</f>
        <v>The colors in the bath bombs stained my skin which required scrubbing to remove</v>
      </c>
    </row>
    <row r="1131" spans="1:3" ht="15.75" customHeight="1" x14ac:dyDescent="0.25">
      <c r="A1131" s="2" t="s">
        <v>1133</v>
      </c>
      <c r="B1131" s="3" t="s">
        <v>4</v>
      </c>
      <c r="C1131" s="2" t="str">
        <f ca="1">IFERROR(__xludf.DUMMYFUNCTION("GOOGLETRANSLATE(A1131,""bn"",""en"")"),"I feel the hard work and love behind every kiss")</f>
        <v>I feel the hard work and love behind every kiss</v>
      </c>
    </row>
    <row r="1132" spans="1:3" ht="15.75" customHeight="1" x14ac:dyDescent="0.25">
      <c r="A1132" s="2" t="s">
        <v>1134</v>
      </c>
      <c r="B1132" s="3" t="s">
        <v>4</v>
      </c>
      <c r="C1132" s="2" t="str">
        <f ca="1">IFERROR(__xludf.DUMMYFUNCTION("GOOGLETRANSLATE(A1132,""bn"",""en"")"),"Each product in the kit is of high quality")</f>
        <v>Each product in the kit is of high quality</v>
      </c>
    </row>
    <row r="1133" spans="1:3" ht="15.75" customHeight="1" x14ac:dyDescent="0.25">
      <c r="A1133" s="2" t="s">
        <v>1135</v>
      </c>
      <c r="B1133" s="3" t="s">
        <v>2</v>
      </c>
      <c r="C1133" s="2" t="str">
        <f ca="1">IFERROR(__xludf.DUMMYFUNCTION("GOOGLETRANSLATE(A1133,""bn"",""en"")"),"The quality is better than the cheap ones at craft stores but may not last as long")</f>
        <v>The quality is better than the cheap ones at craft stores but may not last as long</v>
      </c>
    </row>
    <row r="1134" spans="1:3" ht="15.75" customHeight="1" x14ac:dyDescent="0.25">
      <c r="A1134" s="2" t="s">
        <v>1136</v>
      </c>
      <c r="B1134" s="3" t="s">
        <v>4</v>
      </c>
      <c r="C1134" s="2" t="str">
        <f ca="1">IFERROR(__xludf.DUMMYFUNCTION("GOOGLETRANSLATE(A1134,""bn"",""en"")"),"A wonderful product that everyone can buy, I got exactly what I saw")</f>
        <v>A wonderful product that everyone can buy, I got exactly what I saw</v>
      </c>
    </row>
    <row r="1135" spans="1:3" ht="15.75" customHeight="1" x14ac:dyDescent="0.25">
      <c r="A1135" s="2" t="s">
        <v>1137</v>
      </c>
      <c r="B1135" s="3" t="s">
        <v>2</v>
      </c>
      <c r="C1135" s="2" t="str">
        <f ca="1">IFERROR(__xludf.DUMMYFUNCTION("GOOGLETRANSLATE(A1135,""bn"",""en"")"),"The quilt is not cotton but felt normal")</f>
        <v>The quilt is not cotton but felt normal</v>
      </c>
    </row>
    <row r="1136" spans="1:3" ht="15.75" customHeight="1" x14ac:dyDescent="0.25">
      <c r="A1136" s="2" t="s">
        <v>1138</v>
      </c>
      <c r="B1136" s="3" t="s">
        <v>4</v>
      </c>
      <c r="C1136" s="2" t="str">
        <f ca="1">IFERROR(__xludf.DUMMYFUNCTION("GOOGLETRANSLATE(A1136,""bn"",""en"")"),"The packaging that came with the set was very attractive making it perfect for gifting as well")</f>
        <v>The packaging that came with the set was very attractive making it perfect for gifting as well</v>
      </c>
    </row>
    <row r="1137" spans="1:3" ht="15.75" customHeight="1" x14ac:dyDescent="0.25">
      <c r="A1137" s="2" t="s">
        <v>1139</v>
      </c>
      <c r="B1137" s="3" t="s">
        <v>2</v>
      </c>
      <c r="C1137" s="2" t="str">
        <f ca="1">IFERROR(__xludf.DUMMYFUNCTION("GOOGLETRANSLATE(A1137,""bn"",""en"")"),"The taste is moderate not too bitter or sour")</f>
        <v>The taste is moderate not too bitter or sour</v>
      </c>
    </row>
    <row r="1138" spans="1:3" ht="15.75" customHeight="1" x14ac:dyDescent="0.25">
      <c r="A1138" s="2" t="s">
        <v>1140</v>
      </c>
      <c r="B1138" s="3" t="s">
        <v>2</v>
      </c>
      <c r="C1138" s="2" t="str">
        <f ca="1">IFERROR(__xludf.DUMMYFUNCTION("GOOGLETRANSLATE(A1138,""bn"",""en"")"),"Although the plant health was somewhat better, the fertilizer did not help the yield much")</f>
        <v>Although the plant health was somewhat better, the fertilizer did not help the yield much</v>
      </c>
    </row>
    <row r="1139" spans="1:3" ht="15.75" customHeight="1" x14ac:dyDescent="0.25">
      <c r="A1139" s="2" t="s">
        <v>1141</v>
      </c>
      <c r="B1139" s="3" t="s">
        <v>4</v>
      </c>
      <c r="C1139" s="2" t="str">
        <f ca="1">IFERROR(__xludf.DUMMYFUNCTION("GOOGLETRANSLATE(A1139,""bn"",""en"")"),"Every chapter was thrilling")</f>
        <v>Every chapter was thrilling</v>
      </c>
    </row>
    <row r="1140" spans="1:3" ht="15.75" customHeight="1" x14ac:dyDescent="0.25">
      <c r="A1140" s="2" t="s">
        <v>1142</v>
      </c>
      <c r="B1140" s="3" t="s">
        <v>4</v>
      </c>
      <c r="C1140" s="2" t="str">
        <f ca="1">IFERROR(__xludf.DUMMYFUNCTION("GOOGLETRANSLATE(A1140,""bn"",""en"")"),"The light of this lamp is very soft and comfortable for the eyes")</f>
        <v>The light of this lamp is very soft and comfortable for the eyes</v>
      </c>
    </row>
    <row r="1141" spans="1:3" ht="15.75" customHeight="1" x14ac:dyDescent="0.25">
      <c r="A1141" s="2" t="s">
        <v>1143</v>
      </c>
      <c r="B1141" s="3" t="s">
        <v>6</v>
      </c>
      <c r="C1141" s="2" t="str">
        <f ca="1">IFERROR(__xludf.DUMMYFUNCTION("GOOGLETRANSLATE(A1141,""bn"",""en"")"),"The build quality of the product was questionable")</f>
        <v>The build quality of the product was questionable</v>
      </c>
    </row>
    <row r="1142" spans="1:3" ht="15.75" customHeight="1" x14ac:dyDescent="0.25">
      <c r="A1142" s="2" t="s">
        <v>1144</v>
      </c>
      <c r="B1142" s="3" t="s">
        <v>6</v>
      </c>
      <c r="C1142" s="2" t="str">
        <f ca="1">IFERROR(__xludf.DUMMYFUNCTION("GOOGLETRANSLATE(A1142,""bn"",""en"")"),"The distorted shape makes it prone to overturning")</f>
        <v>The distorted shape makes it prone to overturning</v>
      </c>
    </row>
    <row r="1143" spans="1:3" ht="15.75" customHeight="1" x14ac:dyDescent="0.25">
      <c r="A1143" s="2" t="s">
        <v>1145</v>
      </c>
      <c r="B1143" s="3" t="s">
        <v>2</v>
      </c>
      <c r="C1143" s="2" t="str">
        <f ca="1">IFERROR(__xludf.DUMMYFUNCTION("GOOGLETRANSLATE(A1143,""bn"",""en"")"),"Excessive pressure may damage the screen")</f>
        <v>Excessive pressure may damage the screen</v>
      </c>
    </row>
    <row r="1144" spans="1:3" ht="15.75" customHeight="1" x14ac:dyDescent="0.25">
      <c r="A1144" s="2" t="s">
        <v>1146</v>
      </c>
      <c r="B1144" s="3" t="s">
        <v>2</v>
      </c>
      <c r="C1144" s="2" t="str">
        <f ca="1">IFERROR(__xludf.DUMMYFUNCTION("GOOGLETRANSLATE(A1144,""bn"",""en"")"),"Not to be used without medical advice")</f>
        <v>Not to be used without medical advice</v>
      </c>
    </row>
    <row r="1145" spans="1:3" ht="15.75" customHeight="1" x14ac:dyDescent="0.25">
      <c r="A1145" s="2" t="s">
        <v>1147</v>
      </c>
      <c r="B1145" s="3" t="s">
        <v>4</v>
      </c>
      <c r="C1145" s="2" t="str">
        <f ca="1">IFERROR(__xludf.DUMMYFUNCTION("GOOGLETRANSLATE(A1145,""bn"",""en"")"),"Best quality and great battery life of any tracking device")</f>
        <v>Best quality and great battery life of any tracking device</v>
      </c>
    </row>
    <row r="1146" spans="1:3" ht="15.75" customHeight="1" x14ac:dyDescent="0.25">
      <c r="A1146" s="2" t="s">
        <v>1148</v>
      </c>
      <c r="B1146" s="3" t="s">
        <v>6</v>
      </c>
      <c r="C1146" s="2" t="str">
        <f ca="1">IFERROR(__xludf.DUMMYFUNCTION("GOOGLETRANSLATE(A1146,""bn"",""en"")"),"Clothing materials emit harmful chemicals that pose a risk to indoor air quality and health")</f>
        <v>Clothing materials emit harmful chemicals that pose a risk to indoor air quality and health</v>
      </c>
    </row>
    <row r="1147" spans="1:3" ht="15.75" customHeight="1" x14ac:dyDescent="0.25">
      <c r="A1147" s="2" t="s">
        <v>1149</v>
      </c>
      <c r="B1147" s="3" t="s">
        <v>6</v>
      </c>
      <c r="C1147" s="2" t="str">
        <f ca="1">IFERROR(__xludf.DUMMYFUNCTION("GOOGLETRANSLATE(A1147,""bn"",""en"")"),"Touchscreen is sometimes unresponsive requiring multiple taps to register input")</f>
        <v>Touchscreen is sometimes unresponsive requiring multiple taps to register input</v>
      </c>
    </row>
    <row r="1148" spans="1:3" ht="15.75" customHeight="1" x14ac:dyDescent="0.25">
      <c r="A1148" s="2" t="s">
        <v>1150</v>
      </c>
      <c r="B1148" s="3" t="s">
        <v>2</v>
      </c>
      <c r="C1148" s="2" t="str">
        <f ca="1">IFERROR(__xludf.DUMMYFUNCTION("GOOGLETRANSLATE(A1148,""bn"",""en"")"),"Slightly lower price than other brands")</f>
        <v>Slightly lower price than other brands</v>
      </c>
    </row>
    <row r="1149" spans="1:3" ht="15.75" customHeight="1" x14ac:dyDescent="0.25">
      <c r="A1149" s="2" t="s">
        <v>1151</v>
      </c>
      <c r="B1149" s="3" t="s">
        <v>6</v>
      </c>
      <c r="C1149" s="2" t="str">
        <f ca="1">IFERROR(__xludf.DUMMYFUNCTION("GOOGLETRANSLATE(A1149,""bn"",""en"")"),"The size or dimensions of the product were inconvenient for practical use")</f>
        <v>The size or dimensions of the product were inconvenient for practical use</v>
      </c>
    </row>
    <row r="1150" spans="1:3" ht="15.75" customHeight="1" x14ac:dyDescent="0.25">
      <c r="A1150" s="2" t="s">
        <v>1152</v>
      </c>
      <c r="B1150" s="3" t="s">
        <v>2</v>
      </c>
      <c r="C1150" s="2" t="str">
        <f ca="1">IFERROR(__xludf.DUMMYFUNCTION("GOOGLETRANSLATE(A1150,""bn"",""en"")"),"It appears to be a common sharpener")</f>
        <v>It appears to be a common sharpener</v>
      </c>
    </row>
    <row r="1151" spans="1:3" ht="15.75" customHeight="1" x14ac:dyDescent="0.25">
      <c r="A1151" s="2" t="s">
        <v>1153</v>
      </c>
      <c r="B1151" s="3" t="s">
        <v>6</v>
      </c>
      <c r="C1151" s="2" t="str">
        <f ca="1">IFERROR(__xludf.DUMMYFUNCTION("GOOGLETRANSLATE(A1151,""bn"",""en"")"),"Dirty Rabbit strikes again and is covered in dirt or dust")</f>
        <v>Dirty Rabbit strikes again and is covered in dirt or dust</v>
      </c>
    </row>
    <row r="1152" spans="1:3" ht="15.75" customHeight="1" x14ac:dyDescent="0.25">
      <c r="A1152" s="2" t="s">
        <v>1154</v>
      </c>
      <c r="B1152" s="3" t="s">
        <v>6</v>
      </c>
      <c r="C1152" s="2" t="str">
        <f ca="1">IFERROR(__xludf.DUMMYFUNCTION("GOOGLETRANSLATE(A1152,""bn"",""en"")"),"The charging case of the wireless earbuds failed to charge the earbuds consistently")</f>
        <v>The charging case of the wireless earbuds failed to charge the earbuds consistently</v>
      </c>
    </row>
    <row r="1153" spans="1:3" ht="15.75" customHeight="1" x14ac:dyDescent="0.25">
      <c r="A1153" s="2" t="s">
        <v>1155</v>
      </c>
      <c r="B1153" s="3" t="s">
        <v>4</v>
      </c>
      <c r="C1153" s="2" t="str">
        <f ca="1">IFERROR(__xludf.DUMMYFUNCTION("GOOGLETRANSLATE(A1153,""bn"",""en"")"),"It is remarkable for softness and softness")</f>
        <v>It is remarkable for softness and softness</v>
      </c>
    </row>
    <row r="1154" spans="1:3" ht="15.75" customHeight="1" x14ac:dyDescent="0.25">
      <c r="A1154" s="2" t="s">
        <v>1156</v>
      </c>
      <c r="B1154" s="3" t="s">
        <v>6</v>
      </c>
      <c r="C1154" s="2" t="str">
        <f ca="1">IFERROR(__xludf.DUMMYFUNCTION("GOOGLETRANSLATE(A1154,""bn"",""en"")"),"Fabric pills easily after a few wears")</f>
        <v>Fabric pills easily after a few wears</v>
      </c>
    </row>
    <row r="1155" spans="1:3" ht="15.75" customHeight="1" x14ac:dyDescent="0.25">
      <c r="A1155" s="2" t="s">
        <v>1157</v>
      </c>
      <c r="B1155" s="3" t="s">
        <v>6</v>
      </c>
      <c r="C1155" s="2" t="str">
        <f ca="1">IFERROR(__xludf.DUMMYFUNCTION("GOOGLETRANSLATE(A1155,""bn"",""en"")"),"Paint colors had a grainy texture that affected smooth application")</f>
        <v>Paint colors had a grainy texture that affected smooth application</v>
      </c>
    </row>
    <row r="1156" spans="1:3" ht="15.75" customHeight="1" x14ac:dyDescent="0.25">
      <c r="A1156" s="2" t="s">
        <v>1158</v>
      </c>
      <c r="B1156" s="3" t="s">
        <v>6</v>
      </c>
      <c r="C1156" s="2" t="str">
        <f ca="1">IFERROR(__xludf.DUMMYFUNCTION("GOOGLETRANSLATE(A1156,""bn"",""en"")"),"Packaged guacamole had an artificial flavor and lacked the freshness of homemade with a thin texture")</f>
        <v>Packaged guacamole had an artificial flavor and lacked the freshness of homemade with a thin texture</v>
      </c>
    </row>
    <row r="1157" spans="1:3" ht="15.75" customHeight="1" x14ac:dyDescent="0.25">
      <c r="A1157" s="2" t="s">
        <v>1159</v>
      </c>
      <c r="B1157" s="3" t="s">
        <v>6</v>
      </c>
      <c r="C1157" s="2" t="str">
        <f ca="1">IFERROR(__xludf.DUMMYFUNCTION("GOOGLETRANSLATE(A1157,""bn"",""en"")"),"The shower gel bottle cracked and leaked spoiling the product and creating a mess")</f>
        <v>The shower gel bottle cracked and leaked spoiling the product and creating a mess</v>
      </c>
    </row>
    <row r="1158" spans="1:3" ht="15.75" customHeight="1" x14ac:dyDescent="0.25">
      <c r="A1158" s="2" t="s">
        <v>1160</v>
      </c>
      <c r="B1158" s="3" t="s">
        <v>4</v>
      </c>
      <c r="C1158" s="2" t="str">
        <f ca="1">IFERROR(__xludf.DUMMYFUNCTION("GOOGLETRANSLATE(A1158,""bn"",""en"")"),"Very clear sound with no distortion even at high volumes")</f>
        <v>Very clear sound with no distortion even at high volumes</v>
      </c>
    </row>
    <row r="1159" spans="1:3" ht="15.75" customHeight="1" x14ac:dyDescent="0.25">
      <c r="A1159" s="2" t="s">
        <v>1161</v>
      </c>
      <c r="B1159" s="3" t="s">
        <v>4</v>
      </c>
      <c r="C1159" s="2" t="str">
        <f ca="1">IFERROR(__xludf.DUMMYFUNCTION("GOOGLETRANSLATE(A1159,""bn"",""en"")"),"Its quality is much higher than the price, making it a good investment")</f>
        <v>Its quality is much higher than the price, making it a good investment</v>
      </c>
    </row>
    <row r="1160" spans="1:3" ht="15.75" customHeight="1" x14ac:dyDescent="0.25">
      <c r="A1160" s="2" t="s">
        <v>1162</v>
      </c>
      <c r="B1160" s="3" t="s">
        <v>4</v>
      </c>
      <c r="C1160" s="2" t="str">
        <f ca="1">IFERROR(__xludf.DUMMYFUNCTION("GOOGLETRANSLATE(A1160,""bn"",""en"")"),"There is something new to discover every time you watch it")</f>
        <v>There is something new to discover every time you watch it</v>
      </c>
    </row>
    <row r="1161" spans="1:3" ht="15.75" customHeight="1" x14ac:dyDescent="0.25">
      <c r="A1161" s="2" t="s">
        <v>1163</v>
      </c>
      <c r="B1161" s="3" t="s">
        <v>4</v>
      </c>
      <c r="C1161" s="2" t="str">
        <f ca="1">IFERROR(__xludf.DUMMYFUNCTION("GOOGLETRANSLATE(A1161,""bn"",""en"")"),"The delivery man was very good delivered the product on time delivery service was very satisfactory")</f>
        <v>The delivery man was very good delivered the product on time delivery service was very satisfactory</v>
      </c>
    </row>
    <row r="1162" spans="1:3" ht="15.75" customHeight="1" x14ac:dyDescent="0.25">
      <c r="A1162" s="2" t="s">
        <v>1164</v>
      </c>
      <c r="B1162" s="3" t="s">
        <v>4</v>
      </c>
      <c r="C1162" s="2" t="str">
        <f ca="1">IFERROR(__xludf.DUMMYFUNCTION("GOOGLETRANSLATE(A1162,""bn"",""en"")"),"The bag is big enough to hold many things so you can take it from here if you want")</f>
        <v>The bag is big enough to hold many things so you can take it from here if you want</v>
      </c>
    </row>
    <row r="1163" spans="1:3" ht="15.75" customHeight="1" x14ac:dyDescent="0.25">
      <c r="A1163" s="2" t="s">
        <v>1165</v>
      </c>
      <c r="B1163" s="3" t="s">
        <v>6</v>
      </c>
      <c r="C1163" s="2" t="str">
        <f ca="1">IFERROR(__xludf.DUMMYFUNCTION("GOOGLETRANSLATE(A1163,""bn"",""en"")"),"Hair gel leaves hair with a frizzy hard texture instead of a flexible hold")</f>
        <v>Hair gel leaves hair with a frizzy hard texture instead of a flexible hold</v>
      </c>
    </row>
    <row r="1164" spans="1:3" ht="15.75" customHeight="1" x14ac:dyDescent="0.25">
      <c r="A1164" s="2" t="s">
        <v>1166</v>
      </c>
      <c r="B1164" s="3" t="s">
        <v>2</v>
      </c>
      <c r="C1164" s="2" t="str">
        <f ca="1">IFERROR(__xludf.DUMMYFUNCTION("GOOGLETRANSLATE(A1164,""bn"",""en"")"),"My ring now fits perfectly but some sizing was wrong")</f>
        <v>My ring now fits perfectly but some sizing was wrong</v>
      </c>
    </row>
    <row r="1165" spans="1:3" ht="15.75" customHeight="1" x14ac:dyDescent="0.25">
      <c r="A1165" s="2" t="s">
        <v>1167</v>
      </c>
      <c r="B1165" s="3" t="s">
        <v>4</v>
      </c>
      <c r="C1165" s="2" t="str">
        <f ca="1">IFERROR(__xludf.DUMMYFUNCTION("GOOGLETRANSLATE(A1165,""bn"",""en"")")," The product is very good battery backup is also very premium feel")</f>
        <v xml:space="preserve"> The product is very good battery backup is also very premium feel</v>
      </c>
    </row>
    <row r="1166" spans="1:3" ht="15.75" customHeight="1" x14ac:dyDescent="0.25">
      <c r="A1166" s="2" t="s">
        <v>1168</v>
      </c>
      <c r="B1166" s="3" t="s">
        <v>2</v>
      </c>
      <c r="C1166" s="2" t="str">
        <f ca="1">IFERROR(__xludf.DUMMYFUNCTION("GOOGLETRANSLATE(A1166,""bn"",""en"")"),"It can be used but does not have additional benefits")</f>
        <v>It can be used but does not have additional benefits</v>
      </c>
    </row>
    <row r="1167" spans="1:3" ht="15.75" customHeight="1" x14ac:dyDescent="0.25">
      <c r="A1167" s="2" t="s">
        <v>1169</v>
      </c>
      <c r="B1167" s="3" t="s">
        <v>2</v>
      </c>
      <c r="C1167" s="2" t="str">
        <f ca="1">IFERROR(__xludf.DUMMYFUNCTION("GOOGLETRANSLATE(A1167,""bn"",""en"")"),"Teaches different numbers but limited numbers")</f>
        <v>Teaches different numbers but limited numbers</v>
      </c>
    </row>
    <row r="1168" spans="1:3" ht="15.75" customHeight="1" x14ac:dyDescent="0.25">
      <c r="A1168" s="2" t="s">
        <v>1170</v>
      </c>
      <c r="B1168" s="3" t="s">
        <v>4</v>
      </c>
      <c r="C1168" s="2" t="str">
        <f ca="1">IFERROR(__xludf.DUMMYFUNCTION("GOOGLETRANSLATE(A1168,""bn"",""en"")"),"Great camera for the price")</f>
        <v>Great camera for the price</v>
      </c>
    </row>
    <row r="1169" spans="1:3" ht="15.75" customHeight="1" x14ac:dyDescent="0.25">
      <c r="A1169" s="2" t="s">
        <v>1171</v>
      </c>
      <c r="B1169" s="3" t="s">
        <v>4</v>
      </c>
      <c r="C1169" s="2" t="str">
        <f ca="1">IFERROR(__xludf.DUMMYFUNCTION("GOOGLETRANSLATE(A1169,""bn"",""en"")"),"The Smart Q card reader punches above its weight very well")</f>
        <v>The Smart Q card reader punches above its weight very well</v>
      </c>
    </row>
    <row r="1170" spans="1:3" ht="15.75" customHeight="1" x14ac:dyDescent="0.25">
      <c r="A1170" s="2" t="s">
        <v>1172</v>
      </c>
      <c r="B1170" s="3" t="s">
        <v>2</v>
      </c>
      <c r="C1170" s="2" t="str">
        <f ca="1">IFERROR(__xludf.DUMMYFUNCTION("GOOGLETRANSLATE(A1170,""bn"",""en"")"),"The brand name is written on the handle of the brush")</f>
        <v>The brand name is written on the handle of the brush</v>
      </c>
    </row>
    <row r="1171" spans="1:3" ht="15.75" customHeight="1" x14ac:dyDescent="0.25">
      <c r="A1171" s="2" t="s">
        <v>1173</v>
      </c>
      <c r="B1171" s="3" t="s">
        <v>4</v>
      </c>
      <c r="C1171" s="2" t="str">
        <f ca="1">IFERROR(__xludf.DUMMYFUNCTION("GOOGLETRANSLATE(A1171,""bn"",""en"")"),"Brings closeness to nature at home")</f>
        <v>Brings closeness to nature at home</v>
      </c>
    </row>
    <row r="1172" spans="1:3" ht="15.75" customHeight="1" x14ac:dyDescent="0.25">
      <c r="A1172" s="2" t="s">
        <v>1174</v>
      </c>
      <c r="B1172" s="3" t="s">
        <v>4</v>
      </c>
      <c r="C1172" s="2" t="str">
        <f ca="1">IFERROR(__xludf.DUMMYFUNCTION("GOOGLETRANSLATE(A1172,""bn"",""en"")"),"The value for the price is fantastic making it a long lasting investment that I can use for years to come")</f>
        <v>The value for the price is fantastic making it a long lasting investment that I can use for years to come</v>
      </c>
    </row>
    <row r="1173" spans="1:3" ht="15.75" customHeight="1" x14ac:dyDescent="0.25">
      <c r="A1173" s="2" t="s">
        <v>1175</v>
      </c>
      <c r="B1173" s="3" t="s">
        <v>2</v>
      </c>
      <c r="C1173" s="2" t="str">
        <f ca="1">IFERROR(__xludf.DUMMYFUNCTION("GOOGLETRANSLATE(A1173,""bn"",""en"")"),"A mini concert hall has been created in my home using speakers")</f>
        <v>A mini concert hall has been created in my home using speakers</v>
      </c>
    </row>
    <row r="1174" spans="1:3" ht="15.75" customHeight="1" x14ac:dyDescent="0.25">
      <c r="A1174" s="2" t="s">
        <v>1176</v>
      </c>
      <c r="B1174" s="3" t="s">
        <v>4</v>
      </c>
      <c r="C1174" s="2" t="str">
        <f ca="1">IFERROR(__xludf.DUMMYFUNCTION("GOOGLETRANSLATE(A1174,""bn"",""en"")"),"The battery charging speed of the device is very fast")</f>
        <v>The battery charging speed of the device is very fast</v>
      </c>
    </row>
    <row r="1175" spans="1:3" ht="15.75" customHeight="1" x14ac:dyDescent="0.25">
      <c r="A1175" s="2" t="s">
        <v>1177</v>
      </c>
      <c r="B1175" s="3" t="s">
        <v>4</v>
      </c>
      <c r="C1175" s="2" t="str">
        <f ca="1">IFERROR(__xludf.DUMMYFUNCTION("GOOGLETRANSLATE(A1175,""bn"",""en"")"),"Use it even in the summer sun to get protection from UV rays")</f>
        <v>Use it even in the summer sun to get protection from UV rays</v>
      </c>
    </row>
    <row r="1176" spans="1:3" ht="15.75" customHeight="1" x14ac:dyDescent="0.25">
      <c r="A1176" s="2" t="s">
        <v>1178</v>
      </c>
      <c r="B1176" s="3" t="s">
        <v>6</v>
      </c>
      <c r="C1176" s="2" t="str">
        <f ca="1">IFERROR(__xludf.DUMMYFUNCTION("GOOGLETRANSLATE(A1176,""bn"",""en"")")," Build quality is subpar cheap materials that feel brittle and prone to breaking")</f>
        <v xml:space="preserve"> Build quality is subpar cheap materials that feel brittle and prone to breaking</v>
      </c>
    </row>
    <row r="1177" spans="1:3" ht="15.75" customHeight="1" x14ac:dyDescent="0.25">
      <c r="A1177" s="2" t="s">
        <v>1179</v>
      </c>
      <c r="B1177" s="3" t="s">
        <v>6</v>
      </c>
      <c r="C1177" s="2" t="str">
        <f ca="1">IFERROR(__xludf.DUMMYFUNCTION("GOOGLETRANSLATE(A1177,""bn"",""en"")"),"Holes or snags are found in the fabric")</f>
        <v>Holes or snags are found in the fabric</v>
      </c>
    </row>
    <row r="1178" spans="1:3" ht="15.75" customHeight="1" x14ac:dyDescent="0.25">
      <c r="A1178" s="2" t="s">
        <v>1180</v>
      </c>
      <c r="B1178" s="3" t="s">
        <v>2</v>
      </c>
      <c r="C1178" s="2" t="str">
        <f ca="1">IFERROR(__xludf.DUMMYFUNCTION("GOOGLETRANSLATE(A1178,""bn"",""en"")"),"Good headphones for the money aren't great")</f>
        <v>Good headphones for the money aren't great</v>
      </c>
    </row>
    <row r="1179" spans="1:3" ht="15.75" customHeight="1" x14ac:dyDescent="0.25">
      <c r="A1179" s="2" t="s">
        <v>1181</v>
      </c>
      <c r="B1179" s="3" t="s">
        <v>4</v>
      </c>
      <c r="C1179" s="2" t="str">
        <f ca="1">IFERROR(__xludf.DUMMYFUNCTION("GOOGLETRANSLATE(A1179,""bn"",""en"")"),"Home printers are easy, perfect and fast")</f>
        <v>Home printers are easy, perfect and fast</v>
      </c>
    </row>
    <row r="1180" spans="1:3" ht="15.75" customHeight="1" x14ac:dyDescent="0.25">
      <c r="A1180" s="2" t="s">
        <v>1182</v>
      </c>
      <c r="B1180" s="3" t="s">
        <v>2</v>
      </c>
      <c r="C1180" s="2" t="str">
        <f ca="1">IFERROR(__xludf.DUMMYFUNCTION("GOOGLETRANSLATE(A1180,""bn"",""en"")"),"Smaller items don't do the job quite as reliably")</f>
        <v>Smaller items don't do the job quite as reliably</v>
      </c>
    </row>
    <row r="1181" spans="1:3" ht="15.75" customHeight="1" x14ac:dyDescent="0.25">
      <c r="A1181" s="2" t="s">
        <v>1183</v>
      </c>
      <c r="B1181" s="3" t="s">
        <v>2</v>
      </c>
      <c r="C1181" s="2" t="str">
        <f ca="1">IFERROR(__xludf.DUMMYFUNCTION("GOOGLETRANSLATE(A1181,""bn"",""en"")"),"Sweet is good but a bit heavy")</f>
        <v>Sweet is good but a bit heavy</v>
      </c>
    </row>
    <row r="1182" spans="1:3" ht="15.75" customHeight="1" x14ac:dyDescent="0.25">
      <c r="A1182" s="2" t="s">
        <v>1184</v>
      </c>
      <c r="B1182" s="3" t="s">
        <v>4</v>
      </c>
      <c r="C1182" s="2" t="str">
        <f ca="1">IFERROR(__xludf.DUMMYFUNCTION("GOOGLETRANSLATE(A1182,""bn"",""en"")"),"It has become so popular that even my daughter's friends now want such dolls")</f>
        <v>It has become so popular that even my daughter's friends now want such dolls</v>
      </c>
    </row>
    <row r="1183" spans="1:3" ht="15.75" customHeight="1" x14ac:dyDescent="0.25">
      <c r="A1183" s="2" t="s">
        <v>1185</v>
      </c>
      <c r="B1183" s="3" t="s">
        <v>2</v>
      </c>
      <c r="C1183" s="2" t="str">
        <f ca="1">IFERROR(__xludf.DUMMYFUNCTION("GOOGLETRANSLATE(A1183,""bn"",""en"")"),"A variety of scents are available but may seem somewhat artificial")</f>
        <v>A variety of scents are available but may seem somewhat artificial</v>
      </c>
    </row>
    <row r="1184" spans="1:3" ht="15.75" customHeight="1" x14ac:dyDescent="0.25">
      <c r="A1184" s="2" t="s">
        <v>1186</v>
      </c>
      <c r="B1184" s="3" t="s">
        <v>6</v>
      </c>
      <c r="C1184" s="2" t="str">
        <f ca="1">IFERROR(__xludf.DUMMYFUNCTION("GOOGLETRANSLATE(A1184,""bn"",""en"")"),"The handle of the teapot was badly attached and wobbled when lifted")</f>
        <v>The handle of the teapot was badly attached and wobbled when lifted</v>
      </c>
    </row>
    <row r="1185" spans="1:3" ht="15.75" customHeight="1" x14ac:dyDescent="0.25">
      <c r="A1185" s="2" t="s">
        <v>1187</v>
      </c>
      <c r="B1185" s="3" t="s">
        <v>4</v>
      </c>
      <c r="C1185" s="2" t="str">
        <f ca="1">IFERROR(__xludf.DUMMYFUNCTION("GOOGLETRANSLATE(A1185,""bn"",""en"")"),"Amlan possesses beauty throughout the year")</f>
        <v>Amlan possesses beauty throughout the year</v>
      </c>
    </row>
    <row r="1186" spans="1:3" ht="15.75" customHeight="1" x14ac:dyDescent="0.25">
      <c r="A1186" s="2" t="s">
        <v>1188</v>
      </c>
      <c r="B1186" s="3" t="s">
        <v>6</v>
      </c>
      <c r="C1186" s="2" t="str">
        <f ca="1">IFERROR(__xludf.DUMMYFUNCTION("GOOGLETRANSLATE(A1186,""bn"",""en"")"),"Transfers are slower than expected especially for large files")</f>
        <v>Transfers are slower than expected especially for large files</v>
      </c>
    </row>
    <row r="1187" spans="1:3" ht="15.75" customHeight="1" x14ac:dyDescent="0.25">
      <c r="A1187" s="2" t="s">
        <v>1189</v>
      </c>
      <c r="B1187" s="3" t="s">
        <v>4</v>
      </c>
      <c r="C1187" s="2" t="str">
        <f ca="1">IFERROR(__xludf.DUMMYFUNCTION("GOOGLETRANSLATE(A1187,""bn"",""en"")"),"Its taste still lingers in the mouth")</f>
        <v>Its taste still lingers in the mouth</v>
      </c>
    </row>
    <row r="1188" spans="1:3" ht="15.75" customHeight="1" x14ac:dyDescent="0.25">
      <c r="A1188" s="2" t="s">
        <v>1190</v>
      </c>
      <c r="B1188" s="3" t="s">
        <v>6</v>
      </c>
      <c r="C1188" s="2" t="str">
        <f ca="1">IFERROR(__xludf.DUMMYFUNCTION("GOOGLETRANSLATE(A1188,""bn"",""en"")"),"Movement during use drains water")</f>
        <v>Movement during use drains water</v>
      </c>
    </row>
    <row r="1189" spans="1:3" ht="15.75" customHeight="1" x14ac:dyDescent="0.25">
      <c r="A1189" s="2" t="s">
        <v>1191</v>
      </c>
      <c r="B1189" s="3" t="s">
        <v>4</v>
      </c>
      <c r="C1189" s="2" t="str">
        <f ca="1">IFERROR(__xludf.DUMMYFUNCTION("GOOGLETRANSLATE(A1189,""bn"",""en"")"),"My work is very useful")</f>
        <v>My work is very useful</v>
      </c>
    </row>
    <row r="1190" spans="1:3" ht="15.75" customHeight="1" x14ac:dyDescent="0.25">
      <c r="A1190" s="2" t="s">
        <v>1192</v>
      </c>
      <c r="B1190" s="3" t="s">
        <v>6</v>
      </c>
      <c r="C1190" s="2" t="str">
        <f ca="1">IFERROR(__xludf.DUMMYFUNCTION("GOOGLETRANSLATE(A1190,""bn"",""en"")"),"Things are overpriced")</f>
        <v>Things are overpriced</v>
      </c>
    </row>
    <row r="1191" spans="1:3" ht="15.75" customHeight="1" x14ac:dyDescent="0.25">
      <c r="A1191" s="2" t="s">
        <v>1193</v>
      </c>
      <c r="B1191" s="3" t="s">
        <v>4</v>
      </c>
      <c r="C1191" s="2" t="str">
        <f ca="1">IFERROR(__xludf.DUMMYFUNCTION("GOOGLETRANSLATE(A1191,""bn"",""en"")"),"Experience full surround sound with these speakers in my small flat")</f>
        <v>Experience full surround sound with these speakers in my small flat</v>
      </c>
    </row>
    <row r="1192" spans="1:3" ht="15.75" customHeight="1" x14ac:dyDescent="0.25">
      <c r="A1192" s="2" t="s">
        <v>1194</v>
      </c>
      <c r="B1192" s="3" t="s">
        <v>6</v>
      </c>
      <c r="C1192" s="2" t="str">
        <f ca="1">IFERROR(__xludf.DUMMYFUNCTION("GOOGLETRANSLATE(A1192,""bn"",""en"")"),"The tea lid was very tight and difficult to remove")</f>
        <v>The tea lid was very tight and difficult to remove</v>
      </c>
    </row>
    <row r="1193" spans="1:3" ht="15.75" customHeight="1" x14ac:dyDescent="0.25">
      <c r="A1193" s="2" t="s">
        <v>1195</v>
      </c>
      <c r="B1193" s="3" t="s">
        <v>2</v>
      </c>
      <c r="C1193" s="2" t="str">
        <f ca="1">IFERROR(__xludf.DUMMYFUNCTION("GOOGLETRANSLATE(A1193,""bn"",""en"")"),"It does not overheat")</f>
        <v>It does not overheat</v>
      </c>
    </row>
    <row r="1194" spans="1:3" ht="15.75" customHeight="1" x14ac:dyDescent="0.25">
      <c r="A1194" s="2" t="s">
        <v>1196</v>
      </c>
      <c r="B1194" s="3" t="s">
        <v>4</v>
      </c>
      <c r="C1194" s="2" t="str">
        <f ca="1">IFERROR(__xludf.DUMMYFUNCTION("GOOGLETRANSLATE(A1194,""bn"",""en"")"),"DJI Mini Pro ND Filter Set ND is working very well")</f>
        <v>DJI Mini Pro ND Filter Set ND is working very well</v>
      </c>
    </row>
    <row r="1195" spans="1:3" ht="15.75" customHeight="1" x14ac:dyDescent="0.25">
      <c r="A1195" s="2" t="s">
        <v>1197</v>
      </c>
      <c r="B1195" s="3" t="s">
        <v>6</v>
      </c>
      <c r="C1195" s="2" t="str">
        <f ca="1">IFERROR(__xludf.DUMMYFUNCTION("GOOGLETRANSLATE(A1195,""bn"",""en"")"),"Coffee tastes stale despite being freshly roasted")</f>
        <v>Coffee tastes stale despite being freshly roasted</v>
      </c>
    </row>
    <row r="1196" spans="1:3" ht="15.75" customHeight="1" x14ac:dyDescent="0.25">
      <c r="A1196" s="2" t="s">
        <v>1198</v>
      </c>
      <c r="B1196" s="3" t="s">
        <v>2</v>
      </c>
      <c r="C1196" s="2" t="str">
        <f ca="1">IFERROR(__xludf.DUMMYFUNCTION("GOOGLETRANSLATE(A1196,""bn"",""en"")"),"The quality is good for the price but the taste is a bit strong")</f>
        <v>The quality is good for the price but the taste is a bit strong</v>
      </c>
    </row>
    <row r="1197" spans="1:3" ht="15.75" customHeight="1" x14ac:dyDescent="0.25">
      <c r="A1197" s="2" t="s">
        <v>1199</v>
      </c>
      <c r="B1197" s="3" t="s">
        <v>6</v>
      </c>
      <c r="C1197" s="2" t="str">
        <f ca="1">IFERROR(__xludf.DUMMYFUNCTION("GOOGLETRANSLATE(A1197,""bn"",""en"")"),"The pattern does not line up properly at the seams resulting in a sloppy and unprofessional appearance")</f>
        <v>The pattern does not line up properly at the seams resulting in a sloppy and unprofessional appearance</v>
      </c>
    </row>
    <row r="1198" spans="1:3" ht="15.75" customHeight="1" x14ac:dyDescent="0.25">
      <c r="A1198" s="2" t="s">
        <v>1200</v>
      </c>
      <c r="B1198" s="3" t="s">
        <v>4</v>
      </c>
      <c r="C1198" s="2" t="str">
        <f ca="1">IFERROR(__xludf.DUMMYFUNCTION("GOOGLETRANSLATE(A1198,""bn"",""en"")"),"Makeup brushes are available in different styles")</f>
        <v>Makeup brushes are available in different styles</v>
      </c>
    </row>
    <row r="1199" spans="1:3" ht="15.75" customHeight="1" x14ac:dyDescent="0.25">
      <c r="A1199" s="2" t="s">
        <v>1201</v>
      </c>
      <c r="B1199" s="3" t="s">
        <v>2</v>
      </c>
      <c r="C1199" s="2" t="str">
        <f ca="1">IFERROR(__xludf.DUMMYFUNCTION("GOOGLETRANSLATE(A1199,""bn"",""en"")"),"The product is good but has some limitations")</f>
        <v>The product is good but has some limitations</v>
      </c>
    </row>
    <row r="1200" spans="1:3" ht="15.75" customHeight="1" x14ac:dyDescent="0.25">
      <c r="A1200" s="2" t="s">
        <v>1202</v>
      </c>
      <c r="B1200" s="3" t="s">
        <v>2</v>
      </c>
      <c r="C1200" s="2" t="str">
        <f ca="1">IFERROR(__xludf.DUMMYFUNCTION("GOOGLETRANSLATE(A1200,""bn"",""en"")"),"The design is good but the size is big")</f>
        <v>The design is good but the size is big</v>
      </c>
    </row>
    <row r="1201" spans="1:3" ht="15.75" customHeight="1" x14ac:dyDescent="0.25">
      <c r="A1201" s="2" t="s">
        <v>1203</v>
      </c>
      <c r="B1201" s="3" t="s">
        <v>6</v>
      </c>
      <c r="C1201" s="2" t="str">
        <f ca="1">IFERROR(__xludf.DUMMYFUNCTION("GOOGLETRANSLATE(A1201,""bn"",""en"")"),"Boxed pancake mix produced dense flavorless pancakes that lacked the lightness of homemade")</f>
        <v>Boxed pancake mix produced dense flavorless pancakes that lacked the lightness of homemade</v>
      </c>
    </row>
    <row r="1202" spans="1:3" ht="15.75" customHeight="1" x14ac:dyDescent="0.25">
      <c r="A1202" s="2" t="s">
        <v>1204</v>
      </c>
      <c r="B1202" s="3" t="s">
        <v>6</v>
      </c>
      <c r="C1202" s="2" t="str">
        <f ca="1">IFERROR(__xludf.DUMMYFUNCTION("GOOGLETRANSLATE(A1202,""bn"",""en"")"),"  The wash left my skin feeling dry and tight")</f>
        <v xml:space="preserve">  The wash left my skin feeling dry and tight</v>
      </c>
    </row>
    <row r="1203" spans="1:3" ht="15.75" customHeight="1" x14ac:dyDescent="0.25">
      <c r="A1203" s="2" t="s">
        <v>1205</v>
      </c>
      <c r="B1203" s="3" t="s">
        <v>6</v>
      </c>
      <c r="C1203" s="2" t="str">
        <f ca="1">IFERROR(__xludf.DUMMYFUNCTION("GOOGLETRANSLATE(A1203,""bn"",""en"")"),"The WiFi connection is unreliable with frequent signal drops and requires manual reconnection")</f>
        <v>The WiFi connection is unreliable with frequent signal drops and requires manual reconnection</v>
      </c>
    </row>
    <row r="1204" spans="1:3" ht="15.75" customHeight="1" x14ac:dyDescent="0.25">
      <c r="A1204" s="2" t="s">
        <v>1206</v>
      </c>
      <c r="B1204" s="3" t="s">
        <v>4</v>
      </c>
      <c r="C1204" s="2" t="str">
        <f ca="1">IFERROR(__xludf.DUMMYFUNCTION("GOOGLETRANSLATE(A1204,""bn"",""en"")"),"I was surprised by the quality of the coffee which is much better than the price")</f>
        <v>I was surprised by the quality of the coffee which is much better than the price</v>
      </c>
    </row>
    <row r="1205" spans="1:3" ht="15.75" customHeight="1" x14ac:dyDescent="0.25">
      <c r="A1205" s="2" t="s">
        <v>1207</v>
      </c>
      <c r="B1205" s="3" t="s">
        <v>4</v>
      </c>
      <c r="C1205" s="2" t="str">
        <f ca="1">IFERROR(__xludf.DUMMYFUNCTION("GOOGLETRANSLATE(A1205,""bn"",""en"")"),"Helpful in changing the mood of the room")</f>
        <v>Helpful in changing the mood of the room</v>
      </c>
    </row>
    <row r="1206" spans="1:3" ht="15.75" customHeight="1" x14ac:dyDescent="0.25">
      <c r="A1206" s="2" t="s">
        <v>1208</v>
      </c>
      <c r="B1206" s="3" t="s">
        <v>4</v>
      </c>
      <c r="C1206" s="2" t="str">
        <f ca="1">IFERROR(__xludf.DUMMYFUNCTION("GOOGLETRANSLATE(A1206,""bn"",""en"")"),"The tops of the pots are so smooth that I don't hear any noise when using the fork and knife")</f>
        <v>The tops of the pots are so smooth that I don't hear any noise when using the fork and knife</v>
      </c>
    </row>
    <row r="1207" spans="1:3" ht="15.75" customHeight="1" x14ac:dyDescent="0.25">
      <c r="A1207" s="2" t="s">
        <v>1209</v>
      </c>
      <c r="B1207" s="3" t="s">
        <v>2</v>
      </c>
      <c r="C1207" s="2" t="str">
        <f ca="1">IFERROR(__xludf.DUMMYFUNCTION("GOOGLETRANSLATE(A1207,""bn"",""en"")"),"The brush is usable but not perfect")</f>
        <v>The brush is usable but not perfect</v>
      </c>
    </row>
    <row r="1208" spans="1:3" ht="15.75" customHeight="1" x14ac:dyDescent="0.25">
      <c r="A1208" s="2" t="s">
        <v>1210</v>
      </c>
      <c r="B1208" s="3" t="s">
        <v>2</v>
      </c>
      <c r="C1208" s="2" t="str">
        <f ca="1">IFERROR(__xludf.DUMMYFUNCTION("GOOGLETRANSLATE(A1208,""bn"",""en"")"),"The mop will be able to penetrate the corners a bit")</f>
        <v>The mop will be able to penetrate the corners a bit</v>
      </c>
    </row>
    <row r="1209" spans="1:3" ht="15.75" customHeight="1" x14ac:dyDescent="0.25">
      <c r="A1209" s="2" t="s">
        <v>1211</v>
      </c>
      <c r="B1209" s="3" t="s">
        <v>4</v>
      </c>
      <c r="C1209" s="2" t="str">
        <f ca="1">IFERROR(__xludf.DUMMYFUNCTION("GOOGLETRANSLATE(A1209,""bn"",""en"")"),"The makeup brush blends in with the skin tone")</f>
        <v>The makeup brush blends in with the skin tone</v>
      </c>
    </row>
    <row r="1210" spans="1:3" ht="15.75" customHeight="1" x14ac:dyDescent="0.25">
      <c r="A1210" s="2" t="s">
        <v>1212</v>
      </c>
      <c r="B1210" s="3" t="s">
        <v>6</v>
      </c>
      <c r="C1210" s="2" t="str">
        <f ca="1">IFERROR(__xludf.DUMMYFUNCTION("GOOGLETRANSLATE(A1210,""bn"",""en"")"),"Hemming is poorly executed with uneven length and visible stitching that detracts from the overall look of the garment")</f>
        <v>Hemming is poorly executed with uneven length and visible stitching that detracts from the overall look of the garment</v>
      </c>
    </row>
    <row r="1211" spans="1:3" ht="15.75" customHeight="1" x14ac:dyDescent="0.25">
      <c r="A1211" s="2" t="s">
        <v>1213</v>
      </c>
      <c r="B1211" s="3" t="s">
        <v>4</v>
      </c>
      <c r="C1211" s="2" t="str">
        <f ca="1">IFERROR(__xludf.DUMMYFUNCTION("GOOGLETRANSLATE(A1211,""bn"",""en"")"),"Eco-friendly as it lasts longer")</f>
        <v>Eco-friendly as it lasts longer</v>
      </c>
    </row>
    <row r="1212" spans="1:3" ht="15.75" customHeight="1" x14ac:dyDescent="0.25">
      <c r="A1212" s="2" t="s">
        <v>1214</v>
      </c>
      <c r="B1212" s="3" t="s">
        <v>4</v>
      </c>
      <c r="C1212" s="2" t="str">
        <f ca="1">IFERROR(__xludf.DUMMYFUNCTION("GOOGLETRANSLATE(A1212,""bn"",""en"")"),"The weight of the pillows is just right they are light but at the same time provide enough support")</f>
        <v>The weight of the pillows is just right they are light but at the same time provide enough support</v>
      </c>
    </row>
    <row r="1213" spans="1:3" ht="15.75" customHeight="1" x14ac:dyDescent="0.25">
      <c r="A1213" s="2" t="s">
        <v>1215</v>
      </c>
      <c r="B1213" s="3" t="s">
        <v>4</v>
      </c>
      <c r="C1213" s="2" t="str">
        <f ca="1">IFERROR(__xludf.DUMMYFUNCTION("GOOGLETRANSLATE(A1213,""bn"",""en"")"),"The top of the pillows is made in such a way that they do not get dirty easily")</f>
        <v>The top of the pillows is made in such a way that they do not get dirty easily</v>
      </c>
    </row>
    <row r="1214" spans="1:3" ht="15.75" customHeight="1" x14ac:dyDescent="0.25">
      <c r="A1214" s="2" t="s">
        <v>1216</v>
      </c>
      <c r="B1214" s="3" t="s">
        <v>6</v>
      </c>
      <c r="C1214" s="2" t="str">
        <f ca="1">IFERROR(__xludf.DUMMYFUNCTION("GOOGLETRANSLATE(A1214,""bn"",""en"")")," The remote control had an unresponsive touchpad that made navigation difficult")</f>
        <v xml:space="preserve"> The remote control had an unresponsive touchpad that made navigation difficult</v>
      </c>
    </row>
    <row r="1215" spans="1:3" ht="15.75" customHeight="1" x14ac:dyDescent="0.25">
      <c r="A1215" s="2" t="s">
        <v>1217</v>
      </c>
      <c r="B1215" s="3" t="s">
        <v>2</v>
      </c>
      <c r="C1215" s="2" t="str">
        <f ca="1">IFERROR(__xludf.DUMMYFUNCTION("GOOGLETRANSLATE(A1215,""bn"",""en"")"),"Can be used for food preservation but has limited staying power")</f>
        <v>Can be used for food preservation but has limited staying power</v>
      </c>
    </row>
    <row r="1216" spans="1:3" ht="15.75" customHeight="1" x14ac:dyDescent="0.25">
      <c r="A1216" s="2" t="s">
        <v>1218</v>
      </c>
      <c r="B1216" s="3" t="s">
        <v>4</v>
      </c>
      <c r="C1216" s="2" t="str">
        <f ca="1">IFERROR(__xludf.DUMMYFUNCTION("GOOGLETRANSLATE(A1216,""bn"",""en"")"),"Can be given out by working very impressively ")</f>
        <v xml:space="preserve">Can be given out by working very impressively </v>
      </c>
    </row>
    <row r="1217" spans="1:3" ht="15.75" customHeight="1" x14ac:dyDescent="0.25">
      <c r="A1217" s="2" t="s">
        <v>1219</v>
      </c>
      <c r="B1217" s="3" t="s">
        <v>4</v>
      </c>
      <c r="C1217" s="2" t="str">
        <f ca="1">IFERROR(__xludf.DUMMYFUNCTION("GOOGLETRANSLATE(A1217,""bn"",""en"")"),"Its ultrathin design is so convenient that it is hardly noticeable while wearing")</f>
        <v>Its ultrathin design is so convenient that it is hardly noticeable while wearing</v>
      </c>
    </row>
    <row r="1218" spans="1:3" ht="15.75" customHeight="1" x14ac:dyDescent="0.25">
      <c r="A1218" s="2" t="s">
        <v>1220</v>
      </c>
      <c r="B1218" s="3" t="s">
        <v>2</v>
      </c>
      <c r="C1218" s="2" t="str">
        <f ca="1">IFERROR(__xludf.DUMMYFUNCTION("GOOGLETRANSLATE(A1218,""bn"",""en"")"),"Friends noticed but were not impressed")</f>
        <v>Friends noticed but were not impressed</v>
      </c>
    </row>
    <row r="1219" spans="1:3" ht="15.75" customHeight="1" x14ac:dyDescent="0.25">
      <c r="A1219" s="2" t="s">
        <v>1221</v>
      </c>
      <c r="B1219" s="3" t="s">
        <v>2</v>
      </c>
      <c r="C1219" s="2" t="str">
        <f ca="1">IFERROR(__xludf.DUMMYFUNCTION("GOOGLETRANSLATE(A1219,""bn"",""en"")"),"Don't like the messy stuff but there are plenty of places to go")</f>
        <v>Don't like the messy stuff but there are plenty of places to go</v>
      </c>
    </row>
    <row r="1220" spans="1:3" ht="15.75" customHeight="1" x14ac:dyDescent="0.25">
      <c r="A1220" s="2" t="s">
        <v>1222</v>
      </c>
      <c r="B1220" s="3" t="s">
        <v>4</v>
      </c>
      <c r="C1220" s="2" t="str">
        <f ca="1">IFERROR(__xludf.DUMMYFUNCTION("GOOGLETRANSLATE(A1220,""bn"",""en"")"),"I love using my new umbrella, its bright colors make me happy even on cloudy days")</f>
        <v>I love using my new umbrella, its bright colors make me happy even on cloudy days</v>
      </c>
    </row>
    <row r="1221" spans="1:3" ht="15.75" customHeight="1" x14ac:dyDescent="0.25">
      <c r="A1221" s="2" t="s">
        <v>1223</v>
      </c>
      <c r="B1221" s="3" t="s">
        <v>2</v>
      </c>
      <c r="C1221" s="2" t="str">
        <f ca="1">IFERROR(__xludf.DUMMYFUNCTION("GOOGLETRANSLATE(A1221,""bn"",""en"")"),"The price is fair enough but the quality could be better")</f>
        <v>The price is fair enough but the quality could be better</v>
      </c>
    </row>
    <row r="1222" spans="1:3" ht="15.75" customHeight="1" x14ac:dyDescent="0.25">
      <c r="A1222" s="2" t="s">
        <v>1224</v>
      </c>
      <c r="B1222" s="3" t="s">
        <v>2</v>
      </c>
      <c r="C1222" s="2" t="str">
        <f ca="1">IFERROR(__xludf.DUMMYFUNCTION("GOOGLETRANSLATE(A1222,""bn"",""en"")"),"Simple is brilliant but doesn't always work")</f>
        <v>Simple is brilliant but doesn't always work</v>
      </c>
    </row>
    <row r="1223" spans="1:3" ht="15.75" customHeight="1" x14ac:dyDescent="0.25">
      <c r="A1223" s="2" t="s">
        <v>1225</v>
      </c>
      <c r="B1223" s="3" t="s">
        <v>6</v>
      </c>
      <c r="C1223" s="2" t="str">
        <f ca="1">IFERROR(__xludf.DUMMYFUNCTION("GOOGLETRANSLATE(A1223,""bn"",""en"")"),"The packaging did not protect the beans from light and air causing spoilage")</f>
        <v>The packaging did not protect the beans from light and air causing spoilage</v>
      </c>
    </row>
    <row r="1224" spans="1:3" ht="15.75" customHeight="1" x14ac:dyDescent="0.25">
      <c r="A1224" s="2" t="s">
        <v>1226</v>
      </c>
      <c r="B1224" s="3" t="s">
        <v>6</v>
      </c>
      <c r="C1224" s="2" t="str">
        <f ca="1">IFERROR(__xludf.DUMMYFUNCTION("GOOGLETRANSLATE(A1224,""bn"",""en"")"),"Chapata ceramics were unevenly glazed with patches of bare clay")</f>
        <v>Chapata ceramics were unevenly glazed with patches of bare clay</v>
      </c>
    </row>
    <row r="1225" spans="1:3" ht="15.75" customHeight="1" x14ac:dyDescent="0.25">
      <c r="A1225" s="2" t="s">
        <v>1227</v>
      </c>
      <c r="B1225" s="3" t="s">
        <v>6</v>
      </c>
      <c r="C1225" s="2" t="str">
        <f ca="1">IFERROR(__xludf.DUMMYFUNCTION("GOOGLETRANSLATE(A1225,""bn"",""en"")"),"Impractical design that limits movement and functionality")</f>
        <v>Impractical design that limits movement and functionality</v>
      </c>
    </row>
    <row r="1226" spans="1:3" ht="15.75" customHeight="1" x14ac:dyDescent="0.25">
      <c r="A1226" s="2" t="s">
        <v>1228</v>
      </c>
      <c r="B1226" s="3" t="s">
        <v>6</v>
      </c>
      <c r="C1226" s="2" t="str">
        <f ca="1">IFERROR(__xludf.DUMMYFUNCTION("GOOGLETRANSLATE(A1226,""bn"",""en"")"),"Interiors are poorly placed resulting in inefficient use of space")</f>
        <v>Interiors are poorly placed resulting in inefficient use of space</v>
      </c>
    </row>
    <row r="1227" spans="1:3" ht="15.75" customHeight="1" x14ac:dyDescent="0.25">
      <c r="A1227" s="2" t="s">
        <v>1229</v>
      </c>
      <c r="B1227" s="3" t="s">
        <v>2</v>
      </c>
      <c r="C1227" s="2" t="str">
        <f ca="1">IFERROR(__xludf.DUMMYFUNCTION("GOOGLETRANSLATE(A1227,""bn"",""en"")"),"Can be used on computer monitors")</f>
        <v>Can be used on computer monitors</v>
      </c>
    </row>
    <row r="1228" spans="1:3" ht="15.75" customHeight="1" x14ac:dyDescent="0.25">
      <c r="A1228" s="2" t="s">
        <v>1230</v>
      </c>
      <c r="B1228" s="3" t="s">
        <v>2</v>
      </c>
      <c r="C1228" s="2" t="str">
        <f ca="1">IFERROR(__xludf.DUMMYFUNCTION("GOOGLETRANSLATE(A1228,""bn"",""en"")"),"Dumbbell grip is good but the rubber wears off quickly")</f>
        <v>Dumbbell grip is good but the rubber wears off quickly</v>
      </c>
    </row>
    <row r="1229" spans="1:3" ht="15.75" customHeight="1" x14ac:dyDescent="0.25">
      <c r="A1229" s="2" t="s">
        <v>1231</v>
      </c>
      <c r="B1229" s="3" t="s">
        <v>6</v>
      </c>
      <c r="C1229" s="2" t="str">
        <f ca="1">IFERROR(__xludf.DUMMYFUNCTION("GOOGLETRANSLATE(A1229,""bn"",""en"")"),"Unacceptable durability is an ongoing problem")</f>
        <v>Unacceptable durability is an ongoing problem</v>
      </c>
    </row>
    <row r="1230" spans="1:3" ht="15.75" customHeight="1" x14ac:dyDescent="0.25">
      <c r="A1230" s="2" t="s">
        <v>1232</v>
      </c>
      <c r="B1230" s="3" t="s">
        <v>6</v>
      </c>
      <c r="C1230" s="2" t="str">
        <f ca="1">IFERROR(__xludf.DUMMYFUNCTION("GOOGLETRANSLATE(A1230,""bn"",""en"")")," Software updates are slow to roll out, leaving it vulnerable to security threats and performance issues")</f>
        <v xml:space="preserve"> Software updates are slow to roll out, leaving it vulnerable to security threats and performance issues</v>
      </c>
    </row>
    <row r="1231" spans="1:3" ht="15.75" customHeight="1" x14ac:dyDescent="0.25">
      <c r="A1231" s="2" t="s">
        <v>1233</v>
      </c>
      <c r="B1231" s="3" t="s">
        <v>2</v>
      </c>
      <c r="C1231" s="2" t="str">
        <f ca="1">IFERROR(__xludf.DUMMYFUNCTION("GOOGLETRANSLATE(A1231,""bn"",""en"")"),"It is easy to clean but difficult to keep dry")</f>
        <v>It is easy to clean but difficult to keep dry</v>
      </c>
    </row>
    <row r="1232" spans="1:3" ht="15.75" customHeight="1" x14ac:dyDescent="0.25">
      <c r="A1232" s="2" t="s">
        <v>1234</v>
      </c>
      <c r="B1232" s="3" t="s">
        <v>2</v>
      </c>
      <c r="C1232" s="2" t="str">
        <f ca="1">IFERROR(__xludf.DUMMYFUNCTION("GOOGLETRANSLATE(A1232,""bn"",""en"")"),"Battery life is good but not exceptional")</f>
        <v>Battery life is good but not exceptional</v>
      </c>
    </row>
    <row r="1233" spans="1:3" ht="15.75" customHeight="1" x14ac:dyDescent="0.25">
      <c r="A1233" s="2" t="s">
        <v>1235</v>
      </c>
      <c r="B1233" s="3" t="s">
        <v>2</v>
      </c>
      <c r="C1233" s="2" t="str">
        <f ca="1">IFERROR(__xludf.DUMMYFUNCTION("GOOGLETRANSLATE(A1233,""bn"",""en"")"),"The lid is somewhat difficult to open")</f>
        <v>The lid is somewhat difficult to open</v>
      </c>
    </row>
    <row r="1234" spans="1:3" ht="15.75" customHeight="1" x14ac:dyDescent="0.25">
      <c r="A1234" s="2" t="s">
        <v>1236</v>
      </c>
      <c r="B1234" s="3" t="s">
        <v>2</v>
      </c>
      <c r="C1234" s="2" t="str">
        <f ca="1">IFERROR(__xludf.DUMMYFUNCTION("GOOGLETRANSLATE(A1234,""bn"",""en"")"),"I didn't get what I wanted but I like it")</f>
        <v>I didn't get what I wanted but I like it</v>
      </c>
    </row>
    <row r="1235" spans="1:3" ht="15.75" customHeight="1" x14ac:dyDescent="0.25">
      <c r="A1235" s="2" t="s">
        <v>1237</v>
      </c>
      <c r="B1235" s="3" t="s">
        <v>4</v>
      </c>
      <c r="C1235" s="2" t="str">
        <f ca="1">IFERROR(__xludf.DUMMYFUNCTION("GOOGLETRANSLATE(A1235,""bn"",""en"")"),"AC fan speed is very easy to adjust I now get the airflow I want")</f>
        <v>AC fan speed is very easy to adjust I now get the airflow I want</v>
      </c>
    </row>
    <row r="1236" spans="1:3" ht="15.75" customHeight="1" x14ac:dyDescent="0.25">
      <c r="A1236" s="2" t="s">
        <v>1238</v>
      </c>
      <c r="B1236" s="3" t="s">
        <v>6</v>
      </c>
      <c r="C1236" s="2" t="str">
        <f ca="1">IFERROR(__xludf.DUMMYFUNCTION("GOOGLETRANSLATE(A1236,""bn"",""en"")"),"The camera's construction feels cheap and lacks flimsy stability")</f>
        <v>The camera's construction feels cheap and lacks flimsy stability</v>
      </c>
    </row>
    <row r="1237" spans="1:3" ht="15.75" customHeight="1" x14ac:dyDescent="0.25">
      <c r="A1237" s="2" t="s">
        <v>1239</v>
      </c>
      <c r="B1237" s="3" t="s">
        <v>6</v>
      </c>
      <c r="C1237" s="2" t="str">
        <f ca="1">IFERROR(__xludf.DUMMYFUNCTION("GOOGLETRANSLATE(A1237,""bn"",""en"")"),"A receipt with an unpleasant chemical smell indicates subpar materials and poor manufacturing processes")</f>
        <v>A receipt with an unpleasant chemical smell indicates subpar materials and poor manufacturing processes</v>
      </c>
    </row>
    <row r="1238" spans="1:3" ht="15.75" customHeight="1" x14ac:dyDescent="0.25">
      <c r="A1238" s="2" t="s">
        <v>1240</v>
      </c>
      <c r="B1238" s="3" t="s">
        <v>2</v>
      </c>
      <c r="C1238" s="2" t="str">
        <f ca="1">IFERROR(__xludf.DUMMYFUNCTION("GOOGLETRANSLATE(A1238,""bn"",""en"")"),"Pretty good taste but it would have been better to increase the amount of concentrate")</f>
        <v>Pretty good taste but it would have been better to increase the amount of concentrate</v>
      </c>
    </row>
    <row r="1239" spans="1:3" ht="15.75" customHeight="1" x14ac:dyDescent="0.25">
      <c r="A1239" s="2" t="s">
        <v>1241</v>
      </c>
      <c r="B1239" s="3" t="s">
        <v>6</v>
      </c>
      <c r="C1239" s="2" t="str">
        <f ca="1">IFERROR(__xludf.DUMMYFUNCTION("GOOGLETRANSLATE(A1239,""bn"",""en"")")," Door is difficult to open it requires extra force to open")</f>
        <v xml:space="preserve"> Door is difficult to open it requires extra force to open</v>
      </c>
    </row>
    <row r="1240" spans="1:3" ht="15.75" customHeight="1" x14ac:dyDescent="0.25">
      <c r="A1240" s="2" t="s">
        <v>1242</v>
      </c>
      <c r="B1240" s="3" t="s">
        <v>4</v>
      </c>
      <c r="C1240" s="2" t="str">
        <f ca="1">IFERROR(__xludf.DUMMYFUNCTION("GOOGLETRANSLATE(A1240,""bn"",""en"")"),"nice gift")</f>
        <v>nice gift</v>
      </c>
    </row>
    <row r="1241" spans="1:3" ht="15.75" customHeight="1" x14ac:dyDescent="0.25">
      <c r="A1241" s="2" t="s">
        <v>1243</v>
      </c>
      <c r="B1241" s="3" t="s">
        <v>2</v>
      </c>
      <c r="C1241" s="2" t="str">
        <f ca="1">IFERROR(__xludf.DUMMYFUNCTION("GOOGLETRANSLATE(A1241,""bn"",""en"")"),"Lip balms contain menthol which creates a cooling sensation but can be irritating to sensitive lips")</f>
        <v>Lip balms contain menthol which creates a cooling sensation but can be irritating to sensitive lips</v>
      </c>
    </row>
    <row r="1242" spans="1:3" ht="15.75" customHeight="1" x14ac:dyDescent="0.25">
      <c r="A1242" s="2" t="s">
        <v>1244</v>
      </c>
      <c r="B1242" s="3" t="s">
        <v>2</v>
      </c>
      <c r="C1242" s="2" t="str">
        <f ca="1">IFERROR(__xludf.DUMMYFUNCTION("GOOGLETRANSLATE(A1242,""bn"",""en"")"),"white soil")</f>
        <v>white soil</v>
      </c>
    </row>
    <row r="1243" spans="1:3" ht="15.75" customHeight="1" x14ac:dyDescent="0.25">
      <c r="A1243" s="2" t="s">
        <v>1245</v>
      </c>
      <c r="B1243" s="3" t="s">
        <v>4</v>
      </c>
      <c r="C1243" s="2" t="str">
        <f ca="1">IFERROR(__xludf.DUMMYFUNCTION("GOOGLETRANSLATE(A1243,""bn"",""en"")"),"The soap reduces the dryness of the skin")</f>
        <v>The soap reduces the dryness of the skin</v>
      </c>
    </row>
    <row r="1244" spans="1:3" ht="15.75" customHeight="1" x14ac:dyDescent="0.25">
      <c r="A1244" s="2" t="s">
        <v>1246</v>
      </c>
      <c r="B1244" s="3" t="s">
        <v>4</v>
      </c>
      <c r="C1244" s="2" t="str">
        <f ca="1">IFERROR(__xludf.DUMMYFUNCTION("GOOGLETRANSLATE(A1244,""bn"",""en"")"),"Easy and convenient to operate")</f>
        <v>Easy and convenient to operate</v>
      </c>
    </row>
    <row r="1245" spans="1:3" ht="15.75" customHeight="1" x14ac:dyDescent="0.25">
      <c r="A1245" s="2" t="s">
        <v>1247</v>
      </c>
      <c r="B1245" s="3" t="s">
        <v>2</v>
      </c>
      <c r="C1245" s="2" t="str">
        <f ca="1">IFERROR(__xludf.DUMMYFUNCTION("GOOGLETRANSLATE(A1245,""bn"",""en"")"),"No special benefit is seen in long-term use")</f>
        <v>No special benefit is seen in long-term use</v>
      </c>
    </row>
    <row r="1246" spans="1:3" ht="15.75" customHeight="1" x14ac:dyDescent="0.25">
      <c r="A1246" s="2" t="s">
        <v>1248</v>
      </c>
      <c r="B1246" s="3" t="s">
        <v>4</v>
      </c>
      <c r="C1246" s="2" t="str">
        <f ca="1">IFERROR(__xludf.DUMMYFUNCTION("GOOGLETRANSLATE(A1246,""bn"",""en"")"),"The packet contains a sufficient number of pads")</f>
        <v>The packet contains a sufficient number of pads</v>
      </c>
    </row>
    <row r="1247" spans="1:3" ht="15.75" customHeight="1" x14ac:dyDescent="0.25">
      <c r="A1247" s="2" t="s">
        <v>1249</v>
      </c>
      <c r="B1247" s="3" t="s">
        <v>2</v>
      </c>
      <c r="C1247" s="2" t="str">
        <f ca="1">IFERROR(__xludf.DUMMYFUNCTION("GOOGLETRANSLATE(A1247,""bn"",""en"")"),"The quality is average and the fit is average")</f>
        <v>The quality is average and the fit is average</v>
      </c>
    </row>
    <row r="1248" spans="1:3" ht="15.75" customHeight="1" x14ac:dyDescent="0.25">
      <c r="A1248" s="2" t="s">
        <v>1250</v>
      </c>
      <c r="B1248" s="3" t="s">
        <v>4</v>
      </c>
      <c r="C1248" s="2" t="str">
        <f ca="1">IFERROR(__xludf.DUMMYFUNCTION("GOOGLETRANSLATE(A1248,""bn"",""en"")"),"Very impressive")</f>
        <v>Very impressive</v>
      </c>
    </row>
    <row r="1249" spans="1:3" ht="15.75" customHeight="1" x14ac:dyDescent="0.25">
      <c r="A1249" s="2" t="s">
        <v>1251</v>
      </c>
      <c r="B1249" s="3" t="s">
        <v>2</v>
      </c>
      <c r="C1249" s="2" t="str">
        <f ca="1">IFERROR(__xludf.DUMMYFUNCTION("GOOGLETRANSLATE(A1249,""bn"",""en"")"),"Beautiful and fairly good quality")</f>
        <v>Beautiful and fairly good quality</v>
      </c>
    </row>
    <row r="1250" spans="1:3" ht="15.75" customHeight="1" x14ac:dyDescent="0.25">
      <c r="A1250" s="2" t="s">
        <v>1252</v>
      </c>
      <c r="B1250" s="3" t="s">
        <v>6</v>
      </c>
      <c r="C1250" s="2" t="str">
        <f ca="1">IFERROR(__xludf.DUMMYFUNCTION("GOOGLETRANSLATE(A1250,""bn"",""en"")")," Control panel not responsive to touch Requires additional pressure to activate")</f>
        <v xml:space="preserve"> Control panel not responsive to touch Requires additional pressure to activate</v>
      </c>
    </row>
    <row r="1251" spans="1:3" ht="15.75" customHeight="1" x14ac:dyDescent="0.25">
      <c r="A1251" s="2" t="s">
        <v>1253</v>
      </c>
      <c r="B1251" s="3" t="s">
        <v>6</v>
      </c>
      <c r="C1251" s="2" t="str">
        <f ca="1">IFERROR(__xludf.DUMMYFUNCTION("GOOGLETRANSLATE(A1251,""bn"",""en"")"),"The product does not live up to its claims of improving hair texture and shine")</f>
        <v>The product does not live up to its claims of improving hair texture and shine</v>
      </c>
    </row>
    <row r="1252" spans="1:3" ht="15.75" customHeight="1" x14ac:dyDescent="0.25">
      <c r="A1252" s="2" t="s">
        <v>1254</v>
      </c>
      <c r="B1252" s="3" t="s">
        <v>4</v>
      </c>
      <c r="C1252" s="2" t="str">
        <f ca="1">IFERROR(__xludf.DUMMYFUNCTION("GOOGLETRANSLATE(A1252,""bn"",""en"")"),"As per the price the laptop is very good fully satisfied the performance is really good compared to the price of the product")</f>
        <v>As per the price the laptop is very good fully satisfied the performance is really good compared to the price of the product</v>
      </c>
    </row>
    <row r="1253" spans="1:3" ht="15.75" customHeight="1" x14ac:dyDescent="0.25">
      <c r="A1253" s="2" t="s">
        <v>1255</v>
      </c>
      <c r="B1253" s="3" t="s">
        <v>2</v>
      </c>
      <c r="C1253" s="2" t="str">
        <f ca="1">IFERROR(__xludf.DUMMYFUNCTION("GOOGLETRANSLATE(A1253,""bn"",""en"")"),"The taste was not bad but had an artificial smell")</f>
        <v>The taste was not bad but had an artificial smell</v>
      </c>
    </row>
    <row r="1254" spans="1:3" ht="15.75" customHeight="1" x14ac:dyDescent="0.25">
      <c r="A1254" s="2" t="s">
        <v>1256</v>
      </c>
      <c r="B1254" s="3" t="s">
        <v>4</v>
      </c>
      <c r="C1254" s="2" t="str">
        <f ca="1">IFERROR(__xludf.DUMMYFUNCTION("GOOGLETRANSLATE(A1254,""bn"",""en"")"),"The flower created a romantic mood in my room")</f>
        <v>The flower created a romantic mood in my room</v>
      </c>
    </row>
    <row r="1255" spans="1:3" ht="15.75" customHeight="1" x14ac:dyDescent="0.25">
      <c r="A1255" s="2" t="s">
        <v>1257</v>
      </c>
      <c r="B1255" s="3" t="s">
        <v>6</v>
      </c>
      <c r="C1255" s="2" t="str">
        <f ca="1">IFERROR(__xludf.DUMMYFUNCTION("GOOGLETRANSLATE(A1255,""bn"",""en"")"),"The fragrance was overly perfumed masking the natural scent of the tea leaves")</f>
        <v>The fragrance was overly perfumed masking the natural scent of the tea leaves</v>
      </c>
    </row>
    <row r="1256" spans="1:3" ht="15.75" customHeight="1" x14ac:dyDescent="0.25">
      <c r="A1256" s="2" t="s">
        <v>1258</v>
      </c>
      <c r="B1256" s="3" t="s">
        <v>2</v>
      </c>
      <c r="C1256" s="2" t="str">
        <f ca="1">IFERROR(__xludf.DUMMYFUNCTION("GOOGLETRANSLATE(A1256,""bn"",""en"")"),"Anker Soundcore Life Q is ok considering the price, not great")</f>
        <v>Anker Soundcore Life Q is ok considering the price, not great</v>
      </c>
    </row>
    <row r="1257" spans="1:3" ht="15.75" customHeight="1" x14ac:dyDescent="0.25">
      <c r="A1257" s="2" t="s">
        <v>1259</v>
      </c>
      <c r="B1257" s="3" t="s">
        <v>2</v>
      </c>
      <c r="C1257" s="2" t="str">
        <f ca="1">IFERROR(__xludf.DUMMYFUNCTION("GOOGLETRANSLATE(A1257,""bn"",""en"")"),"The stitches should be tighter in some places")</f>
        <v>The stitches should be tighter in some places</v>
      </c>
    </row>
    <row r="1258" spans="1:3" ht="15.75" customHeight="1" x14ac:dyDescent="0.25">
      <c r="A1258" s="2" t="s">
        <v>1260</v>
      </c>
      <c r="B1258" s="3" t="s">
        <v>4</v>
      </c>
      <c r="C1258" s="2" t="str">
        <f ca="1">IFERROR(__xludf.DUMMYFUNCTION("GOOGLETRANSLATE(A1258,""bn"",""en"")"),"This body wash removes skin bacteria")</f>
        <v>This body wash removes skin bacteria</v>
      </c>
    </row>
    <row r="1259" spans="1:3" ht="15.75" customHeight="1" x14ac:dyDescent="0.25">
      <c r="A1259" s="2" t="s">
        <v>1261</v>
      </c>
      <c r="B1259" s="3" t="s">
        <v>4</v>
      </c>
      <c r="C1259" s="2" t="str">
        <f ca="1">IFERROR(__xludf.DUMMYFUNCTION("GOOGLETRANSLATE(A1259,""bn"",""en"")"),"The colors of the cupboards go well with the other furniture in my room")</f>
        <v>The colors of the cupboards go well with the other furniture in my room</v>
      </c>
    </row>
    <row r="1260" spans="1:3" ht="15.75" customHeight="1" x14ac:dyDescent="0.25">
      <c r="A1260" s="2" t="s">
        <v>1262</v>
      </c>
      <c r="B1260" s="3" t="s">
        <v>6</v>
      </c>
      <c r="C1260" s="2" t="str">
        <f ca="1">IFERROR(__xludf.DUMMYFUNCTION("GOOGLETRANSLATE(A1260,""bn"",""en"")"),"  The mist was a cheap artificial scent that I could not stand")</f>
        <v xml:space="preserve">  The mist was a cheap artificial scent that I could not stand</v>
      </c>
    </row>
    <row r="1261" spans="1:3" ht="15.75" customHeight="1" x14ac:dyDescent="0.25">
      <c r="A1261" s="2" t="s">
        <v>1263</v>
      </c>
      <c r="B1261" s="3" t="s">
        <v>6</v>
      </c>
      <c r="C1261" s="2" t="str">
        <f ca="1">IFERROR(__xludf.DUMMYFUNCTION("GOOGLETRANSLATE(A1261,""bn"",""en"")"),"The tea had a metallic aftertaste probably due to improper brewing equipment")</f>
        <v>The tea had a metallic aftertaste probably due to improper brewing equipment</v>
      </c>
    </row>
    <row r="1262" spans="1:3" ht="15.75" customHeight="1" x14ac:dyDescent="0.25">
      <c r="A1262" s="2" t="s">
        <v>1264</v>
      </c>
      <c r="B1262" s="3" t="s">
        <v>4</v>
      </c>
      <c r="C1262" s="2" t="str">
        <f ca="1">IFERROR(__xludf.DUMMYFUNCTION("GOOGLETRANSLATE(A1262,""bn"",""en"")"),"The product is very nice and good great product very nice best ")</f>
        <v xml:space="preserve">The product is very nice and good great product very nice best </v>
      </c>
    </row>
    <row r="1263" spans="1:3" ht="15.75" customHeight="1" x14ac:dyDescent="0.25">
      <c r="A1263" s="2" t="s">
        <v>1265</v>
      </c>
      <c r="B1263" s="3" t="s">
        <v>4</v>
      </c>
      <c r="C1263" s="2" t="str">
        <f ca="1">IFERROR(__xludf.DUMMYFUNCTION("GOOGLETRANSLATE(A1263,""bn"",""en"")"),"Looks good works well will buy a second one")</f>
        <v>Looks good works well will buy a second one</v>
      </c>
    </row>
    <row r="1264" spans="1:3" ht="15.75" customHeight="1" x14ac:dyDescent="0.25">
      <c r="A1264" s="2" t="s">
        <v>1266</v>
      </c>
      <c r="B1264" s="3" t="s">
        <v>6</v>
      </c>
      <c r="C1264" s="2" t="str">
        <f ca="1">IFERROR(__xludf.DUMMYFUNCTION("GOOGLETRANSLATE(A1264,""bn"",""en"")"),"It was difficult to wash off the oil in the shower")</f>
        <v>It was difficult to wash off the oil in the shower</v>
      </c>
    </row>
    <row r="1265" spans="1:3" ht="15.75" customHeight="1" x14ac:dyDescent="0.25">
      <c r="A1265" s="2" t="s">
        <v>1267</v>
      </c>
      <c r="B1265" s="3" t="s">
        <v>4</v>
      </c>
      <c r="C1265" s="2" t="str">
        <f ca="1">IFERROR(__xludf.DUMMYFUNCTION("GOOGLETRANSLATE(A1265,""bn"",""en"")"),"I personally suggest you can remove background noise very smoothly.")</f>
        <v>I personally suggest you can remove background noise very smoothly.</v>
      </c>
    </row>
    <row r="1266" spans="1:3" ht="15.75" customHeight="1" x14ac:dyDescent="0.25">
      <c r="A1266" s="2" t="s">
        <v>1268</v>
      </c>
      <c r="B1266" s="3" t="s">
        <v>4</v>
      </c>
      <c r="C1266" s="2" t="str">
        <f ca="1">IFERROR(__xludf.DUMMYFUNCTION("GOOGLETRANSLATE(A1266,""bn"",""en"")"),"I really like the fast charging capability")</f>
        <v>I really like the fast charging capability</v>
      </c>
    </row>
    <row r="1267" spans="1:3" ht="15.75" customHeight="1" x14ac:dyDescent="0.25">
      <c r="A1267" s="2" t="s">
        <v>1269</v>
      </c>
      <c r="B1267" s="3" t="s">
        <v>6</v>
      </c>
      <c r="C1267" s="2" t="str">
        <f ca="1">IFERROR(__xludf.DUMMYFUNCTION("GOOGLETRANSLATE(A1267,""bn"",""en"")"),"High prices with little quality and design flaws do not match the latest")</f>
        <v>High prices with little quality and design flaws do not match the latest</v>
      </c>
    </row>
    <row r="1268" spans="1:3" ht="15.75" customHeight="1" x14ac:dyDescent="0.25">
      <c r="A1268" s="2" t="s">
        <v>1270</v>
      </c>
      <c r="B1268" s="3" t="s">
        <v>6</v>
      </c>
      <c r="C1268" s="2" t="str">
        <f ca="1">IFERROR(__xludf.DUMMYFUNCTION("GOOGLETRANSLATE(A1268,""bn"",""en"")"),"Slightly better than the cord included in the kit")</f>
        <v>Slightly better than the cord included in the kit</v>
      </c>
    </row>
    <row r="1269" spans="1:3" ht="15.75" customHeight="1" x14ac:dyDescent="0.25">
      <c r="A1269" s="2" t="s">
        <v>1271</v>
      </c>
      <c r="B1269" s="3" t="s">
        <v>2</v>
      </c>
      <c r="C1269" s="2" t="str">
        <f ca="1">IFERROR(__xludf.DUMMYFUNCTION("GOOGLETRANSLATE(A1269,""bn"",""en"")"),"The taste is ok but a bit heavy")</f>
        <v>The taste is ok but a bit heavy</v>
      </c>
    </row>
    <row r="1270" spans="1:3" ht="15.75" customHeight="1" x14ac:dyDescent="0.25">
      <c r="A1270" s="2" t="s">
        <v>1272</v>
      </c>
      <c r="B1270" s="3" t="s">
        <v>6</v>
      </c>
      <c r="C1270" s="2" t="str">
        <f ca="1">IFERROR(__xludf.DUMMYFUNCTION("GOOGLETRANSLATE(A1270,""bn"",""en"")"),"Quality concerns lack of sustainability")</f>
        <v>Quality concerns lack of sustainability</v>
      </c>
    </row>
    <row r="1271" spans="1:3" ht="15.75" customHeight="1" x14ac:dyDescent="0.25">
      <c r="A1271" s="2" t="s">
        <v>1273</v>
      </c>
      <c r="B1271" s="3" t="s">
        <v>6</v>
      </c>
      <c r="C1271" s="2" t="str">
        <f ca="1">IFERROR(__xludf.DUMMYFUNCTION("GOOGLETRANSLATE(A1271,""bn"",""en"")"),"Canned fruit had a metallic taste indicating poor quality")</f>
        <v>Canned fruit had a metallic taste indicating poor quality</v>
      </c>
    </row>
    <row r="1272" spans="1:3" ht="15.75" customHeight="1" x14ac:dyDescent="0.25">
      <c r="A1272" s="2" t="s">
        <v>1274</v>
      </c>
      <c r="B1272" s="3" t="s">
        <v>6</v>
      </c>
      <c r="C1272" s="2" t="str">
        <f ca="1">IFERROR(__xludf.DUMMYFUNCTION("GOOGLETRANSLATE(A1272,""bn"",""en"")"),"Packaged instant oatmeal had a pasty texture and overly sweet flavor that lacked the heartiness of homemade oats")</f>
        <v>Packaged instant oatmeal had a pasty texture and overly sweet flavor that lacked the heartiness of homemade oats</v>
      </c>
    </row>
    <row r="1273" spans="1:3" ht="15.75" customHeight="1" x14ac:dyDescent="0.25">
      <c r="A1273" s="2" t="s">
        <v>1275</v>
      </c>
      <c r="B1273" s="3" t="s">
        <v>4</v>
      </c>
      <c r="C1273" s="2" t="str">
        <f ca="1">IFERROR(__xludf.DUMMYFUNCTION("GOOGLETRANSLATE(A1273,""bn"",""en"")"),"The color lasts longer")</f>
        <v>The color lasts longer</v>
      </c>
    </row>
    <row r="1274" spans="1:3" ht="15.75" customHeight="1" x14ac:dyDescent="0.25">
      <c r="A1274" s="2" t="s">
        <v>1276</v>
      </c>
      <c r="B1274" s="3" t="s">
        <v>2</v>
      </c>
      <c r="C1274" s="2" t="str">
        <f ca="1">IFERROR(__xludf.DUMMYFUNCTION("GOOGLETRANSLATE(A1274,""bn"",""en"")"),"It takes a good idea to do the job")</f>
        <v>It takes a good idea to do the job</v>
      </c>
    </row>
    <row r="1275" spans="1:3" ht="15.75" customHeight="1" x14ac:dyDescent="0.25">
      <c r="A1275" s="2" t="s">
        <v>1277</v>
      </c>
      <c r="B1275" s="3" t="s">
        <v>4</v>
      </c>
      <c r="C1275" s="2" t="str">
        <f ca="1">IFERROR(__xludf.DUMMYFUNCTION("GOOGLETRANSLATE(A1275,""bn"",""en"")"),"It can be cleaned easily")</f>
        <v>It can be cleaned easily</v>
      </c>
    </row>
    <row r="1276" spans="1:3" ht="15.75" customHeight="1" x14ac:dyDescent="0.25">
      <c r="A1276" s="2" t="s">
        <v>1278</v>
      </c>
      <c r="B1276" s="3" t="s">
        <v>4</v>
      </c>
      <c r="C1276" s="2" t="str">
        <f ca="1">IFERROR(__xludf.DUMMYFUNCTION("GOOGLETRANSLATE(A1276,""bn"",""en"")"),"Use of this shampoo reduces hair dryness")</f>
        <v>Use of this shampoo reduces hair dryness</v>
      </c>
    </row>
    <row r="1277" spans="1:3" ht="15.75" customHeight="1" x14ac:dyDescent="0.25">
      <c r="A1277" s="2" t="s">
        <v>1279</v>
      </c>
      <c r="B1277" s="3" t="s">
        <v>2</v>
      </c>
      <c r="C1277" s="2" t="str">
        <f ca="1">IFERROR(__xludf.DUMMYFUNCTION("GOOGLETRANSLATE(A1277,""bn"",""en"")"),"The portable ink jet printer tester tests cartridges but the display is small")</f>
        <v>The portable ink jet printer tester tests cartridges but the display is small</v>
      </c>
    </row>
    <row r="1278" spans="1:3" ht="15.75" customHeight="1" x14ac:dyDescent="0.25">
      <c r="A1278" s="2" t="s">
        <v>1280</v>
      </c>
      <c r="B1278" s="3" t="s">
        <v>4</v>
      </c>
      <c r="C1278" s="2" t="str">
        <f ca="1">IFERROR(__xludf.DUMMYFUNCTION("GOOGLETRANSLATE(A1278,""bn"",""en"")"),"The TV remote is very easy to use")</f>
        <v>The TV remote is very easy to use</v>
      </c>
    </row>
    <row r="1279" spans="1:3" ht="15.75" customHeight="1" x14ac:dyDescent="0.25">
      <c r="A1279" s="2" t="s">
        <v>1281</v>
      </c>
      <c r="B1279" s="3" t="s">
        <v>2</v>
      </c>
      <c r="C1279" s="2" t="str">
        <f ca="1">IFERROR(__xludf.DUMMYFUNCTION("GOOGLETRANSLATE(A1279,""bn"",""en"")"),"Okay socks aren't great")</f>
        <v>Okay socks aren't great</v>
      </c>
    </row>
    <row r="1280" spans="1:3" ht="15.75" customHeight="1" x14ac:dyDescent="0.25">
      <c r="A1280" s="2" t="s">
        <v>1282</v>
      </c>
      <c r="B1280" s="3" t="s">
        <v>6</v>
      </c>
      <c r="C1280" s="2" t="str">
        <f ca="1">IFERROR(__xludf.DUMMYFUNCTION("GOOGLETRANSLATE(A1280,""bn"",""en"")")," The interior light stopped working soon after purchase making it difficult to see inside")</f>
        <v xml:space="preserve"> The interior light stopped working soon after purchase making it difficult to see inside</v>
      </c>
    </row>
    <row r="1281" spans="1:3" ht="15.75" customHeight="1" x14ac:dyDescent="0.25">
      <c r="A1281" s="2" t="s">
        <v>1283</v>
      </c>
      <c r="B1281" s="3" t="s">
        <v>4</v>
      </c>
      <c r="C1281" s="2" t="str">
        <f ca="1">IFERROR(__xludf.DUMMYFUNCTION("GOOGLETRANSLATE(A1281,""bn"",""en"")"),"The boy won first place in the race")</f>
        <v>The boy won first place in the race</v>
      </c>
    </row>
    <row r="1282" spans="1:3" ht="15.75" customHeight="1" x14ac:dyDescent="0.25">
      <c r="A1282" s="2" t="s">
        <v>1284</v>
      </c>
      <c r="B1282" s="3" t="s">
        <v>2</v>
      </c>
      <c r="C1282" s="2" t="str">
        <f ca="1">IFERROR(__xludf.DUMMYFUNCTION("GOOGLETRANSLATE(A1282,""bn"",""en"")"),"Works great with some limitations")</f>
        <v>Works great with some limitations</v>
      </c>
    </row>
    <row r="1283" spans="1:3" ht="15.75" customHeight="1" x14ac:dyDescent="0.25">
      <c r="A1283" s="2" t="s">
        <v>1285</v>
      </c>
      <c r="B1283" s="3" t="s">
        <v>4</v>
      </c>
      <c r="C1283" s="2" t="str">
        <f ca="1">IFERROR(__xludf.DUMMYFUNCTION("GOOGLETRANSLATE(A1283,""bn"",""en"")"),"Hair fall has reduced a lot with the use of this shampoo")</f>
        <v>Hair fall has reduced a lot with the use of this shampoo</v>
      </c>
    </row>
    <row r="1284" spans="1:3" ht="15.75" customHeight="1" x14ac:dyDescent="0.25">
      <c r="A1284" s="2" t="s">
        <v>1286</v>
      </c>
      <c r="B1284" s="3" t="s">
        <v>2</v>
      </c>
      <c r="C1284" s="2" t="str">
        <f ca="1">IFERROR(__xludf.DUMMYFUNCTION("GOOGLETRANSLATE(A1284,""bn"",""en"")"),"A dry rack is useful for drying clothes, but it takes up more space")</f>
        <v>A dry rack is useful for drying clothes, but it takes up more space</v>
      </c>
    </row>
    <row r="1285" spans="1:3" ht="15.75" customHeight="1" x14ac:dyDescent="0.25">
      <c r="A1285" s="2" t="s">
        <v>1287</v>
      </c>
      <c r="B1285" s="3" t="s">
        <v>6</v>
      </c>
      <c r="C1285" s="2" t="str">
        <f ca="1">IFERROR(__xludf.DUMMYFUNCTION("GOOGLETRANSLATE(A1285,""bn"",""en"")")," Bluetooth connectivity eliminates unreliable frequent connections or experiencing latency issues during playback")</f>
        <v xml:space="preserve"> Bluetooth connectivity eliminates unreliable frequent connections or experiencing latency issues during playback</v>
      </c>
    </row>
    <row r="1286" spans="1:3" ht="15.75" customHeight="1" x14ac:dyDescent="0.25">
      <c r="A1286" s="2" t="s">
        <v>1288</v>
      </c>
      <c r="B1286" s="3" t="s">
        <v>6</v>
      </c>
      <c r="C1286" s="2" t="str">
        <f ca="1">IFERROR(__xludf.DUMMYFUNCTION("GOOGLETRANSLATE(A1286,""bn"",""en"")")," The fabric feels rough and itchy against the skin causing discomfort and irritation when worn")</f>
        <v xml:space="preserve"> The fabric feels rough and itchy against the skin causing discomfort and irritation when worn</v>
      </c>
    </row>
    <row r="1287" spans="1:3" ht="15.75" customHeight="1" x14ac:dyDescent="0.25">
      <c r="A1287" s="2" t="s">
        <v>1289</v>
      </c>
      <c r="B1287" s="3" t="s">
        <v>4</v>
      </c>
      <c r="C1287" s="2" t="str">
        <f ca="1">IFERROR(__xludf.DUMMYFUNCTION("GOOGLETRANSLATE(A1287,""bn"",""en"")"),"The toy is very good, the child likes it")</f>
        <v>The toy is very good, the child likes it</v>
      </c>
    </row>
    <row r="1288" spans="1:3" ht="15.75" customHeight="1" x14ac:dyDescent="0.25">
      <c r="A1288" s="2" t="s">
        <v>1290</v>
      </c>
      <c r="B1288" s="3" t="s">
        <v>4</v>
      </c>
      <c r="C1288" s="2" t="str">
        <f ca="1">IFERROR(__xludf.DUMMYFUNCTION("GOOGLETRANSLATE(A1288,""bn"",""en"")"),"The child goes for a walk with his grandfather every morning")</f>
        <v>The child goes for a walk with his grandfather every morning</v>
      </c>
    </row>
    <row r="1289" spans="1:3" ht="15.75" customHeight="1" x14ac:dyDescent="0.25">
      <c r="A1289" s="2" t="s">
        <v>1291</v>
      </c>
      <c r="B1289" s="3" t="s">
        <v>2</v>
      </c>
      <c r="C1289" s="2" t="str">
        <f ca="1">IFERROR(__xludf.DUMMYFUNCTION("GOOGLETRANSLATE(A1289,""bn"",""en"")"),"The mop cloth seems to hold water well")</f>
        <v>The mop cloth seems to hold water well</v>
      </c>
    </row>
    <row r="1290" spans="1:3" ht="15.75" customHeight="1" x14ac:dyDescent="0.25">
      <c r="A1290" s="2" t="s">
        <v>1292</v>
      </c>
      <c r="B1290" s="3" t="s">
        <v>6</v>
      </c>
      <c r="C1290" s="2" t="str">
        <f ca="1">IFERROR(__xludf.DUMMYFUNCTION("GOOGLETRANSLATE(A1290,""bn"",""en"")"),"Untrusted closure mechanisms fail to keep content secure")</f>
        <v>Untrusted closure mechanisms fail to keep content secure</v>
      </c>
    </row>
    <row r="1291" spans="1:3" ht="15.75" customHeight="1" x14ac:dyDescent="0.25">
      <c r="A1291" s="2" t="s">
        <v>1293</v>
      </c>
      <c r="B1291" s="3" t="s">
        <v>6</v>
      </c>
      <c r="C1291" s="2" t="str">
        <f ca="1">IFERROR(__xludf.DUMMYFUNCTION("GOOGLETRANSLATE(A1291,""bn"",""en"")"),"Hairspray didn't hold my hair in place and my hair felt stiff")</f>
        <v>Hairspray didn't hold my hair in place and my hair felt stiff</v>
      </c>
    </row>
    <row r="1292" spans="1:3" ht="15.75" customHeight="1" x14ac:dyDescent="0.25">
      <c r="A1292" s="2" t="s">
        <v>1294</v>
      </c>
      <c r="B1292" s="3" t="s">
        <v>2</v>
      </c>
      <c r="C1292" s="2" t="str">
        <f ca="1">IFERROR(__xludf.DUMMYFUNCTION("GOOGLETRANSLATE(A1292,""bn"",""en"")"),"The design is quite nice but the fabric is a bit thin")</f>
        <v>The design is quite nice but the fabric is a bit thin</v>
      </c>
    </row>
    <row r="1293" spans="1:3" ht="15.75" customHeight="1" x14ac:dyDescent="0.25">
      <c r="A1293" s="2" t="s">
        <v>1295</v>
      </c>
      <c r="B1293" s="3" t="s">
        <v>4</v>
      </c>
      <c r="C1293" s="2" t="str">
        <f ca="1">IFERROR(__xludf.DUMMYFUNCTION("GOOGLETRANSLATE(A1293,""bn"",""en"")"),"I feel much more attractive when I wear it")</f>
        <v>I feel much more attractive when I wear it</v>
      </c>
    </row>
    <row r="1294" spans="1:3" ht="15.75" customHeight="1" x14ac:dyDescent="0.25">
      <c r="A1294" s="2" t="s">
        <v>1296</v>
      </c>
      <c r="B1294" s="3" t="s">
        <v>6</v>
      </c>
      <c r="C1294" s="2" t="str">
        <f ca="1">IFERROR(__xludf.DUMMYFUNCTION("GOOGLETRANSLATE(A1294,""bn"",""en"")"),"The product is not as effective as I thought it would be ")</f>
        <v xml:space="preserve">The product is not as effective as I thought it would be </v>
      </c>
    </row>
    <row r="1295" spans="1:3" ht="15.75" customHeight="1" x14ac:dyDescent="0.25">
      <c r="A1295" s="2" t="s">
        <v>1297</v>
      </c>
      <c r="B1295" s="3" t="s">
        <v>6</v>
      </c>
      <c r="C1295" s="2" t="str">
        <f ca="1">IFERROR(__xludf.DUMMYFUNCTION("GOOGLETRANSLATE(A1295,""bn"",""en"")"),"  The serum felt sticky and did not absorb properly")</f>
        <v xml:space="preserve">  The serum felt sticky and did not absorb properly</v>
      </c>
    </row>
    <row r="1296" spans="1:3" ht="15.75" customHeight="1" x14ac:dyDescent="0.25">
      <c r="A1296" s="2" t="s">
        <v>1298</v>
      </c>
      <c r="B1296" s="3" t="s">
        <v>4</v>
      </c>
      <c r="C1296" s="2" t="str">
        <f ca="1">IFERROR(__xludf.DUMMYFUNCTION("GOOGLETRANSLATE(A1296,""bn"",""en"")"),"Light and comfortable")</f>
        <v>Light and comfortable</v>
      </c>
    </row>
    <row r="1297" spans="1:3" ht="15.75" customHeight="1" x14ac:dyDescent="0.25">
      <c r="A1297" s="2" t="s">
        <v>1299</v>
      </c>
      <c r="B1297" s="3" t="s">
        <v>6</v>
      </c>
      <c r="C1297" s="2" t="str">
        <f ca="1">IFERROR(__xludf.DUMMYFUNCTION("GOOGLETRANSLATE(A1297,""bn"",""en"")"),"Image settings reset to defaults after each power cycle requiring constant reconfiguration")</f>
        <v>Image settings reset to defaults after each power cycle requiring constant reconfiguration</v>
      </c>
    </row>
    <row r="1298" spans="1:3" ht="15.75" customHeight="1" x14ac:dyDescent="0.25">
      <c r="A1298" s="2" t="s">
        <v>1300</v>
      </c>
      <c r="B1298" s="3" t="s">
        <v>6</v>
      </c>
      <c r="C1298" s="2" t="str">
        <f ca="1">IFERROR(__xludf.DUMMYFUNCTION("GOOGLETRANSLATE(A1298,""bn"",""en"")"),"Absolutely disappointing to receive one with tears and stains")</f>
        <v>Absolutely disappointing to receive one with tears and stains</v>
      </c>
    </row>
    <row r="1299" spans="1:3" ht="15.75" customHeight="1" x14ac:dyDescent="0.25">
      <c r="A1299" s="2" t="s">
        <v>1301</v>
      </c>
      <c r="B1299" s="3" t="s">
        <v>6</v>
      </c>
      <c r="C1299" s="2" t="str">
        <f ca="1">IFERROR(__xludf.DUMMYFUNCTION("GOOGLETRANSLATE(A1299,""bn"",""en"")"),"The wheels of the toy did not roll smoothly and stuck easily")</f>
        <v>The wheels of the toy did not roll smoothly and stuck easily</v>
      </c>
    </row>
    <row r="1300" spans="1:3" ht="15.75" customHeight="1" x14ac:dyDescent="0.25">
      <c r="A1300" s="2" t="s">
        <v>1302</v>
      </c>
      <c r="B1300" s="3" t="s">
        <v>4</v>
      </c>
      <c r="C1300" s="2" t="str">
        <f ca="1">IFERROR(__xludf.DUMMYFUNCTION("GOOGLETRANSLATE(A1300,""bn"",""en"")"),"The garment does not fold easily")</f>
        <v>The garment does not fold easily</v>
      </c>
    </row>
    <row r="1301" spans="1:3" ht="15.75" customHeight="1" x14ac:dyDescent="0.25">
      <c r="A1301" s="2" t="s">
        <v>1303</v>
      </c>
      <c r="B1301" s="3" t="s">
        <v>2</v>
      </c>
      <c r="C1301" s="2" t="str">
        <f ca="1">IFERROR(__xludf.DUMMYFUNCTION("GOOGLETRANSLATE(A1301,""bn"",""en"")"),"Color change is a bit slow")</f>
        <v>Color change is a bit slow</v>
      </c>
    </row>
    <row r="1302" spans="1:3" ht="15.75" customHeight="1" x14ac:dyDescent="0.25">
      <c r="A1302" s="2" t="s">
        <v>1304</v>
      </c>
      <c r="B1302" s="3" t="s">
        <v>6</v>
      </c>
      <c r="C1302" s="2" t="str">
        <f ca="1">IFERROR(__xludf.DUMMYFUNCTION("GOOGLETRANSLATE(A1302,""bn"",""en"")"),"Despite its sleek design, the device failed to deliver on its promise of fast and efficient performance leaving me frustrated and disappointed")</f>
        <v>Despite its sleek design, the device failed to deliver on its promise of fast and efficient performance leaving me frustrated and disappointed</v>
      </c>
    </row>
    <row r="1303" spans="1:3" ht="15.75" customHeight="1" x14ac:dyDescent="0.25">
      <c r="A1303" s="2" t="s">
        <v>1305</v>
      </c>
      <c r="B1303" s="3" t="s">
        <v>4</v>
      </c>
      <c r="C1303" s="2" t="str">
        <f ca="1">IFERROR(__xludf.DUMMYFUNCTION("GOOGLETRANSLATE(A1303,""bn"",""en"")"),"I wear these earrings to the office and colleagues compliment me")</f>
        <v>I wear these earrings to the office and colleagues compliment me</v>
      </c>
    </row>
    <row r="1304" spans="1:3" ht="15.75" customHeight="1" x14ac:dyDescent="0.25">
      <c r="A1304" s="2" t="s">
        <v>1306</v>
      </c>
      <c r="B1304" s="3" t="s">
        <v>4</v>
      </c>
      <c r="C1304" s="2" t="str">
        <f ca="1">IFERROR(__xludf.DUMMYFUNCTION("GOOGLETRANSLATE(A1304,""bn"",""en"")"),"The school's new sports equipment is very good")</f>
        <v>The school's new sports equipment is very good</v>
      </c>
    </row>
    <row r="1305" spans="1:3" ht="15.75" customHeight="1" x14ac:dyDescent="0.25">
      <c r="A1305" s="2" t="s">
        <v>1307</v>
      </c>
      <c r="B1305" s="3" t="s">
        <v>4</v>
      </c>
      <c r="C1305" s="2" t="str">
        <f ca="1">IFERROR(__xludf.DUMMYFUNCTION("GOOGLETRANSLATE(A1305,""bn"",""en"")"),"It is an important part of my daughter's education and development ")</f>
        <v xml:space="preserve">It is an important part of my daughter's education and development </v>
      </c>
    </row>
    <row r="1306" spans="1:3" ht="15.75" customHeight="1" x14ac:dyDescent="0.25">
      <c r="A1306" s="2" t="s">
        <v>1308</v>
      </c>
      <c r="B1306" s="3" t="s">
        <v>6</v>
      </c>
      <c r="C1306" s="2" t="str">
        <f ca="1">IFERROR(__xludf.DUMMYFUNCTION("GOOGLETRANSLATE(A1306,""bn"",""en"")")," T looks much frumpier in person than in photos, disappointing the buyer")</f>
        <v xml:space="preserve"> T looks much frumpier in person than in photos, disappointing the buyer</v>
      </c>
    </row>
    <row r="1307" spans="1:3" ht="15.75" customHeight="1" x14ac:dyDescent="0.25">
      <c r="A1307" s="2" t="s">
        <v>1309</v>
      </c>
      <c r="B1307" s="3" t="s">
        <v>6</v>
      </c>
      <c r="C1307" s="2" t="str">
        <f ca="1">IFERROR(__xludf.DUMMYFUNCTION("GOOGLETRANSLATE(A1307,""bn"",""en"")"),"The vacuum-sealed meat had an off-flavor and unpleasant taste indicative of spoilage")</f>
        <v>The vacuum-sealed meat had an off-flavor and unpleasant taste indicative of spoilage</v>
      </c>
    </row>
    <row r="1308" spans="1:3" ht="15.75" customHeight="1" x14ac:dyDescent="0.25">
      <c r="A1308" s="2" t="s">
        <v>1310</v>
      </c>
      <c r="B1308" s="3" t="s">
        <v>4</v>
      </c>
      <c r="C1308" s="2" t="str">
        <f ca="1">IFERROR(__xludf.DUMMYFUNCTION("GOOGLETRANSLATE(A1308,""bn"",""en"")"),"It's better not to cheat ")</f>
        <v xml:space="preserve">It's better not to cheat </v>
      </c>
    </row>
    <row r="1309" spans="1:3" ht="15.75" customHeight="1" x14ac:dyDescent="0.25">
      <c r="A1309" s="2" t="s">
        <v>1311</v>
      </c>
      <c r="B1309" s="3" t="s">
        <v>2</v>
      </c>
      <c r="C1309" s="2" t="str">
        <f ca="1">IFERROR(__xludf.DUMMYFUNCTION("GOOGLETRANSLATE(A1309,""bn"",""en"")"),"Usable but did not meet expectations")</f>
        <v>Usable but did not meet expectations</v>
      </c>
    </row>
    <row r="1310" spans="1:3" ht="15.75" customHeight="1" x14ac:dyDescent="0.25">
      <c r="A1310" s="2" t="s">
        <v>1312</v>
      </c>
      <c r="B1310" s="3" t="s">
        <v>4</v>
      </c>
      <c r="C1310" s="2" t="str">
        <f ca="1">IFERROR(__xludf.DUMMYFUNCTION("GOOGLETRANSLATE(A1310,""bn"",""en"")"),"Looks pretty good in hand but comes with a premium feel")</f>
        <v>Looks pretty good in hand but comes with a premium feel</v>
      </c>
    </row>
    <row r="1311" spans="1:3" ht="15.75" customHeight="1" x14ac:dyDescent="0.25">
      <c r="A1311" s="2" t="s">
        <v>1313</v>
      </c>
      <c r="B1311" s="3" t="s">
        <v>6</v>
      </c>
      <c r="C1311" s="2" t="str">
        <f ca="1">IFERROR(__xludf.DUMMYFUNCTION("GOOGLETRANSLATE(A1311,""bn"",""en"")"),"The groundbreaking invention promised to simplify everyday tasks but ended up making them more complicated with its unintuitive interface and glitchy performance.")</f>
        <v>The groundbreaking invention promised to simplify everyday tasks but ended up making them more complicated with its unintuitive interface and glitchy performance.</v>
      </c>
    </row>
    <row r="1312" spans="1:3" ht="15.75" customHeight="1" x14ac:dyDescent="0.25">
      <c r="A1312" s="2" t="s">
        <v>1314</v>
      </c>
      <c r="B1312" s="3" t="s">
        <v>2</v>
      </c>
      <c r="C1312" s="2" t="str">
        <f ca="1">IFERROR(__xludf.DUMMYFUNCTION("GOOGLETRANSLATE(A1312,""bn"",""en"")"),"Exactly what I ordered some items were damaged")</f>
        <v>Exactly what I ordered some items were damaged</v>
      </c>
    </row>
    <row r="1313" spans="1:3" ht="15.75" customHeight="1" x14ac:dyDescent="0.25">
      <c r="A1313" s="2" t="s">
        <v>1315</v>
      </c>
      <c r="B1313" s="3" t="s">
        <v>6</v>
      </c>
      <c r="C1313" s="2" t="str">
        <f ca="1">IFERROR(__xludf.DUMMYFUNCTION("GOOGLETRANSLATE(A1313,""bn"",""en"")"),"Leaking steam release valves in electric pressure cookers create a mess")</f>
        <v>Leaking steam release valves in electric pressure cookers create a mess</v>
      </c>
    </row>
    <row r="1314" spans="1:3" ht="15.75" customHeight="1" x14ac:dyDescent="0.25">
      <c r="A1314" s="2" t="s">
        <v>1316</v>
      </c>
      <c r="B1314" s="3" t="s">
        <v>4</v>
      </c>
      <c r="C1314" s="2" t="str">
        <f ca="1">IFERROR(__xludf.DUMMYFUNCTION("GOOGLETRANSLATE(A1314,""bn"",""en"")"),"Drawing on notepad is perfectly acceptable")</f>
        <v>Drawing on notepad is perfectly acceptable</v>
      </c>
    </row>
    <row r="1315" spans="1:3" ht="15.75" customHeight="1" x14ac:dyDescent="0.25">
      <c r="A1315" s="2" t="s">
        <v>1317</v>
      </c>
      <c r="B1315" s="3" t="s">
        <v>6</v>
      </c>
      <c r="C1315" s="2" t="str">
        <f ca="1">IFERROR(__xludf.DUMMYFUNCTION("GOOGLETRANSLATE(A1315,""bn"",""en"")"),"Dry shampoo left a residue in my hair that was difficult to brush out")</f>
        <v>Dry shampoo left a residue in my hair that was difficult to brush out</v>
      </c>
    </row>
    <row r="1316" spans="1:3" ht="15.75" customHeight="1" x14ac:dyDescent="0.25">
      <c r="A1316" s="2" t="s">
        <v>1318</v>
      </c>
      <c r="B1316" s="3" t="s">
        <v>4</v>
      </c>
      <c r="C1316" s="2" t="str">
        <f ca="1">IFERROR(__xludf.DUMMYFUNCTION("GOOGLETRANSLATE(A1316,""bn"",""en"")"),"This shampoo gives a natural look to the hair")</f>
        <v>This shampoo gives a natural look to the hair</v>
      </c>
    </row>
    <row r="1317" spans="1:3" ht="15.75" customHeight="1" x14ac:dyDescent="0.25">
      <c r="A1317" s="2" t="s">
        <v>1319</v>
      </c>
      <c r="B1317" s="3" t="s">
        <v>4</v>
      </c>
      <c r="C1317" s="2" t="str">
        <f ca="1">IFERROR(__xludf.DUMMYFUNCTION("GOOGLETRANSLATE(A1317,""bn"",""en"")"),"The style has improved a lot since the use of this men's clothing")</f>
        <v>The style has improved a lot since the use of this men's clothing</v>
      </c>
    </row>
    <row r="1318" spans="1:3" ht="15.75" customHeight="1" x14ac:dyDescent="0.25">
      <c r="A1318" s="2" t="s">
        <v>1320</v>
      </c>
      <c r="B1318" s="3" t="s">
        <v>4</v>
      </c>
      <c r="C1318" s="2" t="str">
        <f ca="1">IFERROR(__xludf.DUMMYFUNCTION("GOOGLETRANSLATE(A1318,""bn"",""en"")"),"The item is satisfactory")</f>
        <v>The item is satisfactory</v>
      </c>
    </row>
    <row r="1319" spans="1:3" ht="15.75" customHeight="1" x14ac:dyDescent="0.25">
      <c r="A1319" s="2" t="s">
        <v>1321</v>
      </c>
      <c r="B1319" s="3" t="s">
        <v>4</v>
      </c>
      <c r="C1319" s="2" t="str">
        <f ca="1">IFERROR(__xludf.DUMMYFUNCTION("GOOGLETRANSLATE(A1319,""bn"",""en"")"),"Excellent tracker")</f>
        <v>Excellent tracker</v>
      </c>
    </row>
    <row r="1320" spans="1:3" ht="15.75" customHeight="1" x14ac:dyDescent="0.25">
      <c r="A1320" s="2" t="s">
        <v>1322</v>
      </c>
      <c r="B1320" s="3" t="s">
        <v>4</v>
      </c>
      <c r="C1320" s="2" t="str">
        <f ca="1">IFERROR(__xludf.DUMMYFUNCTION("GOOGLETRANSLATE(A1320,""bn"",""en"")"),"Every day offers a chance to see from a new perspective")</f>
        <v>Every day offers a chance to see from a new perspective</v>
      </c>
    </row>
    <row r="1321" spans="1:3" ht="15.75" customHeight="1" x14ac:dyDescent="0.25">
      <c r="A1321" s="2" t="s">
        <v>1323</v>
      </c>
      <c r="B1321" s="3" t="s">
        <v>4</v>
      </c>
      <c r="C1321" s="2" t="str">
        <f ca="1">IFERROR(__xludf.DUMMYFUNCTION("GOOGLETRANSLATE(A1321,""bn"",""en"")"),"Each product in the kit is made of hygienic materials")</f>
        <v>Each product in the kit is made of hygienic materials</v>
      </c>
    </row>
    <row r="1322" spans="1:3" ht="15.75" customHeight="1" x14ac:dyDescent="0.25">
      <c r="A1322" s="2" t="s">
        <v>1324</v>
      </c>
      <c r="B1322" s="3" t="s">
        <v>6</v>
      </c>
      <c r="C1322" s="2" t="str">
        <f ca="1">IFERROR(__xludf.DUMMYFUNCTION("GOOGLETRANSLATE(A1322,""bn"",""en"")"),"  The lotion felt too watery and didn't provide enough hydration")</f>
        <v xml:space="preserve">  The lotion felt too watery and didn't provide enough hydration</v>
      </c>
    </row>
    <row r="1323" spans="1:3" ht="15.75" customHeight="1" x14ac:dyDescent="0.25">
      <c r="A1323" s="2" t="s">
        <v>1325</v>
      </c>
      <c r="B1323" s="3" t="s">
        <v>6</v>
      </c>
      <c r="C1323" s="2" t="str">
        <f ca="1">IFERROR(__xludf.DUMMYFUNCTION("GOOGLETRANSLATE(A1323,""bn"",""en"")"),"Unpleasant taste contaminated drink")</f>
        <v>Unpleasant taste contaminated drink</v>
      </c>
    </row>
    <row r="1324" spans="1:3" ht="15.75" customHeight="1" x14ac:dyDescent="0.25">
      <c r="A1324" s="2" t="s">
        <v>1326</v>
      </c>
      <c r="B1324" s="3" t="s">
        <v>4</v>
      </c>
      <c r="C1324" s="2" t="str">
        <f ca="1">IFERROR(__xludf.DUMMYFUNCTION("GOOGLETRANSLATE(A1324,""bn"",""en"")"),"Can take anywhere")</f>
        <v>Can take anywhere</v>
      </c>
    </row>
    <row r="1325" spans="1:3" ht="15.75" customHeight="1" x14ac:dyDescent="0.25">
      <c r="A1325" s="2" t="s">
        <v>1327</v>
      </c>
      <c r="B1325" s="3" t="s">
        <v>2</v>
      </c>
      <c r="C1325" s="2" t="str">
        <f ca="1">IFERROR(__xludf.DUMMYFUNCTION("GOOGLETRANSLATE(A1325,""bn"",""en"")"),"Check the water temperature before use")</f>
        <v>Check the water temperature before use</v>
      </c>
    </row>
    <row r="1326" spans="1:3" ht="15.75" customHeight="1" x14ac:dyDescent="0.25">
      <c r="A1326" s="2" t="s">
        <v>1328</v>
      </c>
      <c r="B1326" s="3" t="s">
        <v>6</v>
      </c>
      <c r="C1326" s="2" t="str">
        <f ca="1">IFERROR(__xludf.DUMMYFUNCTION("GOOGLETRANSLATE(A1326,""bn"",""en"")"),"Portable fan batteries drain quickly providing insufficient cooling")</f>
        <v>Portable fan batteries drain quickly providing insufficient cooling</v>
      </c>
    </row>
    <row r="1327" spans="1:3" ht="15.75" customHeight="1" x14ac:dyDescent="0.25">
      <c r="A1327" s="2" t="s">
        <v>1329</v>
      </c>
      <c r="B1327" s="3" t="s">
        <v>2</v>
      </c>
      <c r="C1327" s="2" t="str">
        <f ca="1">IFERROR(__xludf.DUMMYFUNCTION("GOOGLETRANSLATE(A1327,""bn"",""en"")"),"The flavor of the drink is good but a bit vague")</f>
        <v>The flavor of the drink is good but a bit vague</v>
      </c>
    </row>
    <row r="1328" spans="1:3" ht="15.75" customHeight="1" x14ac:dyDescent="0.25">
      <c r="A1328" s="2" t="s">
        <v>1330</v>
      </c>
      <c r="B1328" s="3" t="s">
        <v>4</v>
      </c>
      <c r="C1328" s="2" t="str">
        <f ca="1">IFERROR(__xludf.DUMMYFUNCTION("GOOGLETRANSLATE(A1328,""bn"",""en"")"),"The RAM management of the mobile is very smooth")</f>
        <v>The RAM management of the mobile is very smooth</v>
      </c>
    </row>
    <row r="1329" spans="1:3" ht="15.75" customHeight="1" x14ac:dyDescent="0.25">
      <c r="A1329" s="2" t="s">
        <v>1331</v>
      </c>
      <c r="B1329" s="3" t="s">
        <v>4</v>
      </c>
      <c r="C1329" s="2" t="str">
        <f ca="1">IFERROR(__xludf.DUMMYFUNCTION("GOOGLETRANSLATE(A1329,""bn"",""en"")"),"The expression of the author is commendable")</f>
        <v>The expression of the author is commendable</v>
      </c>
    </row>
    <row r="1330" spans="1:3" ht="15.75" customHeight="1" x14ac:dyDescent="0.25">
      <c r="A1330" s="2" t="s">
        <v>1332</v>
      </c>
      <c r="B1330" s="3" t="s">
        <v>2</v>
      </c>
      <c r="C1330" s="2" t="str">
        <f ca="1">IFERROR(__xludf.DUMMYFUNCTION("GOOGLETRANSLATE(A1330,""bn"",""en"")"),"The number of pads in the packet seems to be sufficient")</f>
        <v>The number of pads in the packet seems to be sufficient</v>
      </c>
    </row>
    <row r="1331" spans="1:3" ht="15.75" customHeight="1" x14ac:dyDescent="0.25">
      <c r="A1331" s="2" t="s">
        <v>1333</v>
      </c>
      <c r="B1331" s="3" t="s">
        <v>4</v>
      </c>
      <c r="C1331" s="2" t="str">
        <f ca="1">IFERROR(__xludf.DUMMYFUNCTION("GOOGLETRANSLATE(A1331,""bn"",""en"")"),"The fragrance of the soap is very soothing")</f>
        <v>The fragrance of the soap is very soothing</v>
      </c>
    </row>
    <row r="1332" spans="1:3" ht="15.75" customHeight="1" x14ac:dyDescent="0.25">
      <c r="A1332" s="2" t="s">
        <v>1334</v>
      </c>
      <c r="B1332" s="3" t="s">
        <v>2</v>
      </c>
      <c r="C1332" s="2" t="str">
        <f ca="1">IFERROR(__xludf.DUMMYFUNCTION("GOOGLETRANSLATE(A1332,""bn"",""en"")"),"The cut is stylish but the color is not that much liked")</f>
        <v>The cut is stylish but the color is not that much liked</v>
      </c>
    </row>
    <row r="1333" spans="1:3" ht="15.75" customHeight="1" x14ac:dyDescent="0.25">
      <c r="A1333" s="2" t="s">
        <v>1335</v>
      </c>
      <c r="B1333" s="3" t="s">
        <v>4</v>
      </c>
      <c r="C1333" s="2" t="str">
        <f ca="1">IFERROR(__xludf.DUMMYFUNCTION("GOOGLETRANSLATE(A1333,""bn"",""en"")"),"Once you play it, you want to eat it again and again")</f>
        <v>Once you play it, you want to eat it again and again</v>
      </c>
    </row>
    <row r="1334" spans="1:3" ht="15.75" customHeight="1" x14ac:dyDescent="0.25">
      <c r="A1334" s="2" t="s">
        <v>1336</v>
      </c>
      <c r="B1334" s="3" t="s">
        <v>2</v>
      </c>
      <c r="C1334" s="2" t="str">
        <f ca="1">IFERROR(__xludf.DUMMYFUNCTION("GOOGLETRANSLATE(A1334,""bn"",""en"")"),"The color is bright but the fabric quality is fair")</f>
        <v>The color is bright but the fabric quality is fair</v>
      </c>
    </row>
    <row r="1335" spans="1:3" ht="15.75" customHeight="1" x14ac:dyDescent="0.25">
      <c r="A1335" s="2" t="s">
        <v>1337</v>
      </c>
      <c r="B1335" s="3" t="s">
        <v>6</v>
      </c>
      <c r="C1335" s="2" t="str">
        <f ca="1">IFERROR(__xludf.DUMMYFUNCTION("GOOGLETRANSLATE(A1335,""bn"",""en"")"),"Poor durability is not built to last")</f>
        <v>Poor durability is not built to last</v>
      </c>
    </row>
    <row r="1336" spans="1:3" ht="15.75" customHeight="1" x14ac:dyDescent="0.25">
      <c r="A1336" s="2" t="s">
        <v>1338</v>
      </c>
      <c r="B1336" s="3" t="s">
        <v>6</v>
      </c>
      <c r="C1336" s="2" t="str">
        <f ca="1">IFERROR(__xludf.DUMMYFUNCTION("GOOGLETRANSLATE(A1336,""bn"",""en"")"),"The space-saving solution proved to be more trouble than it was worth, with a complicated installation process and unreliable functionality")</f>
        <v>The space-saving solution proved to be more trouble than it was worth, with a complicated installation process and unreliable functionality</v>
      </c>
    </row>
    <row r="1337" spans="1:3" ht="15.75" customHeight="1" x14ac:dyDescent="0.25">
      <c r="A1337" s="2" t="s">
        <v>1339</v>
      </c>
      <c r="B1337" s="3" t="s">
        <v>6</v>
      </c>
      <c r="C1337" s="2" t="str">
        <f ca="1">IFERROR(__xludf.DUMMYFUNCTION("GOOGLETRANSLATE(A1337,""bn"",""en"")")," The material is brittle and prone to cracking under pressure")</f>
        <v xml:space="preserve"> The material is brittle and prone to cracking under pressure</v>
      </c>
    </row>
    <row r="1338" spans="1:3" ht="15.75" customHeight="1" x14ac:dyDescent="0.25">
      <c r="A1338" s="2" t="s">
        <v>1340</v>
      </c>
      <c r="B1338" s="3" t="s">
        <v>2</v>
      </c>
      <c r="C1338" s="2" t="str">
        <f ca="1">IFERROR(__xludf.DUMMYFUNCTION("GOOGLETRANSLATE(A1338,""bn"",""en"")"),"The fridge thermometer shows the temperature but the number is small")</f>
        <v>The fridge thermometer shows the temperature but the number is small</v>
      </c>
    </row>
    <row r="1339" spans="1:3" ht="15.75" customHeight="1" x14ac:dyDescent="0.25">
      <c r="A1339" s="2" t="s">
        <v>1341</v>
      </c>
      <c r="B1339" s="3" t="s">
        <v>2</v>
      </c>
      <c r="C1339" s="2" t="str">
        <f ca="1">IFERROR(__xludf.DUMMYFUNCTION("GOOGLETRANSLATE(A1339,""bn"",""en"")"),"Can be used for food storage but does not prevent odors")</f>
        <v>Can be used for food storage but does not prevent odors</v>
      </c>
    </row>
    <row r="1340" spans="1:3" ht="15.75" customHeight="1" x14ac:dyDescent="0.25">
      <c r="A1340" s="2" t="s">
        <v>1342</v>
      </c>
      <c r="B1340" s="3" t="s">
        <v>2</v>
      </c>
      <c r="C1340" s="2" t="str">
        <f ca="1">IFERROR(__xludf.DUMMYFUNCTION("GOOGLETRANSLATE(A1340,""bn"",""en"")"),"The sharpeners are ok but the quality is not good")</f>
        <v>The sharpeners are ok but the quality is not good</v>
      </c>
    </row>
    <row r="1341" spans="1:3" ht="15.75" customHeight="1" x14ac:dyDescent="0.25">
      <c r="A1341" s="2" t="s">
        <v>1343</v>
      </c>
      <c r="B1341" s="3" t="s">
        <v>2</v>
      </c>
      <c r="C1341" s="2" t="str">
        <f ca="1">IFERROR(__xludf.DUMMYFUNCTION("GOOGLETRANSLATE(A1341,""bn"",""en"")"),"The design is unique but the fabric is a bit thick")</f>
        <v>The design is unique but the fabric is a bit thick</v>
      </c>
    </row>
    <row r="1342" spans="1:3" ht="15.75" customHeight="1" x14ac:dyDescent="0.25">
      <c r="A1342" s="2" t="s">
        <v>1344</v>
      </c>
      <c r="B1342" s="3" t="s">
        <v>6</v>
      </c>
      <c r="C1342" s="2" t="str">
        <f ca="1">IFERROR(__xludf.DUMMYFUNCTION("GOOGLETRANSLATE(A1342,""bn"",""en"")"),"The pieces of the tea set were too fragile to break easily")</f>
        <v>The pieces of the tea set were too fragile to break easily</v>
      </c>
    </row>
    <row r="1343" spans="1:3" ht="15.75" customHeight="1" x14ac:dyDescent="0.25">
      <c r="A1343" s="2" t="s">
        <v>1345</v>
      </c>
      <c r="B1343" s="3" t="s">
        <v>6</v>
      </c>
      <c r="C1343" s="2" t="str">
        <f ca="1">IFERROR(__xludf.DUMMYFUNCTION("GOOGLETRANSLATE(A1343,""bn"",""en"")"),"Limited compatibility with Gigabyte Z Auras Elite AX motherboards comes at an extra cost")</f>
        <v>Limited compatibility with Gigabyte Z Auras Elite AX motherboards comes at an extra cost</v>
      </c>
    </row>
    <row r="1344" spans="1:3" ht="15.75" customHeight="1" x14ac:dyDescent="0.25">
      <c r="A1344" s="2" t="s">
        <v>1346</v>
      </c>
      <c r="B1344" s="3" t="s">
        <v>6</v>
      </c>
      <c r="C1344" s="2" t="str">
        <f ca="1">IFERROR(__xludf.DUMMYFUNCTION("GOOGLETRANSLATE(A1344,""bn"",""en"")"),"Sloppy hemming and loose threads detract from the look of the dress")</f>
        <v>Sloppy hemming and loose threads detract from the look of the dress</v>
      </c>
    </row>
    <row r="1345" spans="1:3" ht="15.75" customHeight="1" x14ac:dyDescent="0.25">
      <c r="A1345" s="2" t="s">
        <v>1347</v>
      </c>
      <c r="B1345" s="3" t="s">
        <v>6</v>
      </c>
      <c r="C1345" s="2" t="str">
        <f ca="1">IFERROR(__xludf.DUMMYFUNCTION("GOOGLETRANSLATE(A1345,""bn"",""en"")"),"The fabric feels stiff and uncomfortable and restricts movement")</f>
        <v>The fabric feels stiff and uncomfortable and restricts movement</v>
      </c>
    </row>
    <row r="1346" spans="1:3" ht="15.75" customHeight="1" x14ac:dyDescent="0.25">
      <c r="A1346" s="2" t="s">
        <v>1348</v>
      </c>
      <c r="B1346" s="3" t="s">
        <v>6</v>
      </c>
      <c r="C1346" s="2" t="str">
        <f ca="1">IFERROR(__xludf.DUMMYFUNCTION("GOOGLETRANSLATE(A1346,""bn"",""en"")")," Bath thermometer readings are not accurate which creates risk of itching")</f>
        <v xml:space="preserve"> Bath thermometer readings are not accurate which creates risk of itching</v>
      </c>
    </row>
    <row r="1347" spans="1:3" ht="15.75" customHeight="1" x14ac:dyDescent="0.25">
      <c r="A1347" s="2" t="s">
        <v>1349</v>
      </c>
      <c r="B1347" s="3" t="s">
        <v>2</v>
      </c>
      <c r="C1347" s="2" t="str">
        <f ca="1">IFERROR(__xludf.DUMMYFUNCTION("GOOGLETRANSLATE(A1347,""bn"",""en"")"),"The AirTag holder is thinner than expected")</f>
        <v>The AirTag holder is thinner than expected</v>
      </c>
    </row>
    <row r="1348" spans="1:3" ht="15.75" customHeight="1" x14ac:dyDescent="0.25">
      <c r="A1348" s="2" t="s">
        <v>1350</v>
      </c>
      <c r="B1348" s="3" t="s">
        <v>4</v>
      </c>
      <c r="C1348" s="2" t="str">
        <f ca="1">IFERROR(__xludf.DUMMYFUNCTION("GOOGLETRANSLATE(A1348,""bn"",""en"")"),"Makeup brushes are suitable for different skin tones")</f>
        <v>Makeup brushes are suitable for different skin tones</v>
      </c>
    </row>
    <row r="1349" spans="1:3" ht="15.75" customHeight="1" x14ac:dyDescent="0.25">
      <c r="A1349" s="2" t="s">
        <v>1351</v>
      </c>
      <c r="B1349" s="3" t="s">
        <v>6</v>
      </c>
      <c r="C1349" s="2" t="str">
        <f ca="1">IFERROR(__xludf.DUMMYFUNCTION("GOOGLETRANSLATE(A1349,""bn"",""en"")"),"Sizing issues remain despite following the chart provided")</f>
        <v>Sizing issues remain despite following the chart provided</v>
      </c>
    </row>
    <row r="1350" spans="1:3" ht="15.75" customHeight="1" x14ac:dyDescent="0.25">
      <c r="A1350" s="2" t="s">
        <v>1352</v>
      </c>
      <c r="B1350" s="3" t="s">
        <v>4</v>
      </c>
      <c r="C1350" s="2" t="str">
        <f ca="1">IFERROR(__xludf.DUMMYFUNCTION("GOOGLETRANSLATE(A1350,""bn"",""en"")"),"Each product in the kit smells beautiful")</f>
        <v>Each product in the kit smells beautiful</v>
      </c>
    </row>
    <row r="1351" spans="1:3" ht="15.75" customHeight="1" x14ac:dyDescent="0.25">
      <c r="A1351" s="2" t="s">
        <v>1353</v>
      </c>
      <c r="B1351" s="3" t="s">
        <v>2</v>
      </c>
      <c r="C1351" s="2" t="str">
        <f ca="1">IFERROR(__xludf.DUMMYFUNCTION("GOOGLETRANSLATE(A1351,""bn"",""en"")"),"Fabric quality is good but size has shrunk after wash")</f>
        <v>Fabric quality is good but size has shrunk after wash</v>
      </c>
    </row>
    <row r="1352" spans="1:3" ht="15.75" customHeight="1" x14ac:dyDescent="0.25">
      <c r="A1352" s="2" t="s">
        <v>1354</v>
      </c>
      <c r="B1352" s="3" t="s">
        <v>4</v>
      </c>
      <c r="C1352" s="2" t="str">
        <f ca="1">IFERROR(__xludf.DUMMYFUNCTION("GOOGLETRANSLATE(A1352,""bn"",""en"")"),"The smell of the pillows is so pleasant it gives me the feeling of being in a spa")</f>
        <v>The smell of the pillows is so pleasant it gives me the feeling of being in a spa</v>
      </c>
    </row>
    <row r="1353" spans="1:3" ht="15.75" customHeight="1" x14ac:dyDescent="0.25">
      <c r="A1353" s="2" t="s">
        <v>1355</v>
      </c>
      <c r="B1353" s="3" t="s">
        <v>2</v>
      </c>
      <c r="C1353" s="2" t="str">
        <f ca="1">IFERROR(__xludf.DUMMYFUNCTION("GOOGLETRANSLATE(A1353,""bn"",""en"")"),"Handling is somewhat challenging due to excessive vibration")</f>
        <v>Handling is somewhat challenging due to excessive vibration</v>
      </c>
    </row>
    <row r="1354" spans="1:3" ht="15.75" customHeight="1" x14ac:dyDescent="0.25">
      <c r="A1354" s="2" t="s">
        <v>1356</v>
      </c>
      <c r="B1354" s="3" t="s">
        <v>6</v>
      </c>
      <c r="C1354" s="2" t="str">
        <f ca="1">IFERROR(__xludf.DUMMYFUNCTION("GOOGLETRANSLATE(A1354,""bn"",""en"")"),"Product design lacks attention to detail")</f>
        <v>Product design lacks attention to detail</v>
      </c>
    </row>
    <row r="1355" spans="1:3" ht="15.75" customHeight="1" x14ac:dyDescent="0.25">
      <c r="A1355" s="2" t="s">
        <v>1357</v>
      </c>
      <c r="B1355" s="3" t="s">
        <v>2</v>
      </c>
      <c r="C1355" s="2" t="str">
        <f ca="1">IFERROR(__xludf.DUMMYFUNCTION("GOOGLETRANSLATE(A1355,""bn"",""en"")"),"Makes noise but not too loud")</f>
        <v>Makes noise but not too loud</v>
      </c>
    </row>
    <row r="1356" spans="1:3" ht="15.75" customHeight="1" x14ac:dyDescent="0.25">
      <c r="A1356" s="2" t="s">
        <v>1358</v>
      </c>
      <c r="B1356" s="3" t="s">
        <v>6</v>
      </c>
      <c r="C1356" s="2" t="str">
        <f ca="1">IFERROR(__xludf.DUMMYFUNCTION("GOOGLETRANSLATE(A1356,""bn"",""en"")"),"Poor quality control is an obvious flaw")</f>
        <v>Poor quality control is an obvious flaw</v>
      </c>
    </row>
    <row r="1357" spans="1:3" ht="15.75" customHeight="1" x14ac:dyDescent="0.25">
      <c r="A1357" s="2" t="s">
        <v>1359</v>
      </c>
      <c r="B1357" s="3" t="s">
        <v>6</v>
      </c>
      <c r="C1357" s="2" t="str">
        <f ca="1">IFERROR(__xludf.DUMMYFUNCTION("GOOGLETRANSLATE(A1357,""bn"",""en"")")," The rotating turntable sometimes slips off its track causing the food to spill")</f>
        <v xml:space="preserve"> The rotating turntable sometimes slips off its track causing the food to spill</v>
      </c>
    </row>
    <row r="1358" spans="1:3" ht="15.75" customHeight="1" x14ac:dyDescent="0.25">
      <c r="A1358" s="2" t="s">
        <v>1360</v>
      </c>
      <c r="B1358" s="3" t="s">
        <v>6</v>
      </c>
      <c r="C1358" s="2" t="str">
        <f ca="1">IFERROR(__xludf.DUMMYFUNCTION("GOOGLETRANSLATE(A1358,""bn"",""en"")"),"The hair dryer cord is too short to restrict movement when styling")</f>
        <v>The hair dryer cord is too short to restrict movement when styling</v>
      </c>
    </row>
    <row r="1359" spans="1:3" ht="15.75" customHeight="1" x14ac:dyDescent="0.25">
      <c r="A1359" s="2" t="s">
        <v>1361</v>
      </c>
      <c r="B1359" s="3" t="s">
        <v>6</v>
      </c>
      <c r="C1359" s="2" t="str">
        <f ca="1">IFERROR(__xludf.DUMMYFUNCTION("GOOGLETRANSLATE(A1359,""bn"",""en"")"),"Loses shape quickly and looks bad")</f>
        <v>Loses shape quickly and looks bad</v>
      </c>
    </row>
    <row r="1360" spans="1:3" ht="15.75" customHeight="1" x14ac:dyDescent="0.25">
      <c r="A1360" s="2" t="s">
        <v>1362</v>
      </c>
      <c r="B1360" s="3" t="s">
        <v>6</v>
      </c>
      <c r="C1360" s="2" t="str">
        <f ca="1">IFERROR(__xludf.DUMMYFUNCTION("GOOGLETRANSLATE(A1360,""bn"",""en"")")," The microphone easily picks up background noise resulting in poor call quality and communication difficulties")</f>
        <v xml:space="preserve"> The microphone easily picks up background noise resulting in poor call quality and communication difficulties</v>
      </c>
    </row>
    <row r="1361" spans="1:3" ht="15.75" customHeight="1" x14ac:dyDescent="0.25">
      <c r="A1361" s="2" t="s">
        <v>1363</v>
      </c>
      <c r="B1361" s="3" t="s">
        <v>6</v>
      </c>
      <c r="C1361" s="2" t="str">
        <f ca="1">IFERROR(__xludf.DUMMYFUNCTION("GOOGLETRANSLATE(A1361,""bn"",""en"")"),"Mattress foam degrades quickly resulting in a lumpy and uneven sleeping surface")</f>
        <v>Mattress foam degrades quickly resulting in a lumpy and uneven sleeping surface</v>
      </c>
    </row>
    <row r="1362" spans="1:3" ht="15.75" customHeight="1" x14ac:dyDescent="0.25">
      <c r="A1362" s="2" t="s">
        <v>1364</v>
      </c>
      <c r="B1362" s="3" t="s">
        <v>4</v>
      </c>
      <c r="C1362" s="2" t="str">
        <f ca="1">IFERROR(__xludf.DUMMYFUNCTION("GOOGLETRANSLATE(A1362,""bn"",""en"")"),"The product is very good at a low price and the sound quality is very good")</f>
        <v>The product is very good at a low price and the sound quality is very good</v>
      </c>
    </row>
    <row r="1363" spans="1:3" ht="15.75" customHeight="1" x14ac:dyDescent="0.25">
      <c r="A1363" s="2" t="s">
        <v>1365</v>
      </c>
      <c r="B1363" s="3" t="s">
        <v>4</v>
      </c>
      <c r="C1363" s="2" t="str">
        <f ca="1">IFERROR(__xludf.DUMMYFUNCTION("GOOGLETRANSLATE(A1363,""bn"",""en"")"),"Makeup brushes make makeup routines quick")</f>
        <v>Makeup brushes make makeup routines quick</v>
      </c>
    </row>
    <row r="1364" spans="1:3" ht="15.75" customHeight="1" x14ac:dyDescent="0.25">
      <c r="A1364" s="2" t="s">
        <v>1366</v>
      </c>
      <c r="B1364" s="3" t="s">
        <v>2</v>
      </c>
      <c r="C1364" s="2" t="str">
        <f ca="1">IFERROR(__xludf.DUMMYFUNCTION("GOOGLETRANSLATE(A1364,""bn"",""en"")"),"The portable CD burner creates discs but the process is slow")</f>
        <v>The portable CD burner creates discs but the process is slow</v>
      </c>
    </row>
    <row r="1365" spans="1:3" ht="15.75" customHeight="1" x14ac:dyDescent="0.25">
      <c r="A1365" s="2" t="s">
        <v>1367</v>
      </c>
      <c r="B1365" s="3" t="s">
        <v>4</v>
      </c>
      <c r="C1365" s="2" t="str">
        <f ca="1">IFERROR(__xludf.DUMMYFUNCTION("GOOGLETRANSLATE(A1365,""bn"",""en"")"),"It can be used to make cold drinks or smoothies")</f>
        <v>It can be used to make cold drinks or smoothies</v>
      </c>
    </row>
    <row r="1366" spans="1:3" ht="15.75" customHeight="1" x14ac:dyDescent="0.25">
      <c r="A1366" s="2" t="s">
        <v>1368</v>
      </c>
      <c r="B1366" s="3" t="s">
        <v>4</v>
      </c>
      <c r="C1366" s="2" t="str">
        <f ca="1">IFERROR(__xludf.DUMMYFUNCTION("GOOGLETRANSLATE(A1366,""bn"",""en"")"),"Great battery")</f>
        <v>Great battery</v>
      </c>
    </row>
    <row r="1367" spans="1:3" ht="15.75" customHeight="1" x14ac:dyDescent="0.25">
      <c r="A1367" s="2" t="s">
        <v>1369</v>
      </c>
      <c r="B1367" s="3" t="s">
        <v>2</v>
      </c>
      <c r="C1367" s="2" t="str">
        <f ca="1">IFERROR(__xludf.DUMMYFUNCTION("GOOGLETRANSLATE(A1367,""bn"",""en"")"),"Some reviews complain about delivery and product")</f>
        <v>Some reviews complain about delivery and product</v>
      </c>
    </row>
    <row r="1368" spans="1:3" ht="15.75" customHeight="1" x14ac:dyDescent="0.25">
      <c r="A1368" s="2" t="s">
        <v>1370</v>
      </c>
      <c r="B1368" s="3" t="s">
        <v>6</v>
      </c>
      <c r="C1368" s="2" t="str">
        <f ca="1">IFERROR(__xludf.DUMMYFUNCTION("GOOGLETRANSLATE(A1368,""bn"",""en"")"),"The fabric of the backpack tears easily compromising its overall durability")</f>
        <v>The fabric of the backpack tears easily compromising its overall durability</v>
      </c>
    </row>
    <row r="1369" spans="1:3" ht="15.75" customHeight="1" x14ac:dyDescent="0.25">
      <c r="A1369" s="2" t="s">
        <v>1371</v>
      </c>
      <c r="B1369" s="3" t="s">
        <v>4</v>
      </c>
      <c r="C1369" s="2" t="str">
        <f ca="1">IFERROR(__xludf.DUMMYFUNCTION("GOOGLETRANSLATE(A1369,""bn"",""en"")"),"It is a long lasting and reliable product")</f>
        <v>It is a long lasting and reliable product</v>
      </c>
    </row>
    <row r="1370" spans="1:3" ht="15.75" customHeight="1" x14ac:dyDescent="0.25">
      <c r="A1370" s="2" t="s">
        <v>1372</v>
      </c>
      <c r="B1370" s="3" t="s">
        <v>4</v>
      </c>
      <c r="C1370" s="2" t="str">
        <f ca="1">IFERROR(__xludf.DUMMYFUNCTION("GOOGLETRANSLATE(A1370,""bn"",""en"")"),"Honey can be easily included in the daily diet")</f>
        <v>Honey can be easily included in the daily diet</v>
      </c>
    </row>
    <row r="1371" spans="1:3" ht="15.75" customHeight="1" x14ac:dyDescent="0.25">
      <c r="A1371" s="2" t="s">
        <v>1373</v>
      </c>
      <c r="B1371" s="3" t="s">
        <v>2</v>
      </c>
      <c r="C1371" s="2" t="str">
        <f ca="1">IFERROR(__xludf.DUMMYFUNCTION("GOOGLETRANSLATE(A1371,""bn"",""en"")"),"There are different parts but they all feel the same")</f>
        <v>There are different parts but they all feel the same</v>
      </c>
    </row>
    <row r="1372" spans="1:3" ht="15.75" customHeight="1" x14ac:dyDescent="0.25">
      <c r="A1372" s="2" t="s">
        <v>1374</v>
      </c>
      <c r="B1372" s="3" t="s">
        <v>6</v>
      </c>
      <c r="C1372" s="2" t="str">
        <f ca="1">IFERROR(__xludf.DUMMYFUNCTION("GOOGLETRANSLATE(A1372,""bn"",""en"")"),"Zippers are cheaply made and tend to jam or break causing frustration and inconvenience")</f>
        <v>Zippers are cheaply made and tend to jam or break causing frustration and inconvenience</v>
      </c>
    </row>
    <row r="1373" spans="1:3" ht="15.75" customHeight="1" x14ac:dyDescent="0.25">
      <c r="A1373" s="2" t="s">
        <v>1375</v>
      </c>
      <c r="B1373" s="3" t="s">
        <v>2</v>
      </c>
      <c r="C1373" s="2" t="str">
        <f ca="1">IFERROR(__xludf.DUMMYFUNCTION("GOOGLETRANSLATE(A1373,""bn"",""en"")"),"Can be used for headaches")</f>
        <v>Can be used for headaches</v>
      </c>
    </row>
    <row r="1374" spans="1:3" ht="15.75" customHeight="1" x14ac:dyDescent="0.25">
      <c r="A1374" s="2" t="s">
        <v>1376</v>
      </c>
      <c r="B1374" s="3" t="s">
        <v>4</v>
      </c>
      <c r="C1374" s="2" t="str">
        <f ca="1">IFERROR(__xludf.DUMMYFUNCTION("GOOGLETRANSLATE(A1374,""bn"",""en"")"),"Noise isolation is very good on these headphones")</f>
        <v>Noise isolation is very good on these headphones</v>
      </c>
    </row>
    <row r="1375" spans="1:3" ht="15.75" customHeight="1" x14ac:dyDescent="0.25">
      <c r="A1375" s="2" t="s">
        <v>1377</v>
      </c>
      <c r="B1375" s="3" t="s">
        <v>6</v>
      </c>
      <c r="C1375" s="2" t="str">
        <f ca="1">IFERROR(__xludf.DUMMYFUNCTION("GOOGLETRANSLATE(A1375,""bn"",""en"")"),"The coffee lacked balance with one note overpowering the others")</f>
        <v>The coffee lacked balance with one note overpowering the others</v>
      </c>
    </row>
    <row r="1376" spans="1:3" ht="15.75" customHeight="1" x14ac:dyDescent="0.25">
      <c r="A1376" s="2" t="s">
        <v>1378</v>
      </c>
      <c r="B1376" s="3" t="s">
        <v>4</v>
      </c>
      <c r="C1376" s="2" t="str">
        <f ca="1">IFERROR(__xludf.DUMMYFUNCTION("GOOGLETRANSLATE(A1376,""bn"",""en"")"),"The author's diction is very beautiful")</f>
        <v>The author's diction is very beautiful</v>
      </c>
    </row>
    <row r="1377" spans="1:3" ht="15.75" customHeight="1" x14ac:dyDescent="0.25">
      <c r="A1377" s="2" t="s">
        <v>1379</v>
      </c>
      <c r="B1377" s="3" t="s">
        <v>2</v>
      </c>
      <c r="C1377" s="2" t="str">
        <f ca="1">IFERROR(__xludf.DUMMYFUNCTION("GOOGLETRANSLATE(A1377,""bn"",""en"")"),"Comforter blankets are ok nothing extraordinary")</f>
        <v>Comforter blankets are ok nothing extraordinary</v>
      </c>
    </row>
    <row r="1378" spans="1:3" ht="15.75" customHeight="1" x14ac:dyDescent="0.25">
      <c r="A1378" s="2" t="s">
        <v>1380</v>
      </c>
      <c r="B1378" s="3" t="s">
        <v>6</v>
      </c>
      <c r="C1378" s="2" t="str">
        <f ca="1">IFERROR(__xludf.DUMMYFUNCTION("GOOGLETRANSLATE(A1378,""bn"",""en"")"),"Product quality is inconsistent between batches leading to different results")</f>
        <v>Product quality is inconsistent between batches leading to different results</v>
      </c>
    </row>
    <row r="1379" spans="1:3" ht="15.75" customHeight="1" x14ac:dyDescent="0.25">
      <c r="A1379" s="2" t="s">
        <v>1381</v>
      </c>
      <c r="B1379" s="3" t="s">
        <v>2</v>
      </c>
      <c r="C1379" s="2" t="str">
        <f ca="1">IFERROR(__xludf.DUMMYFUNCTION("GOOGLETRANSLATE(A1379,""bn"",""en"")"),"The fabric is thin and looks like it needs extra layers")</f>
        <v>The fabric is thin and looks like it needs extra layers</v>
      </c>
    </row>
    <row r="1380" spans="1:3" ht="15.75" customHeight="1" x14ac:dyDescent="0.25">
      <c r="A1380" s="2" t="s">
        <v>1382</v>
      </c>
      <c r="B1380" s="3" t="s">
        <v>2</v>
      </c>
      <c r="C1380" s="2" t="str">
        <f ca="1">IFERROR(__xludf.DUMMYFUNCTION("GOOGLETRANSLATE(A1380,""bn"",""en"")"),"Despite the crop crisis, some improvement has been noticed but the problem has not been solved")</f>
        <v>Despite the crop crisis, some improvement has been noticed but the problem has not been solved</v>
      </c>
    </row>
    <row r="1381" spans="1:3" ht="15.75" customHeight="1" x14ac:dyDescent="0.25">
      <c r="A1381" s="2" t="s">
        <v>1383</v>
      </c>
      <c r="B1381" s="3" t="s">
        <v>2</v>
      </c>
      <c r="C1381" s="2" t="str">
        <f ca="1">IFERROR(__xludf.DUMMYFUNCTION("GOOGLETRANSLATE(A1381,""bn"",""en"")"),"The mop cloth seems sturdy")</f>
        <v>The mop cloth seems sturdy</v>
      </c>
    </row>
    <row r="1382" spans="1:3" ht="15.75" customHeight="1" x14ac:dyDescent="0.25">
      <c r="A1382" s="2" t="s">
        <v>1384</v>
      </c>
      <c r="B1382" s="3" t="s">
        <v>6</v>
      </c>
      <c r="C1382" s="2" t="str">
        <f ca="1">IFERROR(__xludf.DUMMYFUNCTION("GOOGLETRANSLATE(A1382,""bn"",""en"")"),"MSI MAG Tomahawk bug constantly crashes")</f>
        <v>MSI MAG Tomahawk bug constantly crashes</v>
      </c>
    </row>
    <row r="1383" spans="1:3" ht="15.75" customHeight="1" x14ac:dyDescent="0.25">
      <c r="A1383" s="2" t="s">
        <v>1385</v>
      </c>
      <c r="B1383" s="3" t="s">
        <v>4</v>
      </c>
      <c r="C1383" s="2" t="str">
        <f ca="1">IFERROR(__xludf.DUMMYFUNCTION("GOOGLETRANSLATE(A1383,""bn"",""en"")"),"Amazing camera with a great kit")</f>
        <v>Amazing camera with a great kit</v>
      </c>
    </row>
    <row r="1384" spans="1:3" ht="15.75" customHeight="1" x14ac:dyDescent="0.25">
      <c r="A1384" s="2" t="s">
        <v>1386</v>
      </c>
      <c r="B1384" s="3" t="s">
        <v>4</v>
      </c>
      <c r="C1384" s="2" t="str">
        <f ca="1">IFERROR(__xludf.DUMMYFUNCTION("GOOGLETRANSLATE(A1384,""bn"",""en"")"),"becomes an essential part of the decor")</f>
        <v>becomes an essential part of the decor</v>
      </c>
    </row>
    <row r="1385" spans="1:3" ht="15.75" customHeight="1" x14ac:dyDescent="0.25">
      <c r="A1385" s="2" t="s">
        <v>1387</v>
      </c>
      <c r="B1385" s="3" t="s">
        <v>4</v>
      </c>
      <c r="C1385" s="2" t="str">
        <f ca="1">IFERROR(__xludf.DUMMYFUNCTION("GOOGLETRANSLATE(A1385,""bn"",""en"")"),"The pad is long lasting and effective and can be used at any time of the day")</f>
        <v>The pad is long lasting and effective and can be used at any time of the day</v>
      </c>
    </row>
    <row r="1386" spans="1:3" ht="15.75" customHeight="1" x14ac:dyDescent="0.25">
      <c r="A1386" s="2" t="s">
        <v>1388</v>
      </c>
      <c r="B1386" s="3" t="s">
        <v>4</v>
      </c>
      <c r="C1386" s="2" t="str">
        <f ca="1">IFERROR(__xludf.DUMMYFUNCTION("GOOGLETRANSLATE(A1386,""bn"",""en"")"),"The fridge lights are very bright and everything is easy to see")</f>
        <v>The fridge lights are very bright and everything is easy to see</v>
      </c>
    </row>
    <row r="1387" spans="1:3" ht="15.75" customHeight="1" x14ac:dyDescent="0.25">
      <c r="A1387" s="2" t="s">
        <v>1389</v>
      </c>
      <c r="B1387" s="3" t="s">
        <v>2</v>
      </c>
      <c r="C1387" s="2" t="str">
        <f ca="1">IFERROR(__xludf.DUMMYFUNCTION("GOOGLETRANSLATE(A1387,""bn"",""en"")"),"Nice but quality is average")</f>
        <v>Nice but quality is average</v>
      </c>
    </row>
    <row r="1388" spans="1:3" ht="15.75" customHeight="1" x14ac:dyDescent="0.25">
      <c r="A1388" s="2" t="s">
        <v>1390</v>
      </c>
      <c r="B1388" s="3" t="s">
        <v>4</v>
      </c>
      <c r="C1388" s="2" t="str">
        <f ca="1">IFERROR(__xludf.DUMMYFUNCTION("GOOGLETRANSLATE(A1388,""bn"",""en"")"),"With this speaker I am listening to old songs anew with many new details being captured")</f>
        <v>With this speaker I am listening to old songs anew with many new details being captured</v>
      </c>
    </row>
    <row r="1389" spans="1:3" ht="15.75" customHeight="1" x14ac:dyDescent="0.25">
      <c r="A1389" s="2" t="s">
        <v>1391</v>
      </c>
      <c r="B1389" s="3" t="s">
        <v>6</v>
      </c>
      <c r="C1389" s="2" t="str">
        <f ca="1">IFERROR(__xludf.DUMMYFUNCTION("GOOGLETRANSLATE(A1389,""bn"",""en"")"),"There is an agreement that some items are not useful")</f>
        <v>There is an agreement that some items are not useful</v>
      </c>
    </row>
    <row r="1390" spans="1:3" ht="15.75" customHeight="1" x14ac:dyDescent="0.25">
      <c r="A1390" s="2" t="s">
        <v>1392</v>
      </c>
      <c r="B1390" s="3" t="s">
        <v>4</v>
      </c>
      <c r="C1390" s="2" t="str">
        <f ca="1">IFERROR(__xludf.DUMMYFUNCTION("GOOGLETRANSLATE(A1390,""bn"",""en"")"),"It is very reliable and convenient")</f>
        <v>It is very reliable and convenient</v>
      </c>
    </row>
    <row r="1391" spans="1:3" ht="15.75" customHeight="1" x14ac:dyDescent="0.25">
      <c r="A1391" s="2" t="s">
        <v>1393</v>
      </c>
      <c r="B1391" s="3" t="s">
        <v>4</v>
      </c>
      <c r="C1391" s="2" t="str">
        <f ca="1">IFERROR(__xludf.DUMMYFUNCTION("GOOGLETRANSLATE(A1391,""bn"",""en"")"),"Low light requirement but looks good in shade")</f>
        <v>Low light requirement but looks good in shade</v>
      </c>
    </row>
    <row r="1392" spans="1:3" ht="15.75" customHeight="1" x14ac:dyDescent="0.25">
      <c r="A1392" s="2" t="s">
        <v>1394</v>
      </c>
      <c r="B1392" s="3" t="s">
        <v>6</v>
      </c>
      <c r="C1392" s="2" t="str">
        <f ca="1">IFERROR(__xludf.DUMMYFUNCTION("GOOGLETRANSLATE(A1392,""bn"",""en"")"),"The external surface of the power bank becomes slippery when held, increasing the risk of accidental drops")</f>
        <v>The external surface of the power bank becomes slippery when held, increasing the risk of accidental drops</v>
      </c>
    </row>
    <row r="1393" spans="1:3" ht="15.75" customHeight="1" x14ac:dyDescent="0.25">
      <c r="A1393" s="2" t="s">
        <v>1395</v>
      </c>
      <c r="B1393" s="3" t="s">
        <v>2</v>
      </c>
      <c r="C1393" s="2" t="str">
        <f ca="1">IFERROR(__xludf.DUMMYFUNCTION("GOOGLETRANSLATE(A1393,""bn"",""en"")"),"Can be used at night before sleeping")</f>
        <v>Can be used at night before sleeping</v>
      </c>
    </row>
    <row r="1394" spans="1:3" ht="15.75" customHeight="1" x14ac:dyDescent="0.25">
      <c r="A1394" s="2" t="s">
        <v>1396</v>
      </c>
      <c r="B1394" s="3" t="s">
        <v>6</v>
      </c>
      <c r="C1394" s="2" t="str">
        <f ca="1">IFERROR(__xludf.DUMMYFUNCTION("GOOGLETRANSLATE(A1394,""bn"",""en"")"),"Not very clever or practical")</f>
        <v>Not very clever or practical</v>
      </c>
    </row>
    <row r="1395" spans="1:3" ht="15.75" customHeight="1" x14ac:dyDescent="0.25">
      <c r="A1395" s="2" t="s">
        <v>1397</v>
      </c>
      <c r="B1395" s="3" t="s">
        <v>6</v>
      </c>
      <c r="C1395" s="2" t="str">
        <f ca="1">IFERROR(__xludf.DUMMYFUNCTION("GOOGLETRANSLATE(A1395,""bn"",""en"")"),"The tea leaves were old and stale which affected the freshness of the brew")</f>
        <v>The tea leaves were old and stale which affected the freshness of the brew</v>
      </c>
    </row>
    <row r="1396" spans="1:3" ht="15.75" customHeight="1" x14ac:dyDescent="0.25">
      <c r="A1396" s="2" t="s">
        <v>1398</v>
      </c>
      <c r="B1396" s="3" t="s">
        <v>4</v>
      </c>
      <c r="C1396" s="2" t="str">
        <f ca="1">IFERROR(__xludf.DUMMYFUNCTION("GOOGLETRANSLATE(A1396,""bn"",""en"")"),"Every season brings a touch of spring into the home")</f>
        <v>Every season brings a touch of spring into the home</v>
      </c>
    </row>
    <row r="1397" spans="1:3" ht="15.75" customHeight="1" x14ac:dyDescent="0.25">
      <c r="A1397" s="2" t="s">
        <v>1399</v>
      </c>
      <c r="B1397" s="3" t="s">
        <v>4</v>
      </c>
      <c r="C1397" s="2" t="str">
        <f ca="1">IFERROR(__xludf.DUMMYFUNCTION("GOOGLETRANSLATE(A1397,""bn"",""en"")"),"These are fine")</f>
        <v>These are fine</v>
      </c>
    </row>
    <row r="1398" spans="1:3" ht="15.75" customHeight="1" x14ac:dyDescent="0.25">
      <c r="A1398" s="2" t="s">
        <v>1400</v>
      </c>
      <c r="B1398" s="3" t="s">
        <v>4</v>
      </c>
      <c r="C1398" s="2" t="str">
        <f ca="1">IFERROR(__xludf.DUMMYFUNCTION("GOOGLETRANSLATE(A1398,""bn"",""en"")"),"Different seasons bring newness to the house")</f>
        <v>Different seasons bring newness to the house</v>
      </c>
    </row>
    <row r="1399" spans="1:3" ht="15.75" customHeight="1" x14ac:dyDescent="0.25">
      <c r="A1399" s="2" t="s">
        <v>1401</v>
      </c>
      <c r="B1399" s="3" t="s">
        <v>4</v>
      </c>
      <c r="C1399" s="2" t="str">
        <f ca="1">IFERROR(__xludf.DUMMYFUNCTION("GOOGLETRANSLATE(A1399,""bn"",""en"")"),"Electrical circuits are not overloaded")</f>
        <v>Electrical circuits are not overloaded</v>
      </c>
    </row>
    <row r="1400" spans="1:3" ht="15.75" customHeight="1" x14ac:dyDescent="0.25">
      <c r="A1400" s="2" t="s">
        <v>1402</v>
      </c>
      <c r="B1400" s="3" t="s">
        <v>6</v>
      </c>
      <c r="C1400" s="2" t="str">
        <f ca="1">IFERROR(__xludf.DUMMYFUNCTION("GOOGLETRANSLATE(A1400,""bn"",""en"")"),"  Wood is inferior in visible knots and imperfections that affect its overall aesthetics")</f>
        <v xml:space="preserve">  Wood is inferior in visible knots and imperfections that affect its overall aesthetics</v>
      </c>
    </row>
    <row r="1401" spans="1:3" ht="15.75" customHeight="1" x14ac:dyDescent="0.25">
      <c r="A1401" s="2" t="s">
        <v>1403</v>
      </c>
      <c r="B1401" s="3" t="s">
        <v>2</v>
      </c>
      <c r="C1401" s="2" t="str">
        <f ca="1">IFERROR(__xludf.DUMMYFUNCTION("GOOGLETRANSLATE(A1401,""bn"",""en"")"),"Glitter added")</f>
        <v>Glitter added</v>
      </c>
    </row>
    <row r="1402" spans="1:3" ht="15.75" customHeight="1" x14ac:dyDescent="0.25">
      <c r="A1402" s="2" t="s">
        <v>1404</v>
      </c>
      <c r="B1402" s="3" t="s">
        <v>2</v>
      </c>
      <c r="C1402" s="2" t="str">
        <f ca="1">IFERROR(__xludf.DUMMYFUNCTION("GOOGLETRANSLATE(A1402,""bn"",""en"")"),"Power options seem limited")</f>
        <v>Power options seem limited</v>
      </c>
    </row>
    <row r="1403" spans="1:3" ht="15.75" customHeight="1" x14ac:dyDescent="0.25">
      <c r="A1403" s="2" t="s">
        <v>1405</v>
      </c>
      <c r="B1403" s="3" t="s">
        <v>4</v>
      </c>
      <c r="C1403" s="2" t="str">
        <f ca="1">IFERROR(__xludf.DUMMYFUNCTION("GOOGLETRANSLATE(A1403,""bn"",""en"")"),"Will fit comfortably")</f>
        <v>Will fit comfortably</v>
      </c>
    </row>
    <row r="1404" spans="1:3" ht="15.75" customHeight="1" x14ac:dyDescent="0.25">
      <c r="A1404" s="2" t="s">
        <v>1406</v>
      </c>
      <c r="B1404" s="3" t="s">
        <v>4</v>
      </c>
      <c r="C1404" s="2" t="str">
        <f ca="1">IFERROR(__xludf.DUMMYFUNCTION("GOOGLETRANSLATE(A1404,""bn"",""en"")"),"New opportunities arise all the time in our office")</f>
        <v>New opportunities arise all the time in our office</v>
      </c>
    </row>
    <row r="1405" spans="1:3" ht="15.75" customHeight="1" x14ac:dyDescent="0.25">
      <c r="A1405" s="2" t="s">
        <v>1407</v>
      </c>
      <c r="B1405" s="3" t="s">
        <v>4</v>
      </c>
      <c r="C1405" s="2" t="str">
        <f ca="1">IFERROR(__xludf.DUMMYFUNCTION("GOOGLETRANSLATE(A1405,""bn"",""en"")"),"The aroma of coffee is so pleasant that I close my eyes and enjoy it")</f>
        <v>The aroma of coffee is so pleasant that I close my eyes and enjoy it</v>
      </c>
    </row>
    <row r="1406" spans="1:3" ht="15.75" customHeight="1" x14ac:dyDescent="0.25">
      <c r="A1406" s="2" t="s">
        <v>1408</v>
      </c>
      <c r="B1406" s="3" t="s">
        <v>4</v>
      </c>
      <c r="C1406" s="2" t="str">
        <f ca="1">IFERROR(__xludf.DUMMYFUNCTION("GOOGLETRANSLATE(A1406,""bn"",""en"")"),"It can easily reach different parts of my hair")</f>
        <v>It can easily reach different parts of my hair</v>
      </c>
    </row>
    <row r="1407" spans="1:3" ht="15.75" customHeight="1" x14ac:dyDescent="0.25">
      <c r="A1407" s="2" t="s">
        <v>1409</v>
      </c>
      <c r="B1407" s="3" t="s">
        <v>4</v>
      </c>
      <c r="C1407" s="2" t="str">
        <f ca="1">IFERROR(__xludf.DUMMYFUNCTION("GOOGLETRANSLATE(A1407,""bn"",""en"")"),"It was a lot of fun and I had fun eating it ")</f>
        <v xml:space="preserve">It was a lot of fun and I had fun eating it </v>
      </c>
    </row>
    <row r="1408" spans="1:3" ht="15.75" customHeight="1" x14ac:dyDescent="0.25">
      <c r="A1408" s="2" t="s">
        <v>1410</v>
      </c>
      <c r="B1408" s="3" t="s">
        <v>4</v>
      </c>
      <c r="C1408" s="2" t="str">
        <f ca="1">IFERROR(__xludf.DUMMYFUNCTION("GOOGLETRANSLATE(A1408,""bn"",""en"")"),"Our garden plants are always green")</f>
        <v>Our garden plants are always green</v>
      </c>
    </row>
    <row r="1409" spans="1:3" ht="15.75" customHeight="1" x14ac:dyDescent="0.25">
      <c r="A1409" s="2" t="s">
        <v>1411</v>
      </c>
      <c r="B1409" s="3" t="s">
        <v>2</v>
      </c>
      <c r="C1409" s="2" t="str">
        <f ca="1">IFERROR(__xludf.DUMMYFUNCTION("GOOGLETRANSLATE(A1409,""bn"",""en"")"),"The manufacturer company has a warranty")</f>
        <v>The manufacturer company has a warranty</v>
      </c>
    </row>
    <row r="1410" spans="1:3" ht="15.75" customHeight="1" x14ac:dyDescent="0.25">
      <c r="A1410" s="2" t="s">
        <v>1412</v>
      </c>
      <c r="B1410" s="3" t="s">
        <v>6</v>
      </c>
      <c r="C1410" s="2" t="str">
        <f ca="1">IFERROR(__xludf.DUMMYFUNCTION("GOOGLETRANSLATE(A1410,""bn"",""en"")"),"Inadequate locking mechanism fails to secure lid during transport")</f>
        <v>Inadequate locking mechanism fails to secure lid during transport</v>
      </c>
    </row>
    <row r="1411" spans="1:3" ht="15.75" customHeight="1" x14ac:dyDescent="0.25">
      <c r="A1411" s="2" t="s">
        <v>1413</v>
      </c>
      <c r="B1411" s="3" t="s">
        <v>4</v>
      </c>
      <c r="C1411" s="2" t="str">
        <f ca="1">IFERROR(__xludf.DUMMYFUNCTION("GOOGLETRANSLATE(A1411,""bn"",""en"")"),"Can be spread easily")</f>
        <v>Can be spread easily</v>
      </c>
    </row>
    <row r="1412" spans="1:3" ht="15.75" customHeight="1" x14ac:dyDescent="0.25">
      <c r="A1412" s="2" t="s">
        <v>1414</v>
      </c>
      <c r="B1412" s="3" t="s">
        <v>6</v>
      </c>
      <c r="C1412" s="2" t="str">
        <f ca="1">IFERROR(__xludf.DUMMYFUNCTION("GOOGLETRANSLATE(A1412,""bn"",""en"")"),"The insole is very thin and has little to no impact absorption causing discomfort with every step")</f>
        <v>The insole is very thin and has little to no impact absorption causing discomfort with every step</v>
      </c>
    </row>
    <row r="1413" spans="1:3" ht="15.75" customHeight="1" x14ac:dyDescent="0.25">
      <c r="A1413" s="2" t="s">
        <v>1415</v>
      </c>
      <c r="B1413" s="3" t="s">
        <v>2</v>
      </c>
      <c r="C1413" s="2" t="str">
        <f ca="1">IFERROR(__xludf.DUMMYFUNCTION("GOOGLETRANSLATE(A1413,""bn"",""en"")"),"Helps increase the child's attention but only for a short time")</f>
        <v>Helps increase the child's attention but only for a short time</v>
      </c>
    </row>
    <row r="1414" spans="1:3" ht="15.75" customHeight="1" x14ac:dyDescent="0.25">
      <c r="A1414" s="2" t="s">
        <v>1416</v>
      </c>
      <c r="B1414" s="3" t="s">
        <v>4</v>
      </c>
      <c r="C1414" s="2" t="str">
        <f ca="1">IFERROR(__xludf.DUMMYFUNCTION("GOOGLETRANSLATE(A1414,""bn"",""en"")"),"Makeup brushes help create different looks")</f>
        <v>Makeup brushes help create different looks</v>
      </c>
    </row>
    <row r="1415" spans="1:3" ht="15.75" customHeight="1" x14ac:dyDescent="0.25">
      <c r="A1415" s="2" t="s">
        <v>1417</v>
      </c>
      <c r="B1415" s="3" t="s">
        <v>4</v>
      </c>
      <c r="C1415" s="2" t="str">
        <f ca="1">IFERROR(__xludf.DUMMYFUNCTION("GOOGLETRANSLATE(A1415,""bn"",""en"")"),"The display brightness of the mobile is very high")</f>
        <v>The display brightness of the mobile is very high</v>
      </c>
    </row>
    <row r="1416" spans="1:3" ht="15.75" customHeight="1" x14ac:dyDescent="0.25">
      <c r="A1416" s="2" t="s">
        <v>1418</v>
      </c>
      <c r="B1416" s="3" t="s">
        <v>4</v>
      </c>
      <c r="C1416" s="2" t="str">
        <f ca="1">IFERROR(__xludf.DUMMYFUNCTION("GOOGLETRANSLATE(A1416,""bn"",""en"")"),"Light weight and easy to use")</f>
        <v>Light weight and easy to use</v>
      </c>
    </row>
    <row r="1417" spans="1:3" ht="15.75" customHeight="1" x14ac:dyDescent="0.25">
      <c r="A1417" s="2" t="s">
        <v>1419</v>
      </c>
      <c r="B1417" s="3" t="s">
        <v>2</v>
      </c>
      <c r="C1417" s="2" t="str">
        <f ca="1">IFERROR(__xludf.DUMMYFUNCTION("GOOGLETRANSLATE(A1417,""bn"",""en"")"),"The design of the product lacked some durability for long-term use")</f>
        <v>The design of the product lacked some durability for long-term use</v>
      </c>
    </row>
    <row r="1418" spans="1:3" ht="15.75" customHeight="1" x14ac:dyDescent="0.25">
      <c r="A1418" s="2" t="s">
        <v>1420</v>
      </c>
      <c r="B1418" s="3" t="s">
        <v>2</v>
      </c>
      <c r="C1418" s="2" t="str">
        <f ca="1">IFERROR(__xludf.DUMMYFUNCTION("GOOGLETRANSLATE(A1418,""bn"",""en"")"),"Although the fertilizer was somewhat effective, there was no significant increase in yield")</f>
        <v>Although the fertilizer was somewhat effective, there was no significant increase in yield</v>
      </c>
    </row>
    <row r="1419" spans="1:3" ht="15.75" customHeight="1" x14ac:dyDescent="0.25">
      <c r="A1419" s="2" t="s">
        <v>1421</v>
      </c>
      <c r="B1419" s="3" t="s">
        <v>6</v>
      </c>
      <c r="C1419" s="2" t="str">
        <f ca="1">IFERROR(__xludf.DUMMYFUNCTION("GOOGLETRANSLATE(A1419,""bn"",""en"")"),"     The construction is inferior with visible gaps and uneven edges")</f>
        <v xml:space="preserve">     The construction is inferior with visible gaps and uneven edges</v>
      </c>
    </row>
    <row r="1420" spans="1:3" ht="15.75" customHeight="1" x14ac:dyDescent="0.25">
      <c r="A1420" s="2" t="s">
        <v>1422</v>
      </c>
      <c r="B1420" s="3" t="s">
        <v>2</v>
      </c>
      <c r="C1420" s="2" t="str">
        <f ca="1">IFERROR(__xludf.DUMMYFUNCTION("GOOGLETRANSLATE(A1420,""bn"",""en"")"),"Looks normal")</f>
        <v>Looks normal</v>
      </c>
    </row>
    <row r="1421" spans="1:3" ht="15.75" customHeight="1" x14ac:dyDescent="0.25">
      <c r="A1421" s="2" t="s">
        <v>1423</v>
      </c>
      <c r="B1421" s="3" t="s">
        <v>6</v>
      </c>
      <c r="C1421" s="2" t="str">
        <f ca="1">IFERROR(__xludf.DUMMYFUNCTION("GOOGLETRANSLATE(A1421,""bn"",""en"")"),"Not holding well I was shaky")</f>
        <v>Not holding well I was shaky</v>
      </c>
    </row>
    <row r="1422" spans="1:3" ht="15.75" customHeight="1" x14ac:dyDescent="0.25">
      <c r="A1422" s="2" t="s">
        <v>1424</v>
      </c>
      <c r="B1422" s="3" t="s">
        <v>4</v>
      </c>
      <c r="C1422" s="2" t="str">
        <f ca="1">IFERROR(__xludf.DUMMYFUNCTION("GOOGLETRANSLATE(A1422,""bn"",""en"")"),"The texture is very good crispy on the outside but soft on the inside")</f>
        <v>The texture is very good crispy on the outside but soft on the inside</v>
      </c>
    </row>
    <row r="1423" spans="1:3" ht="15.75" customHeight="1" x14ac:dyDescent="0.25">
      <c r="A1423" s="2" t="s">
        <v>1425</v>
      </c>
      <c r="B1423" s="3" t="s">
        <v>4</v>
      </c>
      <c r="C1423" s="2" t="str">
        <f ca="1">IFERROR(__xludf.DUMMYFUNCTION("GOOGLETRANSLATE(A1423,""bn"",""en"")"),"Makeup brushes look beautiful")</f>
        <v>Makeup brushes look beautiful</v>
      </c>
    </row>
    <row r="1424" spans="1:3" ht="15.75" customHeight="1" x14ac:dyDescent="0.25">
      <c r="A1424" s="2" t="s">
        <v>1426</v>
      </c>
      <c r="B1424" s="3" t="s">
        <v>6</v>
      </c>
      <c r="C1424" s="2" t="str">
        <f ca="1">IFERROR(__xludf.DUMMYFUNCTION("GOOGLETRANSLATE(A1424,""bn"",""en"")"),"Inadequate protection puts the item at risk of damage")</f>
        <v>Inadequate protection puts the item at risk of damage</v>
      </c>
    </row>
    <row r="1425" spans="1:3" ht="15.75" customHeight="1" x14ac:dyDescent="0.25">
      <c r="A1425" s="2" t="s">
        <v>1427</v>
      </c>
      <c r="B1425" s="3" t="s">
        <v>2</v>
      </c>
      <c r="C1425" s="2" t="str">
        <f ca="1">IFERROR(__xludf.DUMMYFUNCTION("GOOGLETRANSLATE(A1425,""bn"",""en"")"),"The process is fast but the noise can be a bit high")</f>
        <v>The process is fast but the noise can be a bit high</v>
      </c>
    </row>
    <row r="1426" spans="1:3" ht="15.75" customHeight="1" x14ac:dyDescent="0.25">
      <c r="A1426" s="2" t="s">
        <v>1428</v>
      </c>
      <c r="B1426" s="3" t="s">
        <v>4</v>
      </c>
      <c r="C1426" s="2" t="str">
        <f ca="1">IFERROR(__xludf.DUMMYFUNCTION("GOOGLETRANSLATE(A1426,""bn"",""en"")"),"The design of the pillows is such that they easily fit into any bedroom decor")</f>
        <v>The design of the pillows is such that they easily fit into any bedroom decor</v>
      </c>
    </row>
    <row r="1427" spans="1:3" ht="15.75" customHeight="1" x14ac:dyDescent="0.25">
      <c r="A1427" s="2" t="s">
        <v>1429</v>
      </c>
      <c r="B1427" s="3" t="s">
        <v>6</v>
      </c>
      <c r="C1427" s="2" t="str">
        <f ca="1">IFERROR(__xludf.DUMMYFUNCTION("GOOGLETRANSLATE(A1427,""bn"",""en"")")," Built-in apps often crash requiring a reboot to resume functionality")</f>
        <v xml:space="preserve"> Built-in apps often crash requiring a reboot to resume functionality</v>
      </c>
    </row>
    <row r="1428" spans="1:3" ht="15.75" customHeight="1" x14ac:dyDescent="0.25">
      <c r="A1428" s="2" t="s">
        <v>1430</v>
      </c>
      <c r="B1428" s="3" t="s">
        <v>6</v>
      </c>
      <c r="C1428" s="2" t="str">
        <f ca="1">IFERROR(__xludf.DUMMYFUNCTION("GOOGLETRANSLATE(A1428,""bn"",""en"")"),"The operation of the item was noisy or disruptive")</f>
        <v>The operation of the item was noisy or disruptive</v>
      </c>
    </row>
    <row r="1429" spans="1:3" ht="15.75" customHeight="1" x14ac:dyDescent="0.25">
      <c r="A1429" s="2" t="s">
        <v>1431</v>
      </c>
      <c r="B1429" s="3" t="s">
        <v>6</v>
      </c>
      <c r="C1429" s="2" t="str">
        <f ca="1">IFERROR(__xludf.DUMMYFUNCTION("GOOGLETRANSLATE(A1429,""bn"",""en"")"),"The ice maker frequently jams causing inconvenience when trying to dispense ice")</f>
        <v>The ice maker frequently jams causing inconvenience when trying to dispense ice</v>
      </c>
    </row>
    <row r="1430" spans="1:3" ht="15.75" customHeight="1" x14ac:dyDescent="0.25">
      <c r="A1430" s="2" t="s">
        <v>1432</v>
      </c>
      <c r="B1430" s="3" t="s">
        <v>4</v>
      </c>
      <c r="C1430" s="2" t="str">
        <f ca="1">IFERROR(__xludf.DUMMYFUNCTION("GOOGLETRANSLATE(A1430,""bn"",""en"")"),"Hair has become much healthier with the use of shampoo")</f>
        <v>Hair has become much healthier with the use of shampoo</v>
      </c>
    </row>
    <row r="1431" spans="1:3" ht="15.75" customHeight="1" x14ac:dyDescent="0.25">
      <c r="A1431" s="2" t="s">
        <v>1433</v>
      </c>
      <c r="B1431" s="3" t="s">
        <v>6</v>
      </c>
      <c r="C1431" s="2" t="str">
        <f ca="1">IFERROR(__xludf.DUMMYFUNCTION("GOOGLETRANSLATE(A1431,""bn"",""en"")"),"The surface of the item was very slippery so it could easily fall out of hand")</f>
        <v>The surface of the item was very slippery so it could easily fall out of hand</v>
      </c>
    </row>
    <row r="1432" spans="1:3" ht="15.75" customHeight="1" x14ac:dyDescent="0.25">
      <c r="A1432" s="2" t="s">
        <v>1434</v>
      </c>
      <c r="B1432" s="3" t="s">
        <v>2</v>
      </c>
      <c r="C1432" s="2" t="str">
        <f ca="1">IFERROR(__xludf.DUMMYFUNCTION("GOOGLETRANSLATE(A1432,""bn"",""en"")"),"The packaging was pretty accurate")</f>
        <v>The packaging was pretty accurate</v>
      </c>
    </row>
    <row r="1433" spans="1:3" ht="15.75" customHeight="1" x14ac:dyDescent="0.25">
      <c r="A1433" s="2" t="s">
        <v>1435</v>
      </c>
      <c r="B1433" s="3" t="s">
        <v>6</v>
      </c>
      <c r="C1433" s="2" t="str">
        <f ca="1">IFERROR(__xludf.DUMMYFUNCTION("GOOGLETRANSLATE(A1433,""bn"",""en"")"),"The design of the bag was dated and uninspired, lacking the sleek and modern aesthetic I was looking for")</f>
        <v>The design of the bag was dated and uninspired, lacking the sleek and modern aesthetic I was looking for</v>
      </c>
    </row>
    <row r="1434" spans="1:3" ht="15.75" customHeight="1" x14ac:dyDescent="0.25">
      <c r="A1434" s="2" t="s">
        <v>1436</v>
      </c>
      <c r="B1434" s="3" t="s">
        <v>4</v>
      </c>
      <c r="C1434" s="2" t="str">
        <f ca="1">IFERROR(__xludf.DUMMYFUNCTION("GOOGLETRANSLATE(A1434,""bn"",""en"")"),"Use of shampoo removes dryness of hair")</f>
        <v>Use of shampoo removes dryness of hair</v>
      </c>
    </row>
    <row r="1435" spans="1:3" ht="15.75" customHeight="1" x14ac:dyDescent="0.25">
      <c r="A1435" s="2" t="s">
        <v>1437</v>
      </c>
      <c r="B1435" s="3" t="s">
        <v>4</v>
      </c>
      <c r="C1435" s="2" t="str">
        <f ca="1">IFERROR(__xludf.DUMMYFUNCTION("GOOGLETRANSLATE(A1435,""bn"",""en"")"),"Plastic flower never fade always looks fresh")</f>
        <v>Plastic flower never fade always looks fresh</v>
      </c>
    </row>
    <row r="1436" spans="1:3" ht="15.75" customHeight="1" x14ac:dyDescent="0.25">
      <c r="A1436" s="2" t="s">
        <v>1438</v>
      </c>
      <c r="B1436" s="3" t="s">
        <v>6</v>
      </c>
      <c r="C1436" s="2" t="str">
        <f ca="1">IFERROR(__xludf.DUMMYFUNCTION("GOOGLETRANSLATE(A1436,""bn"",""en"")"),"The fridge has limited storage capacity for smaller families than expected")</f>
        <v>The fridge has limited storage capacity for smaller families than expected</v>
      </c>
    </row>
    <row r="1437" spans="1:3" ht="15.75" customHeight="1" x14ac:dyDescent="0.25">
      <c r="A1437" s="2" t="s">
        <v>1439</v>
      </c>
      <c r="B1437" s="3" t="s">
        <v>4</v>
      </c>
      <c r="C1437" s="2" t="str">
        <f ca="1">IFERROR(__xludf.DUMMYFUNCTION("GOOGLETRANSLATE(A1437,""bn"",""en"")"),"Logitech MX Key S Wireless Keyboard Low Profile Quiet Typing Backlighting Bluetooth All I Love ")</f>
        <v xml:space="preserve">Logitech MX Key S Wireless Keyboard Low Profile Quiet Typing Backlighting Bluetooth All I Love </v>
      </c>
    </row>
    <row r="1438" spans="1:3" ht="15.75" customHeight="1" x14ac:dyDescent="0.25">
      <c r="A1438" s="2" t="s">
        <v>1440</v>
      </c>
      <c r="B1438" s="3" t="s">
        <v>4</v>
      </c>
      <c r="C1438" s="2" t="str">
        <f ca="1">IFERROR(__xludf.DUMMYFUNCTION("GOOGLETRANSLATE(A1438,""bn"",""en"")"),"You can get the product quality according to the price")</f>
        <v>You can get the product quality according to the price</v>
      </c>
    </row>
    <row r="1439" spans="1:3" ht="15.75" customHeight="1" x14ac:dyDescent="0.25">
      <c r="A1439" s="2" t="s">
        <v>1441</v>
      </c>
      <c r="B1439" s="3" t="s">
        <v>2</v>
      </c>
      <c r="C1439" s="2" t="str">
        <f ca="1">IFERROR(__xludf.DUMMYFUNCTION("GOOGLETRANSLATE(A1439,""bn"",""en"")"),"Soft and lightweight but can be soft")</f>
        <v>Soft and lightweight but can be soft</v>
      </c>
    </row>
    <row r="1440" spans="1:3" ht="15.75" customHeight="1" x14ac:dyDescent="0.25">
      <c r="A1440" s="2" t="s">
        <v>1442</v>
      </c>
      <c r="B1440" s="3" t="s">
        <v>4</v>
      </c>
      <c r="C1440" s="2" t="str">
        <f ca="1">IFERROR(__xludf.DUMMYFUNCTION("GOOGLETRANSLATE(A1440,""bn"",""en"")")," I am very satisfied with this phone charging speed battery life sound quality screen responsiveness everything great no problem")</f>
        <v xml:space="preserve"> I am very satisfied with this phone charging speed battery life sound quality screen responsiveness everything great no problem</v>
      </c>
    </row>
    <row r="1441" spans="1:3" ht="15.75" customHeight="1" x14ac:dyDescent="0.25">
      <c r="A1441" s="2" t="s">
        <v>1443</v>
      </c>
      <c r="B1441" s="3" t="s">
        <v>2</v>
      </c>
      <c r="C1441" s="2" t="str">
        <f ca="1">IFERROR(__xludf.DUMMYFUNCTION("GOOGLETRANSLATE(A1441,""bn"",""en"")"),"Purchases are limited")</f>
        <v>Purchases are limited</v>
      </c>
    </row>
    <row r="1442" spans="1:3" ht="15.75" customHeight="1" x14ac:dyDescent="0.25">
      <c r="A1442" s="2" t="s">
        <v>1444</v>
      </c>
      <c r="B1442" s="3" t="s">
        <v>2</v>
      </c>
      <c r="C1442" s="2" t="str">
        <f ca="1">IFERROR(__xludf.DUMMYFUNCTION("GOOGLETRANSLATE(A1442,""bn"",""en"")"),"Variety and price are moderate")</f>
        <v>Variety and price are moderate</v>
      </c>
    </row>
    <row r="1443" spans="1:3" ht="15.75" customHeight="1" x14ac:dyDescent="0.25">
      <c r="A1443" s="2" t="s">
        <v>1445</v>
      </c>
      <c r="B1443" s="3" t="s">
        <v>2</v>
      </c>
      <c r="C1443" s="2" t="str">
        <f ca="1">IFERROR(__xludf.DUMMYFUNCTION("GOOGLETRANSLATE(A1443,""bn"",""en"")"),"The electric guitar tuner tunes well but the display is small")</f>
        <v>The electric guitar tuner tunes well but the display is small</v>
      </c>
    </row>
    <row r="1444" spans="1:3" ht="15.75" customHeight="1" x14ac:dyDescent="0.25">
      <c r="A1444" s="2" t="s">
        <v>1446</v>
      </c>
      <c r="B1444" s="3" t="s">
        <v>6</v>
      </c>
      <c r="C1444" s="2" t="str">
        <f ca="1">IFERROR(__xludf.DUMMYFUNCTION("GOOGLETRANSLATE(A1444,""bn"",""en"")"),"Manual focus is blurry and difficult to achieve accurately especially in macro photography")</f>
        <v>Manual focus is blurry and difficult to achieve accurately especially in macro photography</v>
      </c>
    </row>
    <row r="1445" spans="1:3" ht="15.75" customHeight="1" x14ac:dyDescent="0.25">
      <c r="A1445" s="2" t="s">
        <v>1447</v>
      </c>
      <c r="B1445" s="3" t="s">
        <v>4</v>
      </c>
      <c r="C1445" s="2" t="str">
        <f ca="1">IFERROR(__xludf.DUMMYFUNCTION("GOOGLETRANSLATE(A1445,""bn"",""en"")"),"These cushions make the room environment very comfortable")</f>
        <v>These cushions make the room environment very comfortable</v>
      </c>
    </row>
    <row r="1446" spans="1:3" ht="15.75" customHeight="1" x14ac:dyDescent="0.25">
      <c r="A1446" s="2" t="s">
        <v>1448</v>
      </c>
      <c r="B1446" s="3" t="s">
        <v>4</v>
      </c>
      <c r="C1446" s="2" t="str">
        <f ca="1">IFERROR(__xludf.DUMMYFUNCTION("GOOGLETRANSLATE(A1446,""bn"",""en"")"),"Everyone is always attentive in our class")</f>
        <v>Everyone is always attentive in our class</v>
      </c>
    </row>
    <row r="1447" spans="1:3" ht="15.75" customHeight="1" x14ac:dyDescent="0.25">
      <c r="A1447" s="2" t="s">
        <v>1449</v>
      </c>
      <c r="B1447" s="3" t="s">
        <v>2</v>
      </c>
      <c r="C1447" s="2" t="str">
        <f ca="1">IFERROR(__xludf.DUMMYFUNCTION("GOOGLETRANSLATE(A1447,""bn"",""en"")"),"The Starlight feature works but can be sensitive")</f>
        <v>The Starlight feature works but can be sensitive</v>
      </c>
    </row>
    <row r="1448" spans="1:3" ht="15.75" customHeight="1" x14ac:dyDescent="0.25">
      <c r="A1448" s="2" t="s">
        <v>1450</v>
      </c>
      <c r="B1448" s="3" t="s">
        <v>2</v>
      </c>
      <c r="C1448" s="2" t="str">
        <f ca="1">IFERROR(__xludf.DUMMYFUNCTION("GOOGLETRANSLATE(A1448,""bn"",""en"")"),"The product keeps the quilt protected but not perfect")</f>
        <v>The product keeps the quilt protected but not perfect</v>
      </c>
    </row>
    <row r="1449" spans="1:3" ht="15.75" customHeight="1" x14ac:dyDescent="0.25">
      <c r="A1449" s="2" t="s">
        <v>1451</v>
      </c>
      <c r="B1449" s="3" t="s">
        <v>2</v>
      </c>
      <c r="C1449" s="2" t="str">
        <f ca="1">IFERROR(__xludf.DUMMYFUNCTION("GOOGLETRANSLATE(A1449,""bn"",""en"")"),"Fully usable but has some limitations")</f>
        <v>Fully usable but has some limitations</v>
      </c>
    </row>
    <row r="1450" spans="1:3" ht="15.75" customHeight="1" x14ac:dyDescent="0.25">
      <c r="A1450" s="2" t="s">
        <v>1452</v>
      </c>
      <c r="B1450" s="3" t="s">
        <v>2</v>
      </c>
      <c r="C1450" s="2" t="str">
        <f ca="1">IFERROR(__xludf.DUMMYFUNCTION("GOOGLETRANSLATE(A1450,""bn"",""en"")"),"Plant health was somewhat good but yield was very low")</f>
        <v>Plant health was somewhat good but yield was very low</v>
      </c>
    </row>
    <row r="1451" spans="1:3" ht="15.75" customHeight="1" x14ac:dyDescent="0.25">
      <c r="A1451" s="2" t="s">
        <v>1453</v>
      </c>
      <c r="B1451" s="3" t="s">
        <v>4</v>
      </c>
      <c r="C1451" s="2" t="str">
        <f ca="1">IFERROR(__xludf.DUMMYFUNCTION("GOOGLETRANSLATE(A1451,""bn"",""en"")"),"Good brands are as reliable as good quality advertising")</f>
        <v>Good brands are as reliable as good quality advertising</v>
      </c>
    </row>
    <row r="1452" spans="1:3" ht="15.75" customHeight="1" x14ac:dyDescent="0.25">
      <c r="A1452" s="2" t="s">
        <v>1454</v>
      </c>
      <c r="B1452" s="3" t="s">
        <v>2</v>
      </c>
      <c r="C1452" s="2" t="str">
        <f ca="1">IFERROR(__xludf.DUMMYFUNCTION("GOOGLETRANSLATE(A1452,""bn"",""en"")"),"Some outdoor cushions provide comfort")</f>
        <v>Some outdoor cushions provide comfort</v>
      </c>
    </row>
    <row r="1453" spans="1:3" ht="15.75" customHeight="1" x14ac:dyDescent="0.25">
      <c r="A1453" s="2" t="s">
        <v>1455</v>
      </c>
      <c r="B1453" s="3" t="s">
        <v>6</v>
      </c>
      <c r="C1453" s="2" t="str">
        <f ca="1">IFERROR(__xludf.DUMMYFUNCTION("GOOGLETRANSLATE(A1453,""bn"",""en"")"),"Some of the beads are of poor quality")</f>
        <v>Some of the beads are of poor quality</v>
      </c>
    </row>
    <row r="1454" spans="1:3" ht="15.75" customHeight="1" x14ac:dyDescent="0.25">
      <c r="A1454" s="2" t="s">
        <v>1456</v>
      </c>
      <c r="B1454" s="3" t="s">
        <v>2</v>
      </c>
      <c r="C1454" s="2" t="str">
        <f ca="1">IFERROR(__xludf.DUMMYFUNCTION("GOOGLETRANSLATE(A1454,""bn"",""en"")"),"Just got Genji so I haven't seen it yet so I can't say for sure how it will be")</f>
        <v>Just got Genji so I haven't seen it yet so I can't say for sure how it will be</v>
      </c>
    </row>
    <row r="1455" spans="1:3" ht="15.75" customHeight="1" x14ac:dyDescent="0.25">
      <c r="A1455" s="2" t="s">
        <v>1457</v>
      </c>
      <c r="B1455" s="3" t="s">
        <v>2</v>
      </c>
      <c r="C1455" s="2" t="str">
        <f ca="1">IFERROR(__xludf.DUMMYFUNCTION("GOOGLETRANSLATE(A1455,""bn"",""en"")"),"As expected but nothing exceptional")</f>
        <v>As expected but nothing exceptional</v>
      </c>
    </row>
    <row r="1456" spans="1:3" ht="15.75" customHeight="1" x14ac:dyDescent="0.25">
      <c r="A1456" s="2" t="s">
        <v>1458</v>
      </c>
      <c r="B1456" s="3" t="s">
        <v>4</v>
      </c>
      <c r="C1456" s="2" t="str">
        <f ca="1">IFERROR(__xludf.DUMMYFUNCTION("GOOGLETRANSLATE(A1456,""bn"",""en"")"),"Every corner of the pillows is perfectly stitched with no flaws anywhere")</f>
        <v>Every corner of the pillows is perfectly stitched with no flaws anywhere</v>
      </c>
    </row>
    <row r="1457" spans="1:3" ht="15.75" customHeight="1" x14ac:dyDescent="0.25">
      <c r="A1457" s="2" t="s">
        <v>1459</v>
      </c>
      <c r="B1457" s="3" t="s">
        <v>4</v>
      </c>
      <c r="C1457" s="2" t="str">
        <f ca="1">IFERROR(__xludf.DUMMYFUNCTION("GOOGLETRANSLATE(A1457,""bn"",""en"")"),"The pad is very affordable which is suitable for all women")</f>
        <v>The pad is very affordable which is suitable for all women</v>
      </c>
    </row>
    <row r="1458" spans="1:3" ht="15.75" customHeight="1" x14ac:dyDescent="0.25">
      <c r="A1458" s="2" t="s">
        <v>1460</v>
      </c>
      <c r="B1458" s="3" t="s">
        <v>6</v>
      </c>
      <c r="C1458" s="2" t="str">
        <f ca="1">IFERROR(__xludf.DUMMYFUNCTION("GOOGLETRANSLATE(A1458,""bn"",""en"")"),"The shades in the contour palette are muddy and difficult to blend seamlessly")</f>
        <v>The shades in the contour palette are muddy and difficult to blend seamlessly</v>
      </c>
    </row>
    <row r="1459" spans="1:3" ht="15.75" customHeight="1" x14ac:dyDescent="0.25">
      <c r="A1459" s="2" t="s">
        <v>1461</v>
      </c>
      <c r="B1459" s="3" t="s">
        <v>4</v>
      </c>
      <c r="C1459" s="2" t="str">
        <f ca="1">IFERROR(__xludf.DUMMYFUNCTION("GOOGLETRANSLATE(A1459,""bn"",""en"")"),"Using this speaker has made me a music lover all over again")</f>
        <v>Using this speaker has made me a music lover all over again</v>
      </c>
    </row>
    <row r="1460" spans="1:3" ht="15.75" customHeight="1" x14ac:dyDescent="0.25">
      <c r="A1460" s="2" t="s">
        <v>1462</v>
      </c>
      <c r="B1460" s="3" t="s">
        <v>2</v>
      </c>
      <c r="C1460" s="2" t="str">
        <f ca="1">IFERROR(__xludf.DUMMYFUNCTION("GOOGLETRANSLATE(A1460,""bn"",""en"")"),"Nice for fashion but not for everyday use")</f>
        <v>Nice for fashion but not for everyday use</v>
      </c>
    </row>
    <row r="1461" spans="1:3" ht="15.75" customHeight="1" x14ac:dyDescent="0.25">
      <c r="A1461" s="2" t="s">
        <v>1463</v>
      </c>
      <c r="B1461" s="3" t="s">
        <v>2</v>
      </c>
      <c r="C1461" s="2" t="str">
        <f ca="1">IFERROR(__xludf.DUMMYFUNCTION("GOOGLETRANSLATE(A1461,""bn"",""en"")"),"Arrived early but suffered some damage")</f>
        <v>Arrived early but suffered some damage</v>
      </c>
    </row>
    <row r="1462" spans="1:3" ht="15.75" customHeight="1" x14ac:dyDescent="0.25">
      <c r="A1462" s="2" t="s">
        <v>1464</v>
      </c>
      <c r="B1462" s="3" t="s">
        <v>4</v>
      </c>
      <c r="C1462" s="2" t="str">
        <f ca="1">IFERROR(__xludf.DUMMYFUNCTION("GOOGLETRANSLATE(A1462,""bn"",""en"")"),"Solid quality")</f>
        <v>Solid quality</v>
      </c>
    </row>
    <row r="1463" spans="1:3" ht="15.75" customHeight="1" x14ac:dyDescent="0.25">
      <c r="A1463" s="2" t="s">
        <v>1465</v>
      </c>
      <c r="B1463" s="3" t="s">
        <v>6</v>
      </c>
      <c r="C1463" s="2" t="str">
        <f ca="1">IFERROR(__xludf.DUMMYFUNCTION("GOOGLETRANSLATE(A1463,""bn"",""en"")"),"Persistent dirt problems are a concern of cleanliness")</f>
        <v>Persistent dirt problems are a concern of cleanliness</v>
      </c>
    </row>
    <row r="1464" spans="1:3" ht="15.75" customHeight="1" x14ac:dyDescent="0.25">
      <c r="A1464" s="2" t="s">
        <v>1466</v>
      </c>
      <c r="B1464" s="3" t="s">
        <v>4</v>
      </c>
      <c r="C1464" s="2" t="str">
        <f ca="1">IFERROR(__xludf.DUMMYFUNCTION("GOOGLETRANSLATE(A1464,""bn"",""en"")"),"The time is right to watch")</f>
        <v>The time is right to watch</v>
      </c>
    </row>
    <row r="1465" spans="1:3" ht="15.75" customHeight="1" x14ac:dyDescent="0.25">
      <c r="A1465" s="2" t="s">
        <v>1467</v>
      </c>
      <c r="B1465" s="3" t="s">
        <v>2</v>
      </c>
      <c r="C1465" s="2" t="str">
        <f ca="1">IFERROR(__xludf.DUMMYFUNCTION("GOOGLETRANSLATE(A1465,""bn"",""en"")"),"It is reusable but deforms after a few uses")</f>
        <v>It is reusable but deforms after a few uses</v>
      </c>
    </row>
    <row r="1466" spans="1:3" ht="15.75" customHeight="1" x14ac:dyDescent="0.25">
      <c r="A1466" s="2" t="s">
        <v>1468</v>
      </c>
      <c r="B1466" s="3" t="s">
        <v>6</v>
      </c>
      <c r="C1466" s="2" t="str">
        <f ca="1">IFERROR(__xludf.DUMMYFUNCTION("GOOGLETRANSLATE(A1466,""bn"",""en"")"),"The painting set did not include adequate protective gear for handling toxic materials")</f>
        <v>The painting set did not include adequate protective gear for handling toxic materials</v>
      </c>
    </row>
    <row r="1467" spans="1:3" ht="15.75" customHeight="1" x14ac:dyDescent="0.25">
      <c r="A1467" s="2" t="s">
        <v>1469</v>
      </c>
      <c r="B1467" s="3" t="s">
        <v>4</v>
      </c>
      <c r="C1467" s="2" t="str">
        <f ca="1">IFERROR(__xludf.DUMMYFUNCTION("GOOGLETRANSLATE(A1467,""bn"",""en"")"),"This body wash will leave you feeling refreshed")</f>
        <v>This body wash will leave you feeling refreshed</v>
      </c>
    </row>
    <row r="1468" spans="1:3" ht="15.75" customHeight="1" x14ac:dyDescent="0.25">
      <c r="A1468" s="2" t="s">
        <v>1470</v>
      </c>
      <c r="B1468" s="3" t="s">
        <v>6</v>
      </c>
      <c r="C1468" s="2" t="str">
        <f ca="1">IFERROR(__xludf.DUMMYFUNCTION("GOOGLETRANSLATE(A1468,""bn"",""en"")"),"The plants are getting extra water because the self-watering plant pot is leaking")</f>
        <v>The plants are getting extra water because the self-watering plant pot is leaking</v>
      </c>
    </row>
    <row r="1469" spans="1:3" ht="15.75" customHeight="1" x14ac:dyDescent="0.25">
      <c r="A1469" s="2" t="s">
        <v>1471</v>
      </c>
      <c r="B1469" s="3" t="s">
        <v>4</v>
      </c>
      <c r="C1469" s="2" t="str">
        <f ca="1">IFERROR(__xludf.DUMMYFUNCTION("GOOGLETRANSLATE(A1469,""bn"",""en"")"),"The handle of the spoon is very comfortable to hold")</f>
        <v>The handle of the spoon is very comfortable to hold</v>
      </c>
    </row>
    <row r="1470" spans="1:3" ht="15.75" customHeight="1" x14ac:dyDescent="0.25">
      <c r="A1470" s="2" t="s">
        <v>1472</v>
      </c>
      <c r="B1470" s="3" t="s">
        <v>2</v>
      </c>
      <c r="C1470" s="2" t="str">
        <f ca="1">IFERROR(__xludf.DUMMYFUNCTION("GOOGLETRANSLATE(A1470,""bn"",""en"")"),"Although the yield increased slightly, the fertilizer did not have any significant effect")</f>
        <v>Although the yield increased slightly, the fertilizer did not have any significant effect</v>
      </c>
    </row>
    <row r="1471" spans="1:3" ht="15.75" customHeight="1" x14ac:dyDescent="0.25">
      <c r="A1471" s="2" t="s">
        <v>1473</v>
      </c>
      <c r="B1471" s="3" t="s">
        <v>4</v>
      </c>
      <c r="C1471" s="2" t="str">
        <f ca="1">IFERROR(__xludf.DUMMYFUNCTION("GOOGLETRANSLATE(A1471,""bn"",""en"")"),"It keeps warm enough even in severe winters")</f>
        <v>It keeps warm enough even in severe winters</v>
      </c>
    </row>
    <row r="1472" spans="1:3" ht="15.75" customHeight="1" x14ac:dyDescent="0.25">
      <c r="A1472" s="2" t="s">
        <v>1474</v>
      </c>
      <c r="B1472" s="3" t="s">
        <v>2</v>
      </c>
      <c r="C1472" s="2" t="str">
        <f ca="1">IFERROR(__xludf.DUMMYFUNCTION("GOOGLETRANSLATE(A1472,""bn"",""en"")"),"The back is flat but nothing special")</f>
        <v>The back is flat but nothing special</v>
      </c>
    </row>
    <row r="1473" spans="1:3" ht="15.75" customHeight="1" x14ac:dyDescent="0.25">
      <c r="A1473" s="2" t="s">
        <v>1475</v>
      </c>
      <c r="B1473" s="3" t="s">
        <v>6</v>
      </c>
      <c r="C1473" s="2" t="str">
        <f ca="1">IFERROR(__xludf.DUMMYFUNCTION("GOOGLETRANSLATE(A1473,""bn"",""en"")"),"The color of the eyebrow pencil is too warm making it look unnatural on cool toned brows")</f>
        <v>The color of the eyebrow pencil is too warm making it look unnatural on cool toned brows</v>
      </c>
    </row>
    <row r="1474" spans="1:3" ht="15.75" customHeight="1" x14ac:dyDescent="0.25">
      <c r="A1474" s="2" t="s">
        <v>1476</v>
      </c>
      <c r="B1474" s="3" t="s">
        <v>6</v>
      </c>
      <c r="C1474" s="2" t="str">
        <f ca="1">IFERROR(__xludf.DUMMYFUNCTION("GOOGLETRANSLATE(A1474,""bn"",""en"")"),"Thin and barely functional")</f>
        <v>Thin and barely functional</v>
      </c>
    </row>
    <row r="1475" spans="1:3" ht="15.75" customHeight="1" x14ac:dyDescent="0.25">
      <c r="A1475" s="2" t="s">
        <v>1477</v>
      </c>
      <c r="B1475" s="3" t="s">
        <v>2</v>
      </c>
      <c r="C1475" s="2" t="str">
        <f ca="1">IFERROR(__xludf.DUMMYFUNCTION("GOOGLETRANSLATE(A1475,""bn"",""en"")"),"The cut of the dress is attractive but the fabric is thin")</f>
        <v>The cut of the dress is attractive but the fabric is thin</v>
      </c>
    </row>
    <row r="1476" spans="1:3" ht="15.75" customHeight="1" x14ac:dyDescent="0.25">
      <c r="A1476" s="2" t="s">
        <v>1478</v>
      </c>
      <c r="B1476" s="3" t="s">
        <v>4</v>
      </c>
      <c r="C1476" s="2" t="str">
        <f ca="1">IFERROR(__xludf.DUMMYFUNCTION("GOOGLETRANSLATE(A1476,""bn"",""en"")"),"Easy to use")</f>
        <v>Easy to use</v>
      </c>
    </row>
    <row r="1477" spans="1:3" ht="15.75" customHeight="1" x14ac:dyDescent="0.25">
      <c r="A1477" s="2" t="s">
        <v>1479</v>
      </c>
      <c r="B1477" s="3" t="s">
        <v>2</v>
      </c>
      <c r="C1477" s="2" t="str">
        <f ca="1">IFERROR(__xludf.DUMMYFUNCTION("GOOGLETRANSLATE(A1477,""bn"",""en"")"),"Suitable for daily use but has some room for improvement")</f>
        <v>Suitable for daily use but has some room for improvement</v>
      </c>
    </row>
    <row r="1478" spans="1:3" ht="15.75" customHeight="1" x14ac:dyDescent="0.25">
      <c r="A1478" s="2" t="s">
        <v>1480</v>
      </c>
      <c r="B1478" s="3" t="s">
        <v>4</v>
      </c>
      <c r="C1478" s="2" t="str">
        <f ca="1">IFERROR(__xludf.DUMMYFUNCTION("GOOGLETRANSLATE(A1478,""bn"",""en"")"),"The reclining function of the lounge chair is extremely smooth")</f>
        <v>The reclining function of the lounge chair is extremely smooth</v>
      </c>
    </row>
    <row r="1479" spans="1:3" ht="15.75" customHeight="1" x14ac:dyDescent="0.25">
      <c r="A1479" s="2" t="s">
        <v>1481</v>
      </c>
      <c r="B1479" s="3" t="s">
        <v>6</v>
      </c>
      <c r="C1479" s="2" t="str">
        <f ca="1">IFERROR(__xludf.DUMMYFUNCTION("GOOGLETRANSLATE(A1479,""bn"",""en"")"),"Portable blender blades get stuck and cannot blend smoothly")</f>
        <v>Portable blender blades get stuck and cannot blend smoothly</v>
      </c>
    </row>
    <row r="1480" spans="1:3" ht="15.75" customHeight="1" x14ac:dyDescent="0.25">
      <c r="A1480" s="2" t="s">
        <v>1482</v>
      </c>
      <c r="B1480" s="3" t="s">
        <v>2</v>
      </c>
      <c r="C1480" s="2" t="str">
        <f ca="1">IFERROR(__xludf.DUMMYFUNCTION("GOOGLETRANSLATE(A1480,""bn"",""en"")"),"The design is nice but the fabric is not good")</f>
        <v>The design is nice but the fabric is not good</v>
      </c>
    </row>
    <row r="1481" spans="1:3" ht="15.75" customHeight="1" x14ac:dyDescent="0.25">
      <c r="A1481" s="2" t="s">
        <v>1483</v>
      </c>
      <c r="B1481" s="3" t="s">
        <v>4</v>
      </c>
      <c r="C1481" s="2" t="str">
        <f ca="1">IFERROR(__xludf.DUMMYFUNCTION("GOOGLETRANSLATE(A1481,""bn"",""en"")"),"The plastic flower never needs to be watered")</f>
        <v>The plastic flower never needs to be watered</v>
      </c>
    </row>
    <row r="1482" spans="1:3" ht="15.75" customHeight="1" x14ac:dyDescent="0.25">
      <c r="A1482" s="2" t="s">
        <v>1484</v>
      </c>
      <c r="B1482" s="3" t="s">
        <v>6</v>
      </c>
      <c r="C1482" s="2" t="str">
        <f ca="1">IFERROR(__xludf.DUMMYFUNCTION("GOOGLETRANSLATE(A1482,""bn"",""en"")"),"Wiping has no effect on the paper")</f>
        <v>Wiping has no effect on the paper</v>
      </c>
    </row>
    <row r="1483" spans="1:3" ht="15.75" customHeight="1" x14ac:dyDescent="0.25">
      <c r="A1483" s="2" t="s">
        <v>1485</v>
      </c>
      <c r="B1483" s="3" t="s">
        <v>2</v>
      </c>
      <c r="C1483" s="2" t="str">
        <f ca="1">IFERROR(__xludf.DUMMYFUNCTION("GOOGLETRANSLATE(A1483,""bn"",""en"")"),"Some changes are noticed after use")</f>
        <v>Some changes are noticed after use</v>
      </c>
    </row>
    <row r="1484" spans="1:3" ht="15.75" customHeight="1" x14ac:dyDescent="0.25">
      <c r="A1484" s="2" t="s">
        <v>1486</v>
      </c>
      <c r="B1484" s="3" t="s">
        <v>6</v>
      </c>
      <c r="C1484" s="2" t="str">
        <f ca="1">IFERROR(__xludf.DUMMYFUNCTION("GOOGLETRANSLATE(A1484,""bn"",""en"")"),"  Zippers are not durable and break after minimal use")</f>
        <v xml:space="preserve">  Zippers are not durable and break after minimal use</v>
      </c>
    </row>
    <row r="1485" spans="1:3" ht="15.75" customHeight="1" x14ac:dyDescent="0.25">
      <c r="A1485" s="2" t="s">
        <v>1487</v>
      </c>
      <c r="B1485" s="3" t="s">
        <v>6</v>
      </c>
      <c r="C1485" s="2" t="str">
        <f ca="1">IFERROR(__xludf.DUMMYFUNCTION("GOOGLETRANSLATE(A1485,""bn"",""en"")"),"The painting kit lacked the necessary colors which limited creativity")</f>
        <v>The painting kit lacked the necessary colors which limited creativity</v>
      </c>
    </row>
    <row r="1486" spans="1:3" ht="15.75" customHeight="1" x14ac:dyDescent="0.25">
      <c r="A1486" s="2" t="s">
        <v>1488</v>
      </c>
      <c r="B1486" s="3" t="s">
        <v>6</v>
      </c>
      <c r="C1486" s="2" t="str">
        <f ca="1">IFERROR(__xludf.DUMMYFUNCTION("GOOGLETRANSLATE(A1486,""bn"",""en"")"),"The exterior surface is easily scratched even with gentle cleaning")</f>
        <v>The exterior surface is easily scratched even with gentle cleaning</v>
      </c>
    </row>
    <row r="1487" spans="1:3" ht="15.75" customHeight="1" x14ac:dyDescent="0.25">
      <c r="A1487" s="2" t="s">
        <v>1489</v>
      </c>
      <c r="B1487" s="3" t="s">
        <v>2</v>
      </c>
      <c r="C1487" s="2" t="str">
        <f ca="1">IFERROR(__xludf.DUMMYFUNCTION("GOOGLETRANSLATE(A1487,""bn"",""en"")"),"The packaging was decent")</f>
        <v>The packaging was decent</v>
      </c>
    </row>
    <row r="1488" spans="1:3" ht="15.75" customHeight="1" x14ac:dyDescent="0.25">
      <c r="A1488" s="2" t="s">
        <v>1490</v>
      </c>
      <c r="B1488" s="3" t="s">
        <v>2</v>
      </c>
      <c r="C1488" s="2" t="str">
        <f ca="1">IFERROR(__xludf.DUMMYFUNCTION("GOOGLETRANSLATE(A1488,""bn"",""en"")"),"Light but seems somewhat redundant")</f>
        <v>Light but seems somewhat redundant</v>
      </c>
    </row>
    <row r="1489" spans="1:3" ht="15.75" customHeight="1" x14ac:dyDescent="0.25">
      <c r="A1489" s="2" t="s">
        <v>1491</v>
      </c>
      <c r="B1489" s="3" t="s">
        <v>4</v>
      </c>
      <c r="C1489" s="2" t="str">
        <f ca="1">IFERROR(__xludf.DUMMYFUNCTION("GOOGLETRANSLATE(A1489,""bn"",""en"")"),"Overall this bed sheet is really awesome and best to use")</f>
        <v>Overall this bed sheet is really awesome and best to use</v>
      </c>
    </row>
    <row r="1490" spans="1:3" ht="15.75" customHeight="1" x14ac:dyDescent="0.25">
      <c r="A1490" s="2" t="s">
        <v>1492</v>
      </c>
      <c r="B1490" s="3" t="s">
        <v>4</v>
      </c>
      <c r="C1490" s="2" t="str">
        <f ca="1">IFERROR(__xludf.DUMMYFUNCTION("GOOGLETRANSLATE(A1490,""bn"",""en"")"),"The child is having fun with his toy car")</f>
        <v>The child is having fun with his toy car</v>
      </c>
    </row>
    <row r="1491" spans="1:3" ht="15.75" customHeight="1" x14ac:dyDescent="0.25">
      <c r="A1491" s="2" t="s">
        <v>1493</v>
      </c>
      <c r="B1491" s="3" t="s">
        <v>6</v>
      </c>
      <c r="C1491" s="2" t="str">
        <f ca="1">IFERROR(__xludf.DUMMYFUNCTION("GOOGLETRANSLATE(A1491,""bn"",""en"")"),"The packaging is not reusable")</f>
        <v>The packaging is not reusable</v>
      </c>
    </row>
    <row r="1492" spans="1:3" ht="15.75" customHeight="1" x14ac:dyDescent="0.25">
      <c r="A1492" s="2" t="s">
        <v>1494</v>
      </c>
      <c r="B1492" s="3" t="s">
        <v>4</v>
      </c>
      <c r="C1492" s="2" t="str">
        <f ca="1">IFERROR(__xludf.DUMMYFUNCTION("GOOGLETRANSLATE(A1492,""bn"",""en"")"),"The design of the vase is eye-catching")</f>
        <v>The design of the vase is eye-catching</v>
      </c>
    </row>
    <row r="1493" spans="1:3" ht="15.75" customHeight="1" x14ac:dyDescent="0.25">
      <c r="A1493" s="2" t="s">
        <v>1495</v>
      </c>
      <c r="B1493" s="3" t="s">
        <v>2</v>
      </c>
      <c r="C1493" s="2" t="str">
        <f ca="1">IFERROR(__xludf.DUMMYFUNCTION("GOOGLETRANSLATE(A1493,""bn"",""en"")"),"It is somewhat effective")</f>
        <v>It is somewhat effective</v>
      </c>
    </row>
    <row r="1494" spans="1:3" ht="15.75" customHeight="1" x14ac:dyDescent="0.25">
      <c r="A1494" s="2" t="s">
        <v>1496</v>
      </c>
      <c r="B1494" s="3" t="s">
        <v>6</v>
      </c>
      <c r="C1494" s="2" t="str">
        <f ca="1">IFERROR(__xludf.DUMMYFUNCTION("GOOGLETRANSLATE(A1494,""bn"",""en"")")," The strap's attachment points are weak and starting to tear away from the main body")</f>
        <v xml:space="preserve"> The strap's attachment points are weak and starting to tear away from the main body</v>
      </c>
    </row>
    <row r="1495" spans="1:3" ht="15.75" customHeight="1" x14ac:dyDescent="0.25">
      <c r="A1495" s="2" t="s">
        <v>1497</v>
      </c>
      <c r="B1495" s="3" t="s">
        <v>4</v>
      </c>
      <c r="C1495" s="2" t="str">
        <f ca="1">IFERROR(__xludf.DUMMYFUNCTION("GOOGLETRANSLATE(A1495,""bn"",""en"")"),"The size of the reservoir is suitable")</f>
        <v>The size of the reservoir is suitable</v>
      </c>
    </row>
    <row r="1496" spans="1:3" ht="15.75" customHeight="1" x14ac:dyDescent="0.25">
      <c r="A1496" s="2" t="s">
        <v>1498</v>
      </c>
      <c r="B1496" s="3" t="s">
        <v>4</v>
      </c>
      <c r="C1496" s="2" t="str">
        <f ca="1">IFERROR(__xludf.DUMMYFUNCTION("GOOGLETRANSLATE(A1496,""bn"",""en"")"),"The new lamp illuminates the room perfectly")</f>
        <v>The new lamp illuminates the room perfectly</v>
      </c>
    </row>
    <row r="1497" spans="1:3" ht="15.75" customHeight="1" x14ac:dyDescent="0.25">
      <c r="A1497" s="2" t="s">
        <v>1499</v>
      </c>
      <c r="B1497" s="3" t="s">
        <v>4</v>
      </c>
      <c r="C1497" s="2" t="str">
        <f ca="1">IFERROR(__xludf.DUMMYFUNCTION("GOOGLETRANSLATE(A1497,""bn"",""en"")"),"Honey keeps the skin moist")</f>
        <v>Honey keeps the skin moist</v>
      </c>
    </row>
    <row r="1498" spans="1:3" ht="15.75" customHeight="1" x14ac:dyDescent="0.25">
      <c r="A1498" s="2" t="s">
        <v>1500</v>
      </c>
      <c r="B1498" s="3" t="s">
        <v>2</v>
      </c>
      <c r="C1498" s="2" t="str">
        <f ca="1">IFERROR(__xludf.DUMMYFUNCTION("GOOGLETRANSLATE(A1498,""bn"",""en"")"),"Cleans easily but stains do not come off easily")</f>
        <v>Cleans easily but stains do not come off easily</v>
      </c>
    </row>
    <row r="1499" spans="1:3" ht="15.75" customHeight="1" x14ac:dyDescent="0.25">
      <c r="A1499" s="2" t="s">
        <v>1501</v>
      </c>
      <c r="B1499" s="3" t="s">
        <v>4</v>
      </c>
      <c r="C1499" s="2" t="str">
        <f ca="1">IFERROR(__xludf.DUMMYFUNCTION("GOOGLETRANSLATE(A1499,""bn"",""en"")"),"Best purchase I made this Christmas")</f>
        <v>Best purchase I made this Christmas</v>
      </c>
    </row>
    <row r="1500" spans="1:3" ht="15.75" customHeight="1" x14ac:dyDescent="0.25">
      <c r="A1500" s="2" t="s">
        <v>1502</v>
      </c>
      <c r="B1500" s="3" t="s">
        <v>2</v>
      </c>
      <c r="C1500" s="2" t="str">
        <f ca="1">IFERROR(__xludf.DUMMYFUNCTION("GOOGLETRANSLATE(A1500,""bn"",""en"")"),"The power bank fan gives air but the noise is high")</f>
        <v>The power bank fan gives air but the noise is high</v>
      </c>
    </row>
    <row r="1501" spans="1:3" ht="15.75" customHeight="1" x14ac:dyDescent="0.25">
      <c r="A1501" s="2" t="s">
        <v>1503</v>
      </c>
      <c r="B1501" s="3" t="s">
        <v>4</v>
      </c>
      <c r="C1501" s="2" t="str">
        <f ca="1">IFERROR(__xludf.DUMMYFUNCTION("GOOGLETRANSLATE(A1501,""bn"",""en"")"),"The bass of the headphones is very deep and clear")</f>
        <v>The bass of the headphones is very deep and clear</v>
      </c>
    </row>
    <row r="1502" spans="1:3" ht="15.75" customHeight="1" x14ac:dyDescent="0.25">
      <c r="A1502" s="2" t="s">
        <v>1504</v>
      </c>
      <c r="B1502" s="3" t="s">
        <v>4</v>
      </c>
      <c r="C1502" s="2" t="str">
        <f ca="1">IFERROR(__xludf.DUMMYFUNCTION("GOOGLETRANSLATE(A1502,""bn"",""en"")"),"The design is so beautiful that it enhances the beauty of my living room")</f>
        <v>The design is so beautiful that it enhances the beauty of my living room</v>
      </c>
    </row>
    <row r="1503" spans="1:3" ht="15.75" customHeight="1" x14ac:dyDescent="0.25">
      <c r="A1503" s="2" t="s">
        <v>1505</v>
      </c>
      <c r="B1503" s="3" t="s">
        <v>4</v>
      </c>
      <c r="C1503" s="2" t="str">
        <f ca="1">IFERROR(__xludf.DUMMYFUNCTION("GOOGLETRANSLATE(A1503,""bn"",""en"")"),"The silent operation of the compressor impressed me and I can now sleep undisturbed")</f>
        <v>The silent operation of the compressor impressed me and I can now sleep undisturbed</v>
      </c>
    </row>
    <row r="1504" spans="1:3" ht="15.75" customHeight="1" x14ac:dyDescent="0.25">
      <c r="A1504" s="2" t="s">
        <v>1506</v>
      </c>
      <c r="B1504" s="3" t="s">
        <v>6</v>
      </c>
      <c r="C1504" s="2" t="str">
        <f ca="1">IFERROR(__xludf.DUMMYFUNCTION("GOOGLETRANSLATE(A1504,""bn"",""en"")"),"The bottled salad dressing had an artificial taste and watery consistency and lacked freshness")</f>
        <v>The bottled salad dressing had an artificial taste and watery consistency and lacked freshness</v>
      </c>
    </row>
    <row r="1505" spans="1:3" ht="15.75" customHeight="1" x14ac:dyDescent="0.25">
      <c r="A1505" s="2" t="s">
        <v>1507</v>
      </c>
      <c r="B1505" s="3" t="s">
        <v>4</v>
      </c>
      <c r="C1505" s="2" t="str">
        <f ca="1">IFERROR(__xludf.DUMMYFUNCTION("GOOGLETRANSLATE(A1505,""bn"",""en"")"),"Every chapter was wonderful")</f>
        <v>Every chapter was wonderful</v>
      </c>
    </row>
    <row r="1506" spans="1:3" ht="15.75" customHeight="1" x14ac:dyDescent="0.25">
      <c r="A1506" s="2" t="s">
        <v>1508</v>
      </c>
      <c r="B1506" s="3" t="s">
        <v>6</v>
      </c>
      <c r="C1506" s="2" t="str">
        <f ca="1">IFERROR(__xludf.DUMMYFUNCTION("GOOGLETRANSLATE(A1506,""bn"",""en"")"),"Product materials emit unpleasant odor")</f>
        <v>Product materials emit unpleasant odor</v>
      </c>
    </row>
    <row r="1507" spans="1:3" ht="15.75" customHeight="1" x14ac:dyDescent="0.25">
      <c r="A1507" s="2" t="s">
        <v>1509</v>
      </c>
      <c r="B1507" s="3" t="s">
        <v>4</v>
      </c>
      <c r="C1507" s="2" t="str">
        <f ca="1">IFERROR(__xludf.DUMMYFUNCTION("GOOGLETRANSLATE(A1507,""bn"",""en"")"),"Even if the plastic flower is placed in the sun, the color does not fade")</f>
        <v>Even if the plastic flower is placed in the sun, the color does not fade</v>
      </c>
    </row>
    <row r="1508" spans="1:3" ht="15.75" customHeight="1" x14ac:dyDescent="0.25">
      <c r="A1508" s="2" t="s">
        <v>1510</v>
      </c>
      <c r="B1508" s="3" t="s">
        <v>6</v>
      </c>
      <c r="C1508" s="2" t="str">
        <f ca="1">IFERROR(__xludf.DUMMYFUNCTION("GOOGLETRANSLATE(A1508,""bn"",""en"")")," Cable insulation cracks easily causing damage to internal cables")</f>
        <v xml:space="preserve"> Cable insulation cracks easily causing damage to internal cables</v>
      </c>
    </row>
    <row r="1509" spans="1:3" ht="15.75" customHeight="1" x14ac:dyDescent="0.25">
      <c r="A1509" s="2" t="s">
        <v>1511</v>
      </c>
      <c r="B1509" s="3" t="s">
        <v>4</v>
      </c>
      <c r="C1509" s="2" t="str">
        <f ca="1">IFERROR(__xludf.DUMMYFUNCTION("GOOGLETRANSLATE(A1509,""bn"",""en"")"),"It is very fun to eat")</f>
        <v>It is very fun to eat</v>
      </c>
    </row>
    <row r="1510" spans="1:3" ht="15.75" customHeight="1" x14ac:dyDescent="0.25">
      <c r="A1510" s="2" t="s">
        <v>1512</v>
      </c>
      <c r="B1510" s="3" t="s">
        <v>4</v>
      </c>
      <c r="C1510" s="2" t="str">
        <f ca="1">IFERROR(__xludf.DUMMYFUNCTION("GOOGLETRANSLATE(A1510,""bn"",""en"")"),"Made of high quality fabric")</f>
        <v>Made of high quality fabric</v>
      </c>
    </row>
    <row r="1511" spans="1:3" ht="15.75" customHeight="1" x14ac:dyDescent="0.25">
      <c r="A1511" s="2" t="s">
        <v>1513</v>
      </c>
      <c r="B1511" s="3" t="s">
        <v>2</v>
      </c>
      <c r="C1511" s="2" t="str">
        <f ca="1">IFERROR(__xludf.DUMMYFUNCTION("GOOGLETRANSLATE(A1511,""bn"",""en"")"),"Pretty much right for playdates")</f>
        <v>Pretty much right for playdates</v>
      </c>
    </row>
    <row r="1512" spans="1:3" ht="15.75" customHeight="1" x14ac:dyDescent="0.25">
      <c r="A1512" s="2" t="s">
        <v>1514</v>
      </c>
      <c r="B1512" s="3" t="s">
        <v>6</v>
      </c>
      <c r="C1512" s="2" t="str">
        <f ca="1">IFERROR(__xludf.DUMMYFUNCTION("GOOGLETRANSLATE(A1512,""bn"",""en"")")," Noise isolation allows ineffective external noise to interfere with audio playback and reduces immersion")</f>
        <v xml:space="preserve"> Noise isolation allows ineffective external noise to interfere with audio playback and reduces immersion</v>
      </c>
    </row>
    <row r="1513" spans="1:3" ht="15.75" customHeight="1" x14ac:dyDescent="0.25">
      <c r="A1513" s="2" t="s">
        <v>1515</v>
      </c>
      <c r="B1513" s="3" t="s">
        <v>6</v>
      </c>
      <c r="C1513" s="2" t="str">
        <f ca="1">IFERROR(__xludf.DUMMYFUNCTION("GOOGLETRANSLATE(A1513,""bn"",""en"")"),"Subpar durability is already showing holes")</f>
        <v>Subpar durability is already showing holes</v>
      </c>
    </row>
    <row r="1514" spans="1:3" ht="15.75" customHeight="1" x14ac:dyDescent="0.25">
      <c r="A1514" s="2" t="s">
        <v>1516</v>
      </c>
      <c r="B1514" s="3" t="s">
        <v>6</v>
      </c>
      <c r="C1514" s="2" t="str">
        <f ca="1">IFERROR(__xludf.DUMMYFUNCTION("GOOGLETRANSLATE(A1514,""bn"",""en"")"),"The blender's motor struggles to blend poorly frozen ingredients")</f>
        <v>The blender's motor struggles to blend poorly frozen ingredients</v>
      </c>
    </row>
    <row r="1515" spans="1:3" ht="15.75" customHeight="1" x14ac:dyDescent="0.25">
      <c r="A1515" s="2" t="s">
        <v>1517</v>
      </c>
      <c r="B1515" s="3" t="s">
        <v>2</v>
      </c>
      <c r="C1515" s="2" t="str">
        <f ca="1">IFERROR(__xludf.DUMMYFUNCTION("GOOGLETRANSLATE(A1515,""bn"",""en"")"),"The smoothness of the table tennis board is good but the edges break")</f>
        <v>The smoothness of the table tennis board is good but the edges break</v>
      </c>
    </row>
    <row r="1516" spans="1:3" ht="15.75" customHeight="1" x14ac:dyDescent="0.25">
      <c r="A1516" s="2" t="s">
        <v>1518</v>
      </c>
      <c r="B1516" s="3" t="s">
        <v>4</v>
      </c>
      <c r="C1516" s="2" t="str">
        <f ca="1">IFERROR(__xludf.DUMMYFUNCTION("GOOGLETRANSLATE(A1516,""bn"",""en"")"),"The flower matched the other decor in my room beautifully")</f>
        <v>The flower matched the other decor in my room beautifully</v>
      </c>
    </row>
    <row r="1517" spans="1:3" ht="15.75" customHeight="1" x14ac:dyDescent="0.25">
      <c r="A1517" s="2" t="s">
        <v>1519</v>
      </c>
      <c r="B1517" s="3" t="s">
        <v>6</v>
      </c>
      <c r="C1517" s="2" t="str">
        <f ca="1">IFERROR(__xludf.DUMMYFUNCTION("GOOGLETRANSLATE(A1517,""bn"",""en"")"),"Shallow depth limits storage capacity")</f>
        <v>Shallow depth limits storage capacity</v>
      </c>
    </row>
    <row r="1518" spans="1:3" ht="15.75" customHeight="1" x14ac:dyDescent="0.25">
      <c r="A1518" s="2" t="s">
        <v>1520</v>
      </c>
      <c r="B1518" s="3" t="s">
        <v>6</v>
      </c>
      <c r="C1518" s="2" t="str">
        <f ca="1">IFERROR(__xludf.DUMMYFUNCTION("GOOGLETRANSLATE(A1518,""bn"",""en"")")," The iron that comes with it will not come out")</f>
        <v xml:space="preserve"> The iron that comes with it will not come out</v>
      </c>
    </row>
    <row r="1519" spans="1:3" ht="15.75" customHeight="1" x14ac:dyDescent="0.25">
      <c r="A1519" s="2" t="s">
        <v>1521</v>
      </c>
      <c r="B1519" s="3" t="s">
        <v>6</v>
      </c>
      <c r="C1519" s="2" t="str">
        <f ca="1">IFERROR(__xludf.DUMMYFUNCTION("GOOGLETRANSLATE(A1519,""bn"",""en"")")," Smart features were redundant, providing little functionality beyond the basic streaming app")</f>
        <v xml:space="preserve"> Smart features were redundant, providing little functionality beyond the basic streaming app</v>
      </c>
    </row>
    <row r="1520" spans="1:3" ht="15.75" customHeight="1" x14ac:dyDescent="0.25">
      <c r="A1520" s="2" t="s">
        <v>1522</v>
      </c>
      <c r="B1520" s="3" t="s">
        <v>4</v>
      </c>
      <c r="C1520" s="2" t="str">
        <f ca="1">IFERROR(__xludf.DUMMYFUNCTION("GOOGLETRANSLATE(A1520,""bn"",""en"")"),"I did a photo shoot wearing the pendants and the pictures came out great")</f>
        <v>I did a photo shoot wearing the pendants and the pictures came out great</v>
      </c>
    </row>
    <row r="1521" spans="1:3" ht="15.75" customHeight="1" x14ac:dyDescent="0.25">
      <c r="A1521" s="2" t="s">
        <v>1523</v>
      </c>
      <c r="B1521" s="3" t="s">
        <v>6</v>
      </c>
      <c r="C1521" s="2" t="str">
        <f ca="1">IFERROR(__xludf.DUMMYFUNCTION("GOOGLETRANSLATE(A1521,""bn"",""en"")"),"Filter replacement is difficult, adding to maintenance costs")</f>
        <v>Filter replacement is difficult, adding to maintenance costs</v>
      </c>
    </row>
    <row r="1522" spans="1:3" ht="15.75" customHeight="1" x14ac:dyDescent="0.25">
      <c r="A1522" s="2" t="s">
        <v>1524</v>
      </c>
      <c r="B1522" s="3" t="s">
        <v>4</v>
      </c>
      <c r="C1522" s="2" t="str">
        <f ca="1">IFERROR(__xludf.DUMMYFUNCTION("GOOGLETRANSLATE(A1522,""bn"",""en"")"),"The additional hardware provided with the bookcase is very useful")</f>
        <v>The additional hardware provided with the bookcase is very useful</v>
      </c>
    </row>
    <row r="1523" spans="1:3" ht="15.75" customHeight="1" x14ac:dyDescent="0.25">
      <c r="A1523" s="2" t="s">
        <v>1525</v>
      </c>
      <c r="B1523" s="3" t="s">
        <v>2</v>
      </c>
      <c r="C1523" s="2" t="str">
        <f ca="1">IFERROR(__xludf.DUMMYFUNCTION("GOOGLETRANSLATE(A1523,""bn"",""en"")"),"Brand reputation is good but middle class cannot buy it")</f>
        <v>Brand reputation is good but middle class cannot buy it</v>
      </c>
    </row>
    <row r="1524" spans="1:3" ht="15.75" customHeight="1" x14ac:dyDescent="0.25">
      <c r="A1524" s="2" t="s">
        <v>1526</v>
      </c>
      <c r="B1524" s="3" t="s">
        <v>4</v>
      </c>
      <c r="C1524" s="2" t="str">
        <f ca="1">IFERROR(__xludf.DUMMYFUNCTION("GOOGLETRANSLATE(A1524,""bn"",""en"")"),"Makeup brushes are suitable for various occasions")</f>
        <v>Makeup brushes are suitable for various occasions</v>
      </c>
    </row>
    <row r="1525" spans="1:3" ht="15.75" customHeight="1" x14ac:dyDescent="0.25">
      <c r="A1525" s="2" t="s">
        <v>1527</v>
      </c>
      <c r="B1525" s="3" t="s">
        <v>6</v>
      </c>
      <c r="C1525" s="2" t="str">
        <f ca="1">IFERROR(__xludf.DUMMYFUNCTION("GOOGLETRANSLATE(A1525,""bn"",""en"")"),"Loose threads and unnecessary hemming ensure that the dress lacks charm")</f>
        <v>Loose threads and unnecessary hemming ensure that the dress lacks charm</v>
      </c>
    </row>
    <row r="1526" spans="1:3" ht="15.75" customHeight="1" x14ac:dyDescent="0.25">
      <c r="A1526" s="2" t="s">
        <v>1528</v>
      </c>
      <c r="B1526" s="3" t="s">
        <v>6</v>
      </c>
      <c r="C1526" s="2" t="str">
        <f ca="1">IFERROR(__xludf.DUMMYFUNCTION("GOOGLETRANSLATE(A1526,""bn"",""en"")"),"Clothing design lacks versatility with limited options for organizing different types of clothing and accessories")</f>
        <v>Clothing design lacks versatility with limited options for organizing different types of clothing and accessories</v>
      </c>
    </row>
    <row r="1527" spans="1:3" ht="15.75" customHeight="1" x14ac:dyDescent="0.25">
      <c r="A1527" s="2" t="s">
        <v>1529</v>
      </c>
      <c r="B1527" s="3" t="s">
        <v>6</v>
      </c>
      <c r="C1527" s="2" t="str">
        <f ca="1">IFERROR(__xludf.DUMMYFUNCTION("GOOGLETRANSLATE(A1527,""bn"",""en"")"),"The bath salts didn't dissolve properly leaving a dirty residue in the tub")</f>
        <v>The bath salts didn't dissolve properly leaving a dirty residue in the tub</v>
      </c>
    </row>
    <row r="1528" spans="1:3" ht="15.75" customHeight="1" x14ac:dyDescent="0.25">
      <c r="A1528" s="2" t="s">
        <v>1530</v>
      </c>
      <c r="B1528" s="3" t="s">
        <v>4</v>
      </c>
      <c r="C1528" s="2" t="str">
        <f ca="1">IFERROR(__xludf.DUMMYFUNCTION("GOOGLETRANSLATE(A1528,""bn"",""en"")"),"Correct is much better ")</f>
        <v xml:space="preserve">Correct is much better </v>
      </c>
    </row>
    <row r="1529" spans="1:3" ht="15.75" customHeight="1" x14ac:dyDescent="0.25">
      <c r="A1529" s="2" t="s">
        <v>1531</v>
      </c>
      <c r="B1529" s="3" t="s">
        <v>4</v>
      </c>
      <c r="C1529" s="2" t="str">
        <f ca="1">IFERROR(__xludf.DUMMYFUNCTION("GOOGLETRANSLATE(A1529,""bn"",""en"")"),"This body wash removes dirt from the skin")</f>
        <v>This body wash removes dirt from the skin</v>
      </c>
    </row>
    <row r="1530" spans="1:3" ht="15.75" customHeight="1" x14ac:dyDescent="0.25">
      <c r="A1530" s="2" t="s">
        <v>1532</v>
      </c>
      <c r="B1530" s="3" t="s">
        <v>2</v>
      </c>
      <c r="C1530" s="2" t="str">
        <f ca="1">IFERROR(__xludf.DUMMYFUNCTION("GOOGLETRANSLATE(A1530,""bn"",""en"")"),"The price is ok but the sturdiness is not")</f>
        <v>The price is ok but the sturdiness is not</v>
      </c>
    </row>
    <row r="1531" spans="1:3" ht="15.75" customHeight="1" x14ac:dyDescent="0.25">
      <c r="A1531" s="2" t="s">
        <v>1533</v>
      </c>
      <c r="B1531" s="3" t="s">
        <v>4</v>
      </c>
      <c r="C1531" s="2" t="str">
        <f ca="1">IFERROR(__xludf.DUMMYFUNCTION("GOOGLETRANSLATE(A1531,""bn"",""en"")"),"The TV remote is very easy to use")</f>
        <v>The TV remote is very easy to use</v>
      </c>
    </row>
    <row r="1532" spans="1:3" ht="15.75" customHeight="1" x14ac:dyDescent="0.25">
      <c r="A1532" s="2" t="s">
        <v>1534</v>
      </c>
      <c r="B1532" s="3" t="s">
        <v>2</v>
      </c>
      <c r="C1532" s="2" t="str">
        <f ca="1">IFERROR(__xludf.DUMMYFUNCTION("GOOGLETRANSLATE(A1532,""bn"",""en"")"),"Stir carefully after heating")</f>
        <v>Stir carefully after heating</v>
      </c>
    </row>
    <row r="1533" spans="1:3" ht="15.75" customHeight="1" x14ac:dyDescent="0.25">
      <c r="A1533" s="2" t="s">
        <v>1535</v>
      </c>
      <c r="B1533" s="3" t="s">
        <v>4</v>
      </c>
      <c r="C1533" s="2" t="str">
        <f ca="1">IFERROR(__xludf.DUMMYFUNCTION("GOOGLETRANSLATE(A1533,""bn"",""en"")"),"Product quality is quite good for the price")</f>
        <v>Product quality is quite good for the price</v>
      </c>
    </row>
    <row r="1534" spans="1:3" ht="15.75" customHeight="1" x14ac:dyDescent="0.25">
      <c r="A1534" s="2" t="s">
        <v>1536</v>
      </c>
      <c r="B1534" s="3" t="s">
        <v>2</v>
      </c>
      <c r="C1534" s="2" t="str">
        <f ca="1">IFERROR(__xludf.DUMMYFUNCTION("GOOGLETRANSLATE(A1534,""bn"",""en"")"),"The child eats breakfast every morning")</f>
        <v>The child eats breakfast every morning</v>
      </c>
    </row>
    <row r="1535" spans="1:3" ht="15.75" customHeight="1" x14ac:dyDescent="0.25">
      <c r="A1535" s="2" t="s">
        <v>1537</v>
      </c>
      <c r="B1535" s="3" t="s">
        <v>2</v>
      </c>
      <c r="C1535" s="2" t="str">
        <f ca="1">IFERROR(__xludf.DUMMYFUNCTION("GOOGLETRANSLATE(A1535,""bn"",""en"")"),"Improves the mood of the room but not dramatically")</f>
        <v>Improves the mood of the room but not dramatically</v>
      </c>
    </row>
    <row r="1536" spans="1:3" ht="15.75" customHeight="1" x14ac:dyDescent="0.25">
      <c r="A1536" s="2" t="s">
        <v>1538</v>
      </c>
      <c r="B1536" s="3" t="s">
        <v>2</v>
      </c>
      <c r="C1536" s="2" t="str">
        <f ca="1">IFERROR(__xludf.DUMMYFUNCTION("GOOGLETRANSLATE(A1536,""bn"",""en"")"),"The drink is good but the price is a bit high")</f>
        <v>The drink is good but the price is a bit high</v>
      </c>
    </row>
    <row r="1537" spans="1:3" ht="15.75" customHeight="1" x14ac:dyDescent="0.25">
      <c r="A1537" s="2" t="s">
        <v>1539</v>
      </c>
      <c r="B1537" s="3" t="s">
        <v>2</v>
      </c>
      <c r="C1537" s="2" t="str">
        <f ca="1">IFERROR(__xludf.DUMMYFUNCTION("GOOGLETRANSLATE(A1537,""bn"",""en"")"),"The brush is not designed for travel")</f>
        <v>The brush is not designed for travel</v>
      </c>
    </row>
    <row r="1538" spans="1:3" ht="15.75" customHeight="1" x14ac:dyDescent="0.25">
      <c r="A1538" s="2" t="s">
        <v>1540</v>
      </c>
      <c r="B1538" s="3" t="s">
        <v>6</v>
      </c>
      <c r="C1538" s="2" t="str">
        <f ca="1">IFERROR(__xludf.DUMMYFUNCTION("GOOGLETRANSLATE(A1538,""bn"",""en"")"),"Items were difficult to clean or maintain")</f>
        <v>Items were difficult to clean or maintain</v>
      </c>
    </row>
    <row r="1539" spans="1:3" ht="15.75" customHeight="1" x14ac:dyDescent="0.25">
      <c r="A1539" s="2" t="s">
        <v>1541</v>
      </c>
      <c r="B1539" s="3" t="s">
        <v>6</v>
      </c>
      <c r="C1539" s="2" t="str">
        <f ca="1">IFERROR(__xludf.DUMMYFUNCTION("GOOGLETRANSLATE(A1539,""bn"",""en"")"),"Sizing issues remain even after ordering by measurements")</f>
        <v>Sizing issues remain even after ordering by measurements</v>
      </c>
    </row>
    <row r="1540" spans="1:3" ht="15.75" customHeight="1" x14ac:dyDescent="0.25">
      <c r="A1540" s="2" t="s">
        <v>1542</v>
      </c>
      <c r="B1540" s="3" t="s">
        <v>2</v>
      </c>
      <c r="C1540" s="2" t="str">
        <f ca="1">IFERROR(__xludf.DUMMYFUNCTION("GOOGLETRANSLATE(A1540,""bn"",""en"")"),"The charging cable is a bit short")</f>
        <v>The charging cable is a bit short</v>
      </c>
    </row>
    <row r="1541" spans="1:3" ht="15.75" customHeight="1" x14ac:dyDescent="0.25">
      <c r="A1541" s="2" t="s">
        <v>1543</v>
      </c>
      <c r="B1541" s="3" t="s">
        <v>4</v>
      </c>
      <c r="C1541" s="2" t="str">
        <f ca="1">IFERROR(__xludf.DUMMYFUNCTION("GOOGLETRANSLATE(A1541,""bn"",""en"")"),"It does not harm the skin")</f>
        <v>It does not harm the skin</v>
      </c>
    </row>
    <row r="1542" spans="1:3" ht="15.75" customHeight="1" x14ac:dyDescent="0.25">
      <c r="A1542" s="2" t="s">
        <v>1544</v>
      </c>
      <c r="B1542" s="3" t="s">
        <v>2</v>
      </c>
      <c r="C1542" s="2" t="str">
        <f ca="1">IFERROR(__xludf.DUMMYFUNCTION("GOOGLETRANSLATE(A1542,""bn"",""en"")"),"The mouth of the bottle will widen")</f>
        <v>The mouth of the bottle will widen</v>
      </c>
    </row>
    <row r="1543" spans="1:3" ht="15.75" customHeight="1" x14ac:dyDescent="0.25">
      <c r="A1543" s="2" t="s">
        <v>1545</v>
      </c>
      <c r="B1543" s="3" t="s">
        <v>2</v>
      </c>
      <c r="C1543" s="2" t="str">
        <f ca="1">IFERROR(__xludf.DUMMYFUNCTION("GOOGLETRANSLATE(A1543,""bn"",""en"")"),"Some problems may occur after use")</f>
        <v>Some problems may occur after use</v>
      </c>
    </row>
    <row r="1544" spans="1:3" ht="15.75" customHeight="1" x14ac:dyDescent="0.25">
      <c r="A1544" s="2" t="s">
        <v>1546</v>
      </c>
      <c r="B1544" s="3" t="s">
        <v>2</v>
      </c>
      <c r="C1544" s="2" t="str">
        <f ca="1">IFERROR(__xludf.DUMMYFUNCTION("GOOGLETRANSLATE(A1544,""bn"",""en"")"),"Excessive pressure can cause damage")</f>
        <v>Excessive pressure can cause damage</v>
      </c>
    </row>
    <row r="1545" spans="1:3" ht="15.75" customHeight="1" x14ac:dyDescent="0.25">
      <c r="A1545" s="2" t="s">
        <v>1547</v>
      </c>
      <c r="B1545" s="3" t="s">
        <v>2</v>
      </c>
      <c r="C1545" s="2" t="str">
        <f ca="1">IFERROR(__xludf.DUMMYFUNCTION("GOOGLETRANSLATE(A1545,""bn"",""en"")"),"The quality of carbon paper is not up to everyone's expectations but it is necessary to use it")</f>
        <v>The quality of carbon paper is not up to everyone's expectations but it is necessary to use it</v>
      </c>
    </row>
    <row r="1546" spans="1:3" ht="15.75" customHeight="1" x14ac:dyDescent="0.25">
      <c r="A1546" s="2" t="s">
        <v>1548</v>
      </c>
      <c r="B1546" s="3" t="s">
        <v>6</v>
      </c>
      <c r="C1546" s="2" t="str">
        <f ca="1">IFERROR(__xludf.DUMMYFUNCTION("GOOGLETRANSLATE(A1546,""bn"",""en"")"),"Despite the stylish looks, substance is lacking")</f>
        <v>Despite the stylish looks, substance is lacking</v>
      </c>
    </row>
    <row r="1547" spans="1:3" ht="15.75" customHeight="1" x14ac:dyDescent="0.25">
      <c r="A1547" s="2" t="s">
        <v>1549</v>
      </c>
      <c r="B1547" s="3" t="s">
        <v>6</v>
      </c>
      <c r="C1547" s="2" t="str">
        <f ca="1">IFERROR(__xludf.DUMMYFUNCTION("GOOGLETRANSLATE(A1547,""bn"",""en"")"),"Don't bother buying these pens they are cheaply made and fall apart easily")</f>
        <v>Don't bother buying these pens they are cheaply made and fall apart easily</v>
      </c>
    </row>
    <row r="1548" spans="1:3" ht="15.75" customHeight="1" x14ac:dyDescent="0.25">
      <c r="A1548" s="2" t="s">
        <v>1550</v>
      </c>
      <c r="B1548" s="3" t="s">
        <v>6</v>
      </c>
      <c r="C1548" s="2" t="str">
        <f ca="1">IFERROR(__xludf.DUMMYFUNCTION("GOOGLETRANSLATE(A1548,""bn"",""en"")"),"The paint colors had a chalky texture that was difficult to blend")</f>
        <v>The paint colors had a chalky texture that was difficult to blend</v>
      </c>
    </row>
    <row r="1549" spans="1:3" ht="15.75" customHeight="1" x14ac:dyDescent="0.25">
      <c r="A1549" s="2" t="s">
        <v>1551</v>
      </c>
      <c r="B1549" s="3" t="s">
        <v>6</v>
      </c>
      <c r="C1549" s="2" t="str">
        <f ca="1">IFERROR(__xludf.DUMMYFUNCTION("GOOGLETRANSLATE(A1549,""bn"",""en"")")," Ear tips that are too large or too small cause them to fall out frequently and disrupt the listening experience")</f>
        <v xml:space="preserve"> Ear tips that are too large or too small cause them to fall out frequently and disrupt the listening experience</v>
      </c>
    </row>
    <row r="1550" spans="1:3" ht="15.75" customHeight="1" x14ac:dyDescent="0.25">
      <c r="A1550" s="2" t="s">
        <v>1552</v>
      </c>
      <c r="B1550" s="3" t="s">
        <v>6</v>
      </c>
      <c r="C1550" s="2" t="str">
        <f ca="1">IFERROR(__xludf.DUMMYFUNCTION("GOOGLETRANSLATE(A1550,""bn"",""en"")"),"The bath pillow loses its suction and falls into the water")</f>
        <v>The bath pillow loses its suction and falls into the water</v>
      </c>
    </row>
    <row r="1551" spans="1:3" ht="15.75" customHeight="1" x14ac:dyDescent="0.25">
      <c r="A1551" s="2" t="s">
        <v>1553</v>
      </c>
      <c r="B1551" s="3" t="s">
        <v>4</v>
      </c>
      <c r="C1551" s="2" t="str">
        <f ca="1">IFERROR(__xludf.DUMMYFUNCTION("GOOGLETRANSLATE(A1551,""bn"",""en"")"),"This shampoo is very effective in reducing the problem of hair fall")</f>
        <v>This shampoo is very effective in reducing the problem of hair fall</v>
      </c>
    </row>
    <row r="1552" spans="1:3" ht="15.75" customHeight="1" x14ac:dyDescent="0.25">
      <c r="A1552" s="2" t="s">
        <v>1554</v>
      </c>
      <c r="B1552" s="3" t="s">
        <v>2</v>
      </c>
      <c r="C1552" s="2" t="str">
        <f ca="1">IFERROR(__xludf.DUMMYFUNCTION("GOOGLETRANSLATE(A1552,""bn"",""en"")"),"The smell seemed a bit unpleasant")</f>
        <v>The smell seemed a bit unpleasant</v>
      </c>
    </row>
    <row r="1553" spans="1:3" ht="15.75" customHeight="1" x14ac:dyDescent="0.25">
      <c r="A1553" s="2" t="s">
        <v>1555</v>
      </c>
      <c r="B1553" s="3" t="s">
        <v>6</v>
      </c>
      <c r="C1553" s="2" t="str">
        <f ca="1">IFERROR(__xludf.DUMMYFUNCTION("GOOGLETRANSLATE(A1553,""bn"",""en"")"),"On arrival it emits a strong chemical smell which does not go away even after washing which makes it unwearable")</f>
        <v>On arrival it emits a strong chemical smell which does not go away even after washing which makes it unwearable</v>
      </c>
    </row>
    <row r="1554" spans="1:3" ht="15.75" customHeight="1" x14ac:dyDescent="0.25">
      <c r="A1554" s="2" t="s">
        <v>1556</v>
      </c>
      <c r="B1554" s="3" t="s">
        <v>4</v>
      </c>
      <c r="C1554" s="2" t="str">
        <f ca="1">IFERROR(__xludf.DUMMYFUNCTION("GOOGLETRANSLATE(A1554,""bn"",""en"")"),"The design and color combination of the chador is very modern and stylish")</f>
        <v>The design and color combination of the chador is very modern and stylish</v>
      </c>
    </row>
    <row r="1555" spans="1:3" ht="15.75" customHeight="1" x14ac:dyDescent="0.25">
      <c r="A1555" s="2" t="s">
        <v>1557</v>
      </c>
      <c r="B1555" s="3" t="s">
        <v>4</v>
      </c>
      <c r="C1555" s="2" t="str">
        <f ca="1">IFERROR(__xludf.DUMMYFUNCTION("GOOGLETRANSLATE(A1555,""bn"",""en"")"),"Our team loves working together")</f>
        <v>Our team loves working together</v>
      </c>
    </row>
    <row r="1556" spans="1:3" ht="15.75" customHeight="1" x14ac:dyDescent="0.25">
      <c r="A1556" s="2" t="s">
        <v>1558</v>
      </c>
      <c r="B1556" s="3" t="s">
        <v>4</v>
      </c>
      <c r="C1556" s="2" t="str">
        <f ca="1">IFERROR(__xludf.DUMMYFUNCTION("GOOGLETRANSLATE(A1556,""bn"",""en"")"),"Way swing mode circulates air evenly throughout the room so no corner gets hot now")</f>
        <v>Way swing mode circulates air evenly throughout the room so no corner gets hot now</v>
      </c>
    </row>
    <row r="1557" spans="1:3" ht="15.75" customHeight="1" x14ac:dyDescent="0.25">
      <c r="A1557" s="2" t="s">
        <v>1559</v>
      </c>
      <c r="B1557" s="3" t="s">
        <v>2</v>
      </c>
      <c r="C1557" s="2" t="str">
        <f ca="1">IFERROR(__xludf.DUMMYFUNCTION("GOOGLETRANSLATE(A1557,""bn"",""en"")"),"The product was good but there were some issues with the delivery")</f>
        <v>The product was good but there were some issues with the delivery</v>
      </c>
    </row>
    <row r="1558" spans="1:3" ht="15.75" customHeight="1" x14ac:dyDescent="0.25">
      <c r="A1558" s="2" t="s">
        <v>1560</v>
      </c>
      <c r="B1558" s="3" t="s">
        <v>4</v>
      </c>
      <c r="C1558" s="2" t="str">
        <f ca="1">IFERROR(__xludf.DUMMYFUNCTION("GOOGLETRANSLATE(A1558,""bn"",""en"")"),"It takes the right amount of makeup")</f>
        <v>It takes the right amount of makeup</v>
      </c>
    </row>
    <row r="1559" spans="1:3" ht="15.75" customHeight="1" x14ac:dyDescent="0.25">
      <c r="A1559" s="2" t="s">
        <v>1561</v>
      </c>
      <c r="B1559" s="3" t="s">
        <v>2</v>
      </c>
      <c r="C1559" s="2" t="str">
        <f ca="1">IFERROR(__xludf.DUMMYFUNCTION("GOOGLETRANSLATE(A1559,""bn"",""en"")"),"Can be used in kitchen but not heat tolerant")</f>
        <v>Can be used in kitchen but not heat tolerant</v>
      </c>
    </row>
    <row r="1560" spans="1:3" ht="15.75" customHeight="1" x14ac:dyDescent="0.25">
      <c r="A1560" s="2" t="s">
        <v>1562</v>
      </c>
      <c r="B1560" s="3" t="s">
        <v>4</v>
      </c>
      <c r="C1560" s="2" t="str">
        <f ca="1">IFERROR(__xludf.DUMMYFUNCTION("GOOGLETRANSLATE(A1560,""bn"",""en"")"),"The plastic flower sparkles in the sunlight")</f>
        <v>The plastic flower sparkles in the sunlight</v>
      </c>
    </row>
    <row r="1561" spans="1:3" ht="15.75" customHeight="1" x14ac:dyDescent="0.25">
      <c r="A1561" s="2" t="s">
        <v>1563</v>
      </c>
      <c r="B1561" s="3" t="s">
        <v>6</v>
      </c>
      <c r="C1561" s="2" t="str">
        <f ca="1">IFERROR(__xludf.DUMMYFUNCTION("GOOGLETRANSLATE(A1561,""bn"",""en"")"),"The fabric feels flimsy and prone to tearing with minimal use")</f>
        <v>The fabric feels flimsy and prone to tearing with minimal use</v>
      </c>
    </row>
    <row r="1562" spans="1:3" ht="15.75" customHeight="1" x14ac:dyDescent="0.25">
      <c r="A1562" s="2" t="s">
        <v>1564</v>
      </c>
      <c r="B1562" s="3" t="s">
        <v>2</v>
      </c>
      <c r="C1562" s="2" t="str">
        <f ca="1">IFERROR(__xludf.DUMMYFUNCTION("GOOGLETRANSLATE(A1562,""bn"",""en"")"),"It has a nice shape of quality and offers some spaciousness")</f>
        <v>It has a nice shape of quality and offers some spaciousness</v>
      </c>
    </row>
    <row r="1563" spans="1:3" ht="15.75" customHeight="1" x14ac:dyDescent="0.25">
      <c r="A1563" s="2" t="s">
        <v>1565</v>
      </c>
      <c r="B1563" s="3" t="s">
        <v>2</v>
      </c>
      <c r="C1563" s="2" t="str">
        <f ca="1">IFERROR(__xludf.DUMMYFUNCTION("GOOGLETRANSLATE(A1563,""bn"",""en"")"),"The style of the glasses is nice but not scratch resistant")</f>
        <v>The style of the glasses is nice but not scratch resistant</v>
      </c>
    </row>
    <row r="1564" spans="1:3" ht="15.75" customHeight="1" x14ac:dyDescent="0.25">
      <c r="A1564" s="2" t="s">
        <v>1566</v>
      </c>
      <c r="B1564" s="3" t="s">
        <v>2</v>
      </c>
      <c r="C1564" s="2" t="str">
        <f ca="1">IFERROR(__xludf.DUMMYFUNCTION("GOOGLETRANSLATE(A1564,""bn"",""en"")"),"Fabric is good but color is not bright")</f>
        <v>Fabric is good but color is not bright</v>
      </c>
    </row>
    <row r="1565" spans="1:3" ht="15.75" customHeight="1" x14ac:dyDescent="0.25">
      <c r="A1565" s="2" t="s">
        <v>1567</v>
      </c>
      <c r="B1565" s="3" t="s">
        <v>4</v>
      </c>
      <c r="C1565" s="2" t="str">
        <f ca="1">IFERROR(__xludf.DUMMYFUNCTION("GOOGLETRANSLATE(A1565,""bn"",""en"")"),"Every time I drink this tea I experience a new taste")</f>
        <v>Every time I drink this tea I experience a new taste</v>
      </c>
    </row>
    <row r="1566" spans="1:3" ht="15.75" customHeight="1" x14ac:dyDescent="0.25">
      <c r="A1566" s="2" t="s">
        <v>1568</v>
      </c>
      <c r="B1566" s="3" t="s">
        <v>6</v>
      </c>
      <c r="C1566" s="2" t="str">
        <f ca="1">IFERROR(__xludf.DUMMYFUNCTION("GOOGLETRANSLATE(A1566,""bn"",""en"")"),"The boxed brownie mix had a chemical taste and didn't bake evenly")</f>
        <v>The boxed brownie mix had a chemical taste and didn't bake evenly</v>
      </c>
    </row>
    <row r="1567" spans="1:3" ht="15.75" customHeight="1" x14ac:dyDescent="0.25">
      <c r="A1567" s="2" t="s">
        <v>1569</v>
      </c>
      <c r="B1567" s="3" t="s">
        <v>2</v>
      </c>
      <c r="C1567" s="2" t="str">
        <f ca="1">IFERROR(__xludf.DUMMYFUNCTION("GOOGLETRANSLATE(A1567,""bn"",""en"")"),"It burns at night but the light is very low")</f>
        <v>It burns at night but the light is very low</v>
      </c>
    </row>
    <row r="1568" spans="1:3" ht="15.75" customHeight="1" x14ac:dyDescent="0.25">
      <c r="A1568" s="2" t="s">
        <v>1570</v>
      </c>
      <c r="B1568" s="3" t="s">
        <v>6</v>
      </c>
      <c r="C1568" s="2" t="str">
        <f ca="1">IFERROR(__xludf.DUMMYFUNCTION("GOOGLETRANSLATE(A1568,""bn"",""en"")"),"The canned pasta had a bland texture and lacked flavor, tasting like it had been sitting in the sauce for too long.")</f>
        <v>The canned pasta had a bland texture and lacked flavor, tasting like it had been sitting in the sauce for too long.</v>
      </c>
    </row>
    <row r="1569" spans="1:3" ht="15.75" customHeight="1" x14ac:dyDescent="0.25">
      <c r="A1569" s="2" t="s">
        <v>1571</v>
      </c>
      <c r="B1569" s="3" t="s">
        <v>2</v>
      </c>
      <c r="C1569" s="2" t="str">
        <f ca="1">IFERROR(__xludf.DUMMYFUNCTION("GOOGLETRANSLATE(A1569,""bn"",""en"")"),"The device requires very little space to function properly")</f>
        <v>The device requires very little space to function properly</v>
      </c>
    </row>
    <row r="1570" spans="1:3" ht="15.75" customHeight="1" x14ac:dyDescent="0.25">
      <c r="A1570" s="2" t="s">
        <v>1572</v>
      </c>
      <c r="B1570" s="3" t="s">
        <v>4</v>
      </c>
      <c r="C1570" s="2" t="str">
        <f ca="1">IFERROR(__xludf.DUMMYFUNCTION("GOOGLETRANSLATE(A1570,""bn"",""en"")"),"It is very comfortable providing a warm and cozy feeling on cold nights")</f>
        <v>It is very comfortable providing a warm and cozy feeling on cold nights</v>
      </c>
    </row>
    <row r="1571" spans="1:3" ht="15.75" customHeight="1" x14ac:dyDescent="0.25">
      <c r="A1571" s="2" t="s">
        <v>1573</v>
      </c>
      <c r="B1571" s="3" t="s">
        <v>4</v>
      </c>
      <c r="C1571" s="2" t="str">
        <f ca="1">IFERROR(__xludf.DUMMYFUNCTION("GOOGLETRANSLATE(A1571,""bn"",""en"")"),"This sheet is very comfortable and does not cause any itchiness or discomfort on the body")</f>
        <v>This sheet is very comfortable and does not cause any itchiness or discomfort on the body</v>
      </c>
    </row>
    <row r="1572" spans="1:3" ht="15.75" customHeight="1" x14ac:dyDescent="0.25">
      <c r="A1572" s="2" t="s">
        <v>1574</v>
      </c>
      <c r="B1572" s="3" t="s">
        <v>4</v>
      </c>
      <c r="C1572" s="2" t="str">
        <f ca="1">IFERROR(__xludf.DUMMYFUNCTION("GOOGLETRANSLATE(A1572,""bn"",""en"")"),"It has a light floral scent hidden in it")</f>
        <v>It has a light floral scent hidden in it</v>
      </c>
    </row>
    <row r="1573" spans="1:3" ht="15.75" customHeight="1" x14ac:dyDescent="0.25">
      <c r="A1573" s="2" t="s">
        <v>1575</v>
      </c>
      <c r="B1573" s="3" t="s">
        <v>2</v>
      </c>
      <c r="C1573" s="2" t="str">
        <f ca="1">IFERROR(__xludf.DUMMYFUNCTION("GOOGLETRANSLATE(A1573,""bn"",""en"")"),"It is not available in different sizes")</f>
        <v>It is not available in different sizes</v>
      </c>
    </row>
    <row r="1574" spans="1:3" ht="15.75" customHeight="1" x14ac:dyDescent="0.25">
      <c r="A1574" s="2" t="s">
        <v>1576</v>
      </c>
      <c r="B1574" s="3" t="s">
        <v>6</v>
      </c>
      <c r="C1574" s="2" t="str">
        <f ca="1">IFERROR(__xludf.DUMMYFUNCTION("GOOGLETRANSLATE(A1574,""bn"",""en"")")," The buttons on the control panel are stuck making it difficult to adjust settings")</f>
        <v xml:space="preserve"> The buttons on the control panel are stuck making it difficult to adjust settings</v>
      </c>
    </row>
    <row r="1575" spans="1:3" ht="15.75" customHeight="1" x14ac:dyDescent="0.25">
      <c r="A1575" s="2" t="s">
        <v>1577</v>
      </c>
      <c r="B1575" s="3" t="s">
        <v>6</v>
      </c>
      <c r="C1575" s="2" t="str">
        <f ca="1">IFERROR(__xludf.DUMMYFUNCTION("GOOGLETRANSLATE(A1575,""bn"",""en"")"),"The material of the item had sharp corners and was a risk of injury")</f>
        <v>The material of the item had sharp corners and was a risk of injury</v>
      </c>
    </row>
    <row r="1576" spans="1:3" ht="15.75" customHeight="1" x14ac:dyDescent="0.25">
      <c r="A1576" s="2" t="s">
        <v>1578</v>
      </c>
      <c r="B1576" s="3" t="s">
        <v>6</v>
      </c>
      <c r="C1576" s="2" t="str">
        <f ca="1">IFERROR(__xludf.DUMMYFUNCTION("GOOGLETRANSLATE(A1576,""bn"",""en"")"),"Poor workmanship not worth the investment")</f>
        <v>Poor workmanship not worth the investment</v>
      </c>
    </row>
    <row r="1577" spans="1:3" ht="15.75" customHeight="1" x14ac:dyDescent="0.25">
      <c r="A1577" s="2" t="s">
        <v>1579</v>
      </c>
      <c r="B1577" s="3" t="s">
        <v>2</v>
      </c>
      <c r="C1577" s="2" t="str">
        <f ca="1">IFERROR(__xludf.DUMMYFUNCTION("GOOGLETRANSLATE(A1577,""bn"",""en"")"),"It was a small purchase")</f>
        <v>It was a small purchase</v>
      </c>
    </row>
    <row r="1578" spans="1:3" ht="15.75" customHeight="1" x14ac:dyDescent="0.25">
      <c r="A1578" s="2" t="s">
        <v>1580</v>
      </c>
      <c r="B1578" s="3" t="s">
        <v>6</v>
      </c>
      <c r="C1578" s="2" t="str">
        <f ca="1">IFERROR(__xludf.DUMMYFUNCTION("GOOGLETRANSLATE(A1578,""bn"",""en"")"),"Uncomfortable fits cause blisters and raw scars")</f>
        <v>Uncomfortable fits cause blisters and raw scars</v>
      </c>
    </row>
    <row r="1579" spans="1:3" ht="15.75" customHeight="1" x14ac:dyDescent="0.25">
      <c r="A1579" s="2" t="s">
        <v>1581</v>
      </c>
      <c r="B1579" s="3" t="s">
        <v>6</v>
      </c>
      <c r="C1579" s="2" t="str">
        <f ca="1">IFERROR(__xludf.DUMMYFUNCTION("GOOGLETRANSLATE(A1579,""bn"",""en"")")," The internal lightbulb burns out prematurely requiring replacement")</f>
        <v xml:space="preserve"> The internal lightbulb burns out prematurely requiring replacement</v>
      </c>
    </row>
    <row r="1580" spans="1:3" ht="15.75" customHeight="1" x14ac:dyDescent="0.25">
      <c r="A1580" s="2" t="s">
        <v>1582</v>
      </c>
      <c r="B1580" s="3" t="s">
        <v>4</v>
      </c>
      <c r="C1580" s="2" t="str">
        <f ca="1">IFERROR(__xludf.DUMMYFUNCTION("GOOGLETRANSLATE(A1580,""bn"",""en"")"),"This shampoo is great for strengthening hair roots")</f>
        <v>This shampoo is great for strengthening hair roots</v>
      </c>
    </row>
    <row r="1581" spans="1:3" ht="15.75" customHeight="1" x14ac:dyDescent="0.25">
      <c r="A1581" s="2" t="s">
        <v>1583</v>
      </c>
      <c r="B1581" s="3" t="s">
        <v>4</v>
      </c>
      <c r="C1581" s="2" t="str">
        <f ca="1">IFERROR(__xludf.DUMMYFUNCTION("GOOGLETRANSLATE(A1581,""bn"",""en"")"),"This shampoo is helpful in reducing hair dryness")</f>
        <v>This shampoo is helpful in reducing hair dryness</v>
      </c>
    </row>
    <row r="1582" spans="1:3" ht="15.75" customHeight="1" x14ac:dyDescent="0.25">
      <c r="A1582" s="2" t="s">
        <v>1584</v>
      </c>
      <c r="B1582" s="3" t="s">
        <v>2</v>
      </c>
      <c r="C1582" s="2" t="str">
        <f ca="1">IFERROR(__xludf.DUMMYFUNCTION("GOOGLETRANSLATE(A1582,""bn"",""en"")"),"The wireless breath analyzer tests breath but calibration is difficult")</f>
        <v>The wireless breath analyzer tests breath but calibration is difficult</v>
      </c>
    </row>
    <row r="1583" spans="1:3" ht="15.75" customHeight="1" x14ac:dyDescent="0.25">
      <c r="A1583" s="2" t="s">
        <v>1585</v>
      </c>
      <c r="B1583" s="3" t="s">
        <v>6</v>
      </c>
      <c r="C1583" s="2" t="str">
        <f ca="1">IFERROR(__xludf.DUMMYFUNCTION("GOOGLETRANSLATE(A1583,""bn"",""en"")")," Cooking time settings are incorrect resulting in food not being cooked")</f>
        <v xml:space="preserve"> Cooking time settings are incorrect resulting in food not being cooked</v>
      </c>
    </row>
    <row r="1584" spans="1:3" ht="15.75" customHeight="1" x14ac:dyDescent="0.25">
      <c r="A1584" s="2" t="s">
        <v>1586</v>
      </c>
      <c r="B1584" s="3" t="s">
        <v>4</v>
      </c>
      <c r="C1584" s="2" t="str">
        <f ca="1">IFERROR(__xludf.DUMMYFUNCTION("GOOGLETRANSLATE(A1584,""bn"",""en"")"),"The cream can also be used in mild summers")</f>
        <v>The cream can also be used in mild summers</v>
      </c>
    </row>
    <row r="1585" spans="1:3" ht="15.75" customHeight="1" x14ac:dyDescent="0.25">
      <c r="A1585" s="2" t="s">
        <v>1587</v>
      </c>
      <c r="B1585" s="3" t="s">
        <v>6</v>
      </c>
      <c r="C1585" s="2" t="str">
        <f ca="1">IFERROR(__xludf.DUMMYFUNCTION("GOOGLETRANSLATE(A1585,""bn"",""en"")"),"Laptop performance degrades significantly over time despite minimal software installation")</f>
        <v>Laptop performance degrades significantly over time despite minimal software installation</v>
      </c>
    </row>
    <row r="1586" spans="1:3" ht="15.75" customHeight="1" x14ac:dyDescent="0.25">
      <c r="A1586" s="2" t="s">
        <v>1588</v>
      </c>
      <c r="B1586" s="3" t="s">
        <v>4</v>
      </c>
      <c r="C1586" s="2" t="str">
        <f ca="1">IFERROR(__xludf.DUMMYFUNCTION("GOOGLETRANSLATE(A1586,""bn"",""en"")"),"I recommend it to everyone")</f>
        <v>I recommend it to everyone</v>
      </c>
    </row>
    <row r="1587" spans="1:3" ht="15.75" customHeight="1" x14ac:dyDescent="0.25">
      <c r="A1587" s="2" t="s">
        <v>1589</v>
      </c>
      <c r="B1587" s="3" t="s">
        <v>6</v>
      </c>
      <c r="C1587" s="2" t="str">
        <f ca="1">IFERROR(__xludf.DUMMYFUNCTION("GOOGLETRANSLATE(A1587,""bn"",""en"")"),"Facial scrubs contain harsh exfoliants that cause microtears in the skin that lead to irritation and sensitivity")</f>
        <v>Facial scrubs contain harsh exfoliants that cause microtears in the skin that lead to irritation and sensitivity</v>
      </c>
    </row>
    <row r="1588" spans="1:3" ht="15.75" customHeight="1" x14ac:dyDescent="0.25">
      <c r="A1588" s="2" t="s">
        <v>1590</v>
      </c>
      <c r="B1588" s="3" t="s">
        <v>2</v>
      </c>
      <c r="C1588" s="2" t="str">
        <f ca="1">IFERROR(__xludf.DUMMYFUNCTION("GOOGLETRANSLATE(A1588,""bn"",""en"")"),"Great picture durability is questionable")</f>
        <v>Great picture durability is questionable</v>
      </c>
    </row>
    <row r="1589" spans="1:3" ht="15.75" customHeight="1" x14ac:dyDescent="0.25">
      <c r="A1589" s="2" t="s">
        <v>1591</v>
      </c>
      <c r="B1589" s="3" t="s">
        <v>4</v>
      </c>
      <c r="C1589" s="2" t="str">
        <f ca="1">IFERROR(__xludf.DUMMYFUNCTION("GOOGLETRANSLATE(A1589,""bn"",""en"")"),"The suitcase is quite sturdy and light")</f>
        <v>The suitcase is quite sturdy and light</v>
      </c>
    </row>
    <row r="1590" spans="1:3" ht="15.75" customHeight="1" x14ac:dyDescent="0.25">
      <c r="A1590" s="2" t="s">
        <v>1592</v>
      </c>
      <c r="B1590" s="3" t="s">
        <v>4</v>
      </c>
      <c r="C1590" s="2" t="str">
        <f ca="1">IFERROR(__xludf.DUMMYFUNCTION("GOOGLETRANSLATE(A1590,""bn"",""en"")"),"The girl's smile is very sweet and pleasant")</f>
        <v>The girl's smile is very sweet and pleasant</v>
      </c>
    </row>
    <row r="1591" spans="1:3" ht="15.75" customHeight="1" x14ac:dyDescent="0.25">
      <c r="A1591" s="2" t="s">
        <v>1593</v>
      </c>
      <c r="B1591" s="3" t="s">
        <v>4</v>
      </c>
      <c r="C1591" s="2" t="str">
        <f ca="1">IFERROR(__xludf.DUMMYFUNCTION("GOOGLETRANSLATE(A1591,""bn"",""en"")"),"Cheap price works great")</f>
        <v>Cheap price works great</v>
      </c>
    </row>
    <row r="1592" spans="1:3" ht="15.75" customHeight="1" x14ac:dyDescent="0.25">
      <c r="A1592" s="2" t="s">
        <v>1594</v>
      </c>
      <c r="B1592" s="3" t="s">
        <v>6</v>
      </c>
      <c r="C1592" s="2" t="str">
        <f ca="1">IFERROR(__xludf.DUMMYFUNCTION("GOOGLETRANSLATE(A1592,""bn"",""en"")"),"The metal parts of the bed frame rust easily, compromising its structural integrity and appearance")</f>
        <v>The metal parts of the bed frame rust easily, compromising its structural integrity and appearance</v>
      </c>
    </row>
    <row r="1593" spans="1:3" ht="15.75" customHeight="1" x14ac:dyDescent="0.25">
      <c r="A1593" s="2" t="s">
        <v>1595</v>
      </c>
      <c r="B1593" s="3" t="s">
        <v>4</v>
      </c>
      <c r="C1593" s="2" t="str">
        <f ca="1">IFERROR(__xludf.DUMMYFUNCTION("GOOGLETRANSLATE(A1593,""bn"",""en"")"),"The video quality of the camera is satisfactory")</f>
        <v>The video quality of the camera is satisfactory</v>
      </c>
    </row>
    <row r="1594" spans="1:3" ht="15.75" customHeight="1" x14ac:dyDescent="0.25">
      <c r="A1594" s="2" t="s">
        <v>1596</v>
      </c>
      <c r="B1594" s="3" t="s">
        <v>6</v>
      </c>
      <c r="C1594" s="2" t="str">
        <f ca="1">IFERROR(__xludf.DUMMYFUNCTION("GOOGLETRANSLATE(A1594,""bn"",""en"")"),"  The cream felt heavy and suffocating on my skin")</f>
        <v xml:space="preserve">  The cream felt heavy and suffocating on my skin</v>
      </c>
    </row>
    <row r="1595" spans="1:3" ht="15.75" customHeight="1" x14ac:dyDescent="0.25">
      <c r="A1595" s="2" t="s">
        <v>1597</v>
      </c>
      <c r="B1595" s="3" t="s">
        <v>6</v>
      </c>
      <c r="C1595" s="2" t="str">
        <f ca="1">IFERROR(__xludf.DUMMYFUNCTION("GOOGLETRANSLATE(A1595,""bn"",""en"")")," Exhaust fans are weak and fail to effectively remove vapors and odors")</f>
        <v xml:space="preserve"> Exhaust fans are weak and fail to effectively remove vapors and odors</v>
      </c>
    </row>
    <row r="1596" spans="1:3" ht="15.75" customHeight="1" x14ac:dyDescent="0.25">
      <c r="A1596" s="2" t="s">
        <v>1598</v>
      </c>
      <c r="B1596" s="3" t="s">
        <v>6</v>
      </c>
      <c r="C1596" s="2" t="str">
        <f ca="1">IFERROR(__xludf.DUMMYFUNCTION("GOOGLETRANSLATE(A1596,""bn"",""en"")"),"The padding is too thin to provide adequate protection for the electronics")</f>
        <v>The padding is too thin to provide adequate protection for the electronics</v>
      </c>
    </row>
    <row r="1597" spans="1:3" ht="15.75" customHeight="1" x14ac:dyDescent="0.25">
      <c r="A1597" s="2" t="s">
        <v>1599</v>
      </c>
      <c r="B1597" s="3" t="s">
        <v>6</v>
      </c>
      <c r="C1597" s="2" t="str">
        <f ca="1">IFERROR(__xludf.DUMMYFUNCTION("GOOGLETRANSLATE(A1597,""bn"",""en"")"),"Size and usability are disappointing")</f>
        <v>Size and usability are disappointing</v>
      </c>
    </row>
    <row r="1598" spans="1:3" ht="15.75" customHeight="1" x14ac:dyDescent="0.25">
      <c r="A1598" s="2" t="s">
        <v>1600</v>
      </c>
      <c r="B1598" s="3" t="s">
        <v>4</v>
      </c>
      <c r="C1598" s="2" t="str">
        <f ca="1">IFERROR(__xludf.DUMMYFUNCTION("GOOGLETRANSLATE(A1598,""bn"",""en"")"),"Using a makeup brush gives confidence")</f>
        <v>Using a makeup brush gives confidence</v>
      </c>
    </row>
    <row r="1599" spans="1:3" ht="15.75" customHeight="1" x14ac:dyDescent="0.25">
      <c r="A1599" s="2" t="s">
        <v>1601</v>
      </c>
      <c r="B1599" s="3" t="s">
        <v>2</v>
      </c>
      <c r="C1599" s="2" t="str">
        <f ca="1">IFERROR(__xludf.DUMMYFUNCTION("GOOGLETRANSLATE(A1599,""bn"",""en"")"),"OK for the price but could have done better")</f>
        <v>OK for the price but could have done better</v>
      </c>
    </row>
    <row r="1600" spans="1:3" ht="15.75" customHeight="1" x14ac:dyDescent="0.25">
      <c r="A1600" s="2" t="s">
        <v>1602</v>
      </c>
      <c r="B1600" s="3" t="s">
        <v>2</v>
      </c>
      <c r="C1600" s="2" t="str">
        <f ca="1">IFERROR(__xludf.DUMMYFUNCTION("GOOGLETRANSLATE(A1600,""bn"",""en"")"),"The fabric is good but not exceptional")</f>
        <v>The fabric is good but not exceptional</v>
      </c>
    </row>
    <row r="1601" spans="1:3" ht="15.75" customHeight="1" x14ac:dyDescent="0.25">
      <c r="A1601" s="2" t="s">
        <v>1603</v>
      </c>
      <c r="B1601" s="3" t="s">
        <v>6</v>
      </c>
      <c r="C1601" s="2" t="str">
        <f ca="1">IFERROR(__xludf.DUMMYFUNCTION("GOOGLETRANSLATE(A1601,""bn"",""en"")"),"Avoid this poorly made overpriced item")</f>
        <v>Avoid this poorly made overpriced item</v>
      </c>
    </row>
    <row r="1602" spans="1:3" ht="15.75" customHeight="1" x14ac:dyDescent="0.25">
      <c r="A1602" s="2" t="s">
        <v>1604</v>
      </c>
      <c r="B1602" s="3" t="s">
        <v>2</v>
      </c>
      <c r="C1602" s="2" t="str">
        <f ca="1">IFERROR(__xludf.DUMMYFUNCTION("GOOGLETRANSLATE(A1602,""bn"",""en"")"),"The product is average")</f>
        <v>The product is average</v>
      </c>
    </row>
    <row r="1603" spans="1:3" ht="15.75" customHeight="1" x14ac:dyDescent="0.25">
      <c r="A1603" s="2" t="s">
        <v>1605</v>
      </c>
      <c r="B1603" s="3" t="s">
        <v>2</v>
      </c>
      <c r="C1603" s="2" t="str">
        <f ca="1">IFERROR(__xludf.DUMMYFUNCTION("GOOGLETRANSLATE(A1603,""bn"",""en"")"),"Value is OK")</f>
        <v>Value is OK</v>
      </c>
    </row>
    <row r="1604" spans="1:3" ht="15.75" customHeight="1" x14ac:dyDescent="0.25">
      <c r="A1604" s="2" t="s">
        <v>1606</v>
      </c>
      <c r="B1604" s="3" t="s">
        <v>2</v>
      </c>
      <c r="C1604" s="2" t="str">
        <f ca="1">IFERROR(__xludf.DUMMYFUNCTION("GOOGLETRANSLATE(A1604,""bn"",""en"")"),"Color is bright but not durable")</f>
        <v>Color is bright but not durable</v>
      </c>
    </row>
    <row r="1605" spans="1:3" ht="15.75" customHeight="1" x14ac:dyDescent="0.25">
      <c r="A1605" s="2" t="s">
        <v>1607</v>
      </c>
      <c r="B1605" s="3" t="s">
        <v>4</v>
      </c>
      <c r="C1605" s="2" t="str">
        <f ca="1">IFERROR(__xludf.DUMMYFUNCTION("GOOGLETRANSLATE(A1605,""bn"",""en"")"),"I love these")</f>
        <v>I love these</v>
      </c>
    </row>
    <row r="1606" spans="1:3" ht="15.75" customHeight="1" x14ac:dyDescent="0.25">
      <c r="A1606" s="2" t="s">
        <v>1608</v>
      </c>
      <c r="B1606" s="3" t="s">
        <v>2</v>
      </c>
      <c r="C1606" s="2" t="str">
        <f ca="1">IFERROR(__xludf.DUMMYFUNCTION("GOOGLETRANSLATE(A1606,""bn"",""en"")"),"Voice control is not available as well")</f>
        <v>Voice control is not available as well</v>
      </c>
    </row>
    <row r="1607" spans="1:3" ht="15.75" customHeight="1" x14ac:dyDescent="0.25">
      <c r="A1607" s="2" t="s">
        <v>1609</v>
      </c>
      <c r="B1607" s="3" t="s">
        <v>4</v>
      </c>
      <c r="C1607" s="2" t="str">
        <f ca="1">IFERROR(__xludf.DUMMYFUNCTION("GOOGLETRANSLATE(A1607,""bn"",""en"")"),"I feel like a celebrity when I wear the earrings")</f>
        <v>I feel like a celebrity when I wear the earrings</v>
      </c>
    </row>
    <row r="1608" spans="1:3" ht="15.75" customHeight="1" x14ac:dyDescent="0.25">
      <c r="A1608" s="2" t="s">
        <v>1610</v>
      </c>
      <c r="B1608" s="3" t="s">
        <v>6</v>
      </c>
      <c r="C1608" s="2" t="str">
        <f ca="1">IFERROR(__xludf.DUMMYFUNCTION("GOOGLETRANSLATE(A1608,""bn"",""en"")"),"Unknown flaws in craftsmanship show asymmetrical stitching and finishing")</f>
        <v>Unknown flaws in craftsmanship show asymmetrical stitching and finishing</v>
      </c>
    </row>
    <row r="1609" spans="1:3" ht="15.75" customHeight="1" x14ac:dyDescent="0.25">
      <c r="A1609" s="2" t="s">
        <v>1611</v>
      </c>
      <c r="B1609" s="3" t="s">
        <v>4</v>
      </c>
      <c r="C1609" s="2" t="str">
        <f ca="1">IFERROR(__xludf.DUMMYFUNCTION("GOOGLETRANSLATE(A1609,""bn"",""en"")"),"The microwave is suitable and effective for the kitchen")</f>
        <v>The microwave is suitable and effective for the kitchen</v>
      </c>
    </row>
    <row r="1610" spans="1:3" ht="15.75" customHeight="1" x14ac:dyDescent="0.25">
      <c r="A1610" s="2" t="s">
        <v>1612</v>
      </c>
      <c r="B1610" s="3" t="s">
        <v>4</v>
      </c>
      <c r="C1610" s="2" t="str">
        <f ca="1">IFERROR(__xludf.DUMMYFUNCTION("GOOGLETRANSLATE(A1610,""bn"",""en"")"),"The story of the book is very interesting and educational")</f>
        <v>The story of the book is very interesting and educational</v>
      </c>
    </row>
    <row r="1611" spans="1:3" ht="15.75" customHeight="1" x14ac:dyDescent="0.25">
      <c r="A1611" s="2" t="s">
        <v>1613</v>
      </c>
      <c r="B1611" s="3" t="s">
        <v>4</v>
      </c>
      <c r="C1611" s="2" t="str">
        <f ca="1">IFERROR(__xludf.DUMMYFUNCTION("GOOGLETRANSLATE(A1611,""bn"",""en"")"),"The sound quality of the headphones is very good")</f>
        <v>The sound quality of the headphones is very good</v>
      </c>
    </row>
    <row r="1612" spans="1:3" ht="15.75" customHeight="1" x14ac:dyDescent="0.25">
      <c r="A1612" s="2" t="s">
        <v>1614</v>
      </c>
      <c r="B1612" s="3" t="s">
        <v>6</v>
      </c>
      <c r="C1612" s="2" t="str">
        <f ca="1">IFERROR(__xludf.DUMMYFUNCTION("GOOGLETRANSLATE(A1612,""bn"",""en"")"),"The handle of the loofah breaks off in the shower causing it to collapse")</f>
        <v>The handle of the loofah breaks off in the shower causing it to collapse</v>
      </c>
    </row>
    <row r="1613" spans="1:3" ht="15.75" customHeight="1" x14ac:dyDescent="0.25">
      <c r="A1613" s="2" t="s">
        <v>1615</v>
      </c>
      <c r="B1613" s="3" t="s">
        <v>6</v>
      </c>
      <c r="C1613" s="2" t="str">
        <f ca="1">IFERROR(__xludf.DUMMYFUNCTION("GOOGLETRANSLATE(A1613,""bn"",""en"")"),"Colors lacked vibrancy and depth, looking washed out and dull")</f>
        <v>Colors lacked vibrancy and depth, looking washed out and dull</v>
      </c>
    </row>
    <row r="1614" spans="1:3" ht="15.75" customHeight="1" x14ac:dyDescent="0.25">
      <c r="A1614" s="2" t="s">
        <v>1616</v>
      </c>
      <c r="B1614" s="3" t="s">
        <v>6</v>
      </c>
      <c r="C1614" s="2" t="str">
        <f ca="1">IFERROR(__xludf.DUMMYFUNCTION("GOOGLETRANSLATE(A1614,""bn"",""en"")"),"The material easily attracts lint and dust making it challenging to keep clean")</f>
        <v>The material easily attracts lint and dust making it challenging to keep clean</v>
      </c>
    </row>
    <row r="1615" spans="1:3" ht="15.75" customHeight="1" x14ac:dyDescent="0.25">
      <c r="A1615" s="2" t="s">
        <v>1617</v>
      </c>
      <c r="B1615" s="3" t="s">
        <v>2</v>
      </c>
      <c r="C1615" s="2" t="str">
        <f ca="1">IFERROR(__xludf.DUMMYFUNCTION("GOOGLETRANSLATE(A1615,""bn"",""en"")"),"Playdo is a bit sticky")</f>
        <v>Playdo is a bit sticky</v>
      </c>
    </row>
    <row r="1616" spans="1:3" ht="15.75" customHeight="1" x14ac:dyDescent="0.25">
      <c r="A1616" s="2" t="s">
        <v>1618</v>
      </c>
      <c r="B1616" s="3" t="s">
        <v>4</v>
      </c>
      <c r="C1616" s="2" t="str">
        <f ca="1">IFERROR(__xludf.DUMMYFUNCTION("GOOGLETRANSLATE(A1616,""bn"",""en"")"),"Easy and quick to deploy")</f>
        <v>Easy and quick to deploy</v>
      </c>
    </row>
    <row r="1617" spans="1:3" ht="15.75" customHeight="1" x14ac:dyDescent="0.25">
      <c r="A1617" s="2" t="s">
        <v>1619</v>
      </c>
      <c r="B1617" s="3" t="s">
        <v>6</v>
      </c>
      <c r="C1617" s="2" t="str">
        <f ca="1">IFERROR(__xludf.DUMMYFUNCTION("GOOGLETRANSLATE(A1617,""bn"",""en"")"),"Unsatisfactory quality fails to affect")</f>
        <v>Unsatisfactory quality fails to affect</v>
      </c>
    </row>
    <row r="1618" spans="1:3" ht="15.75" customHeight="1" x14ac:dyDescent="0.25">
      <c r="A1618" s="2" t="s">
        <v>1620</v>
      </c>
      <c r="B1618" s="3" t="s">
        <v>4</v>
      </c>
      <c r="C1618" s="2" t="str">
        <f ca="1">IFERROR(__xludf.DUMMYFUNCTION("GOOGLETRANSLATE(A1618,""bn"",""en"")"),"Birds are always singing in our garden")</f>
        <v>Birds are always singing in our garden</v>
      </c>
    </row>
    <row r="1619" spans="1:3" ht="15.75" customHeight="1" x14ac:dyDescent="0.25">
      <c r="A1619" s="2" t="s">
        <v>1621</v>
      </c>
      <c r="B1619" s="3" t="s">
        <v>6</v>
      </c>
      <c r="C1619" s="2" t="str">
        <f ca="1">IFERROR(__xludf.DUMMYFUNCTION("GOOGLETRANSLATE(A1619,""bn"",""en"")"),"Electric toothbrush bristles fall off after a few uses, reducing effectiveness")</f>
        <v>Electric toothbrush bristles fall off after a few uses, reducing effectiveness</v>
      </c>
    </row>
    <row r="1620" spans="1:3" ht="15.75" customHeight="1" x14ac:dyDescent="0.25">
      <c r="A1620" s="2" t="s">
        <v>1622</v>
      </c>
      <c r="B1620" s="3" t="s">
        <v>2</v>
      </c>
      <c r="C1620" s="2" t="str">
        <f ca="1">IFERROR(__xludf.DUMMYFUNCTION("GOOGLETRANSLATE(A1620,""bn"",""en"")"),"Some yield increased after application of the fertilizer but other plants did not fare as well")</f>
        <v>Some yield increased after application of the fertilizer but other plants did not fare as well</v>
      </c>
    </row>
    <row r="1621" spans="1:3" ht="15.75" customHeight="1" x14ac:dyDescent="0.25">
      <c r="A1621" s="2" t="s">
        <v>1623</v>
      </c>
      <c r="B1621" s="3" t="s">
        <v>2</v>
      </c>
      <c r="C1621" s="2" t="str">
        <f ca="1">IFERROR(__xludf.DUMMYFUNCTION("GOOGLETRANSLATE(A1621,""bn"",""en"")"),"The floor dries quickly using the product")</f>
        <v>The floor dries quickly using the product</v>
      </c>
    </row>
    <row r="1622" spans="1:3" ht="15.75" customHeight="1" x14ac:dyDescent="0.25">
      <c r="A1622" s="2" t="s">
        <v>1624</v>
      </c>
      <c r="B1622" s="3" t="s">
        <v>6</v>
      </c>
      <c r="C1622" s="2" t="str">
        <f ca="1">IFERROR(__xludf.DUMMYFUNCTION("GOOGLETRANSLATE(A1622,""bn"",""en"")"),"The packaged deli meat had a thin texture and a flavor that indicated it was past its prime")</f>
        <v>The packaged deli meat had a thin texture and a flavor that indicated it was past its prime</v>
      </c>
    </row>
    <row r="1623" spans="1:3" ht="15.75" customHeight="1" x14ac:dyDescent="0.25">
      <c r="A1623" s="2" t="s">
        <v>1625</v>
      </c>
      <c r="B1623" s="3" t="s">
        <v>6</v>
      </c>
      <c r="C1623" s="2" t="str">
        <f ca="1">IFERROR(__xludf.DUMMYFUNCTION("GOOGLETRANSLATE(A1623,""bn"",""en"")"),"The robotic pet feeder's food dispenser jams and doesn't dispense food properly")</f>
        <v>The robotic pet feeder's food dispenser jams and doesn't dispense food properly</v>
      </c>
    </row>
    <row r="1624" spans="1:3" ht="15.75" customHeight="1" x14ac:dyDescent="0.25">
      <c r="A1624" s="2" t="s">
        <v>1626</v>
      </c>
      <c r="B1624" s="3" t="s">
        <v>4</v>
      </c>
      <c r="C1624" s="2" t="str">
        <f ca="1">IFERROR(__xludf.DUMMYFUNCTION("GOOGLETRANSLATE(A1624,""bn"",""en"")"),"Time accuracy is very accurate")</f>
        <v>Time accuracy is very accurate</v>
      </c>
    </row>
    <row r="1625" spans="1:3" ht="15.75" customHeight="1" x14ac:dyDescent="0.25">
      <c r="A1625" s="2" t="s">
        <v>1627</v>
      </c>
      <c r="B1625" s="3" t="s">
        <v>2</v>
      </c>
      <c r="C1625" s="2" t="str">
        <f ca="1">IFERROR(__xludf.DUMMYFUNCTION("GOOGLETRANSLATE(A1625,""bn"",""en"")"),"The drink is very fresh but the taste is quite ordinary")</f>
        <v>The drink is very fresh but the taste is quite ordinary</v>
      </c>
    </row>
    <row r="1626" spans="1:3" ht="15.75" customHeight="1" x14ac:dyDescent="0.25">
      <c r="A1626" s="2" t="s">
        <v>1628</v>
      </c>
      <c r="B1626" s="3" t="s">
        <v>4</v>
      </c>
      <c r="C1626" s="2" t="str">
        <f ca="1">IFERROR(__xludf.DUMMYFUNCTION("GOOGLETRANSLATE(A1626,""bn"",""en"")"),"Changing AC filter is very easy I can do it myself no technician needed")</f>
        <v>Changing AC filter is very easy I can do it myself no technician needed</v>
      </c>
    </row>
    <row r="1627" spans="1:3" ht="15.75" customHeight="1" x14ac:dyDescent="0.25">
      <c r="A1627" s="2" t="s">
        <v>1629</v>
      </c>
      <c r="B1627" s="3" t="s">
        <v>4</v>
      </c>
      <c r="C1627" s="2" t="str">
        <f ca="1">IFERROR(__xludf.DUMMYFUNCTION("GOOGLETRANSLATE(A1627,""bn"",""en"")")," will help take your creative projects to new heights")</f>
        <v xml:space="preserve"> will help take your creative projects to new heights</v>
      </c>
    </row>
    <row r="1628" spans="1:3" ht="15.75" customHeight="1" x14ac:dyDescent="0.25">
      <c r="A1628" s="2" t="s">
        <v>1630</v>
      </c>
      <c r="B1628" s="3" t="s">
        <v>4</v>
      </c>
      <c r="C1628" s="2" t="str">
        <f ca="1">IFERROR(__xludf.DUMMYFUNCTION("GOOGLETRANSLATE(A1628,""bn"",""en"")"),"The plastic flower is easy to clean")</f>
        <v>The plastic flower is easy to clean</v>
      </c>
    </row>
    <row r="1629" spans="1:3" ht="15.75" customHeight="1" x14ac:dyDescent="0.25">
      <c r="A1629" s="2" t="s">
        <v>1631</v>
      </c>
      <c r="B1629" s="3" t="s">
        <v>2</v>
      </c>
      <c r="C1629" s="2" t="str">
        <f ca="1">IFERROR(__xludf.DUMMYFUNCTION("GOOGLETRANSLATE(A1629,""bn"",""en"")"),"The scale of the pen is a bit unstable")</f>
        <v>The scale of the pen is a bit unstable</v>
      </c>
    </row>
    <row r="1630" spans="1:3" ht="15.75" customHeight="1" x14ac:dyDescent="0.25">
      <c r="A1630" s="2" t="s">
        <v>1632</v>
      </c>
      <c r="B1630" s="3" t="s">
        <v>4</v>
      </c>
      <c r="C1630" s="2" t="str">
        <f ca="1">IFERROR(__xludf.DUMMYFUNCTION("GOOGLETRANSLATE(A1630,""bn"",""en"")"),"Awesome upgrade for my old truck")</f>
        <v>Awesome upgrade for my old truck</v>
      </c>
    </row>
    <row r="1631" spans="1:3" ht="15.75" customHeight="1" x14ac:dyDescent="0.25">
      <c r="A1631" s="2" t="s">
        <v>1633</v>
      </c>
      <c r="B1631" s="3" t="s">
        <v>4</v>
      </c>
      <c r="C1631" s="2" t="str">
        <f ca="1">IFERROR(__xludf.DUMMYFUNCTION("GOOGLETRANSLATE(A1631,""bn"",""en"")"),"These biscuits are absolutely wonderful with afternoon tea")</f>
        <v>These biscuits are absolutely wonderful with afternoon tea</v>
      </c>
    </row>
    <row r="1632" spans="1:3" ht="15.75" customHeight="1" x14ac:dyDescent="0.25">
      <c r="A1632" s="2" t="s">
        <v>1634</v>
      </c>
      <c r="B1632" s="3" t="s">
        <v>6</v>
      </c>
      <c r="C1632" s="2" t="str">
        <f ca="1">IFERROR(__xludf.DUMMYFUNCTION("GOOGLETRANSLATE(A1632,""bn"",""en"")"),"The material of the item had a greasy residue that felt unpleasant to the touch")</f>
        <v>The material of the item had a greasy residue that felt unpleasant to the touch</v>
      </c>
    </row>
    <row r="1633" spans="1:3" ht="15.75" customHeight="1" x14ac:dyDescent="0.25">
      <c r="A1633" s="2" t="s">
        <v>1635</v>
      </c>
      <c r="B1633" s="3" t="s">
        <v>6</v>
      </c>
      <c r="C1633" s="2" t="str">
        <f ca="1">IFERROR(__xludf.DUMMYFUNCTION("GOOGLETRANSLATE(A1633,""bn"",""en"")"),"Clumps of mascara lash together to create a spidery effect")</f>
        <v>Clumps of mascara lash together to create a spidery effect</v>
      </c>
    </row>
    <row r="1634" spans="1:3" ht="15.75" customHeight="1" x14ac:dyDescent="0.25">
      <c r="A1634" s="2" t="s">
        <v>1636</v>
      </c>
      <c r="B1634" s="3" t="s">
        <v>2</v>
      </c>
      <c r="C1634" s="2" t="str">
        <f ca="1">IFERROR(__xludf.DUMMYFUNCTION("GOOGLETRANSLATE(A1634,""bn"",""en"")"),"How Artisan Advanced Beaded Bracelet Tray Incorporated Into My Jewelery Collection")</f>
        <v>How Artisan Advanced Beaded Bracelet Tray Incorporated Into My Jewelery Collection</v>
      </c>
    </row>
    <row r="1635" spans="1:3" ht="15.75" customHeight="1" x14ac:dyDescent="0.25">
      <c r="A1635" s="2" t="s">
        <v>1637</v>
      </c>
      <c r="B1635" s="3" t="s">
        <v>6</v>
      </c>
      <c r="C1635" s="2" t="str">
        <f ca="1">IFERROR(__xludf.DUMMYFUNCTION("GOOGLETRANSLATE(A1635,""bn"",""en"")"),"The design is impractical and not suitable for daily wear")</f>
        <v>The design is impractical and not suitable for daily wear</v>
      </c>
    </row>
    <row r="1636" spans="1:3" ht="15.75" customHeight="1" x14ac:dyDescent="0.25">
      <c r="A1636" s="2" t="s">
        <v>1638</v>
      </c>
      <c r="B1636" s="3" t="s">
        <v>4</v>
      </c>
      <c r="C1636" s="2" t="str">
        <f ca="1">IFERROR(__xludf.DUMMYFUNCTION("GOOGLETRANSLATE(A1636,""bn"",""en"")"),"This body wash solves skin problems")</f>
        <v>This body wash solves skin problems</v>
      </c>
    </row>
    <row r="1637" spans="1:3" ht="15.75" customHeight="1" x14ac:dyDescent="0.25">
      <c r="A1637" s="2" t="s">
        <v>1639</v>
      </c>
      <c r="B1637" s="3" t="s">
        <v>6</v>
      </c>
      <c r="C1637" s="2" t="str">
        <f ca="1">IFERROR(__xludf.DUMMYFUNCTION("GOOGLETRANSLATE(A1637,""bn"",""en"")"),"Despite being described as durable, jewelery easily goes out of shape and loses its original form after minimal wear")</f>
        <v>Despite being described as durable, jewelery easily goes out of shape and loses its original form after minimal wear</v>
      </c>
    </row>
    <row r="1638" spans="1:3" ht="15.75" customHeight="1" x14ac:dyDescent="0.25">
      <c r="A1638" s="2" t="s">
        <v>1640</v>
      </c>
      <c r="B1638" s="3" t="s">
        <v>4</v>
      </c>
      <c r="C1638" s="2" t="str">
        <f ca="1">IFERROR(__xludf.DUMMYFUNCTION("GOOGLETRANSLATE(A1638,""bn"",""en"")"),"The cornice on the top of the bookcase looks great")</f>
        <v>The cornice on the top of the bookcase looks great</v>
      </c>
    </row>
    <row r="1639" spans="1:3" ht="15.75" customHeight="1" x14ac:dyDescent="0.25">
      <c r="A1639" s="2" t="s">
        <v>1641</v>
      </c>
      <c r="B1639" s="3" t="s">
        <v>4</v>
      </c>
      <c r="C1639" s="2" t="str">
        <f ca="1">IFERROR(__xludf.DUMMYFUNCTION("GOOGLETRANSLATE(A1639,""bn"",""en"")"),"The cushions of dining chairs can be easily changed")</f>
        <v>The cushions of dining chairs can be easily changed</v>
      </c>
    </row>
    <row r="1640" spans="1:3" ht="15.75" customHeight="1" x14ac:dyDescent="0.25">
      <c r="A1640" s="2" t="s">
        <v>1642</v>
      </c>
      <c r="B1640" s="3" t="s">
        <v>4</v>
      </c>
      <c r="C1640" s="2" t="str">
        <f ca="1">IFERROR(__xludf.DUMMYFUNCTION("GOOGLETRANSLATE(A1640,""bn"",""en"")"),"The thing is good")</f>
        <v>The thing is good</v>
      </c>
    </row>
    <row r="1641" spans="1:3" ht="15.75" customHeight="1" x14ac:dyDescent="0.25">
      <c r="A1641" s="2" t="s">
        <v>1643</v>
      </c>
      <c r="B1641" s="3" t="s">
        <v>4</v>
      </c>
      <c r="C1641" s="2" t="str">
        <f ca="1">IFERROR(__xludf.DUMMYFUNCTION("GOOGLETRANSLATE(A1641,""bn"",""en"")"),"Perfect for those looking for a good biscuit")</f>
        <v>Perfect for those looking for a good biscuit</v>
      </c>
    </row>
    <row r="1642" spans="1:3" ht="15.75" customHeight="1" x14ac:dyDescent="0.25">
      <c r="A1642" s="2" t="s">
        <v>1644</v>
      </c>
      <c r="B1642" s="3" t="s">
        <v>2</v>
      </c>
      <c r="C1642" s="2" t="str">
        <f ca="1">IFERROR(__xludf.DUMMYFUNCTION("GOOGLETRANSLATE(A1642,""bn"",""en"")"),"Best used dry")</f>
        <v>Best used dry</v>
      </c>
    </row>
    <row r="1643" spans="1:3" ht="15.75" customHeight="1" x14ac:dyDescent="0.25">
      <c r="A1643" s="2" t="s">
        <v>1645</v>
      </c>
      <c r="B1643" s="3" t="s">
        <v>2</v>
      </c>
      <c r="C1643" s="2" t="str">
        <f ca="1">IFERROR(__xludf.DUMMYFUNCTION("GOOGLETRANSLATE(A1643,""bn"",""en"")"),"Not sure if it is washable")</f>
        <v>Not sure if it is washable</v>
      </c>
    </row>
    <row r="1644" spans="1:3" ht="15.75" customHeight="1" x14ac:dyDescent="0.25">
      <c r="A1644" s="2" t="s">
        <v>1646</v>
      </c>
      <c r="B1644" s="3" t="s">
        <v>4</v>
      </c>
      <c r="C1644" s="2" t="str">
        <f ca="1">IFERROR(__xludf.DUMMYFUNCTION("GOOGLETRANSLATE(A1644,""bn"",""en"")"),"My body feels fresh and clean using this body wash")</f>
        <v>My body feels fresh and clean using this body wash</v>
      </c>
    </row>
    <row r="1645" spans="1:3" ht="15.75" customHeight="1" x14ac:dyDescent="0.25">
      <c r="A1645" s="2" t="s">
        <v>1647</v>
      </c>
      <c r="B1645" s="3" t="s">
        <v>2</v>
      </c>
      <c r="C1645" s="2" t="str">
        <f ca="1">IFERROR(__xludf.DUMMYFUNCTION("GOOGLETRANSLATE(A1645,""bn"",""en"")"),"Can heat the house according to the size")</f>
        <v>Can heat the house according to the size</v>
      </c>
    </row>
    <row r="1646" spans="1:3" ht="15.75" customHeight="1" x14ac:dyDescent="0.25">
      <c r="A1646" s="2" t="s">
        <v>1648</v>
      </c>
      <c r="B1646" s="3" t="s">
        <v>6</v>
      </c>
      <c r="C1646" s="2" t="str">
        <f ca="1">IFERROR(__xludf.DUMMYFUNCTION("GOOGLETRANSLATE(A1646,""bn"",""en"")"),"Inadequate support Minimal discomfort after wear")</f>
        <v>Inadequate support Minimal discomfort after wear</v>
      </c>
    </row>
    <row r="1647" spans="1:3" ht="15.75" customHeight="1" x14ac:dyDescent="0.25">
      <c r="A1647" s="2" t="s">
        <v>1649</v>
      </c>
      <c r="B1647" s="3" t="s">
        <v>4</v>
      </c>
      <c r="C1647" s="2" t="str">
        <f ca="1">IFERROR(__xludf.DUMMYFUNCTION("GOOGLETRANSLATE(A1647,""bn"",""en"")"),"Bookcase door knobs are made of quality metal")</f>
        <v>Bookcase door knobs are made of quality metal</v>
      </c>
    </row>
    <row r="1648" spans="1:3" ht="15.75" customHeight="1" x14ac:dyDescent="0.25">
      <c r="A1648" s="2" t="s">
        <v>1650</v>
      </c>
      <c r="B1648" s="3" t="s">
        <v>4</v>
      </c>
      <c r="C1648" s="2" t="str">
        <f ca="1">IFERROR(__xludf.DUMMYFUNCTION("GOOGLETRANSLATE(A1648,""bn"",""en"")"),"Best prices for brand names")</f>
        <v>Best prices for brand names</v>
      </c>
    </row>
    <row r="1649" spans="1:3" ht="15.75" customHeight="1" x14ac:dyDescent="0.25">
      <c r="A1649" s="2" t="s">
        <v>1651</v>
      </c>
      <c r="B1649" s="3" t="s">
        <v>4</v>
      </c>
      <c r="C1649" s="2" t="str">
        <f ca="1">IFERROR(__xludf.DUMMYFUNCTION("GOOGLETRANSLATE(A1649,""bn"",""en"")"),"Imo best vent phone holder")</f>
        <v>Imo best vent phone holder</v>
      </c>
    </row>
    <row r="1650" spans="1:3" ht="15.75" customHeight="1" x14ac:dyDescent="0.25">
      <c r="A1650" s="2" t="s">
        <v>1652</v>
      </c>
      <c r="B1650" s="3" t="s">
        <v>2</v>
      </c>
      <c r="C1650" s="2" t="str">
        <f ca="1">IFERROR(__xludf.DUMMYFUNCTION("GOOGLETRANSLATE(A1650,""bn"",""en"")"),"Don't like being connected to VPN while using otherwise good investment")</f>
        <v>Don't like being connected to VPN while using otherwise good investment</v>
      </c>
    </row>
    <row r="1651" spans="1:3" ht="15.75" customHeight="1" x14ac:dyDescent="0.25">
      <c r="A1651" s="2" t="s">
        <v>1653</v>
      </c>
      <c r="B1651" s="3" t="s">
        <v>4</v>
      </c>
      <c r="C1651" s="2" t="str">
        <f ca="1">IFERROR(__xludf.DUMMYFUNCTION("GOOGLETRANSLATE(A1651,""bn"",""en"")"),"Its light golden color fascinates me")</f>
        <v>Its light golden color fascinates me</v>
      </c>
    </row>
    <row r="1652" spans="1:3" ht="15.75" customHeight="1" x14ac:dyDescent="0.25">
      <c r="A1652" s="2" t="s">
        <v>1654</v>
      </c>
      <c r="B1652" s="3" t="s">
        <v>6</v>
      </c>
      <c r="C1652" s="2" t="str">
        <f ca="1">IFERROR(__xludf.DUMMYFUNCTION("GOOGLETRANSLATE(A1652,""bn"",""en"")"),"The hinges of the toy were stiff which made movement difficult")</f>
        <v>The hinges of the toy were stiff which made movement difficult</v>
      </c>
    </row>
    <row r="1653" spans="1:3" ht="15.75" customHeight="1" x14ac:dyDescent="0.25">
      <c r="A1653" s="2" t="s">
        <v>1655</v>
      </c>
      <c r="B1653" s="3" t="s">
        <v>2</v>
      </c>
      <c r="C1653" s="2" t="str">
        <f ca="1">IFERROR(__xludf.DUMMYFUNCTION("GOOGLETRANSLATE(A1653,""bn"",""en"")"),"The design is attractive but the size is not right")</f>
        <v>The design is attractive but the size is not right</v>
      </c>
    </row>
    <row r="1654" spans="1:3" ht="15.75" customHeight="1" x14ac:dyDescent="0.25">
      <c r="A1654" s="2" t="s">
        <v>1656</v>
      </c>
      <c r="B1654" s="3" t="s">
        <v>2</v>
      </c>
      <c r="C1654" s="2" t="str">
        <f ca="1">IFERROR(__xludf.DUMMYFUNCTION("GOOGLETRANSLATE(A1654,""bn"",""en"")"),"Modest clothing has room for improvement")</f>
        <v>Modest clothing has room for improvement</v>
      </c>
    </row>
    <row r="1655" spans="1:3" ht="15.75" customHeight="1" x14ac:dyDescent="0.25">
      <c r="A1655" s="2" t="s">
        <v>1657</v>
      </c>
      <c r="B1655" s="3" t="s">
        <v>6</v>
      </c>
      <c r="C1655" s="2" t="str">
        <f ca="1">IFERROR(__xludf.DUMMYFUNCTION("GOOGLETRANSLATE(A1655,""bn"",""en"")"),"Heavy and bulky construction makes it difficult to move")</f>
        <v>Heavy and bulky construction makes it difficult to move</v>
      </c>
    </row>
    <row r="1656" spans="1:3" ht="15.75" customHeight="1" x14ac:dyDescent="0.25">
      <c r="A1656" s="2" t="s">
        <v>1658</v>
      </c>
      <c r="B1656" s="3" t="s">
        <v>2</v>
      </c>
      <c r="C1656" s="2" t="str">
        <f ca="1">IFERROR(__xludf.DUMMYFUNCTION("GOOGLETRANSLATE(A1656,""bn"",""en"")"),"Water can be measured because of the milliliter mark on the body")</f>
        <v>Water can be measured because of the milliliter mark on the body</v>
      </c>
    </row>
    <row r="1657" spans="1:3" ht="15.75" customHeight="1" x14ac:dyDescent="0.25">
      <c r="A1657" s="2" t="s">
        <v>1659</v>
      </c>
      <c r="B1657" s="3" t="s">
        <v>6</v>
      </c>
      <c r="C1657" s="2" t="str">
        <f ca="1">IFERROR(__xludf.DUMMYFUNCTION("GOOGLETRANSLATE(A1657,""bn"",""en"")"),"Subpar quality that fails to meet expectations")</f>
        <v>Subpar quality that fails to meet expectations</v>
      </c>
    </row>
    <row r="1658" spans="1:3" ht="15.75" customHeight="1" x14ac:dyDescent="0.25">
      <c r="A1658" s="2" t="s">
        <v>1660</v>
      </c>
      <c r="B1658" s="3" t="s">
        <v>4</v>
      </c>
      <c r="C1658" s="2" t="str">
        <f ca="1">IFERROR(__xludf.DUMMYFUNCTION("GOOGLETRANSLATE(A1658,""bn"",""en"")"),"A great product that meets all my needs")</f>
        <v>A great product that meets all my needs</v>
      </c>
    </row>
    <row r="1659" spans="1:3" ht="15.75" customHeight="1" x14ac:dyDescent="0.25">
      <c r="A1659" s="2" t="s">
        <v>1661</v>
      </c>
      <c r="B1659" s="3" t="s">
        <v>4</v>
      </c>
      <c r="C1659" s="2" t="str">
        <f ca="1">IFERROR(__xludf.DUMMYFUNCTION("GOOGLETRANSLATE(A1659,""bn"",""en"")"),"The girl is very happy wearing her new dress")</f>
        <v>The girl is very happy wearing her new dress</v>
      </c>
    </row>
    <row r="1660" spans="1:3" ht="15.75" customHeight="1" x14ac:dyDescent="0.25">
      <c r="A1660" s="2" t="s">
        <v>1662</v>
      </c>
      <c r="B1660" s="3" t="s">
        <v>6</v>
      </c>
      <c r="C1660" s="2" t="str">
        <f ca="1">IFERROR(__xludf.DUMMYFUNCTION("GOOGLETRANSLATE(A1660,""bn"",""en"")"),"Unhappiness returned due to poor stability")</f>
        <v>Unhappiness returned due to poor stability</v>
      </c>
    </row>
    <row r="1661" spans="1:3" ht="15.75" customHeight="1" x14ac:dyDescent="0.25">
      <c r="A1661" s="2" t="s">
        <v>1663</v>
      </c>
      <c r="B1661" s="3" t="s">
        <v>2</v>
      </c>
      <c r="C1661" s="2" t="str">
        <f ca="1">IFERROR(__xludf.DUMMYFUNCTION("GOOGLETRANSLATE(A1661,""bn"",""en"")"),"Caffeine levels are moderate to not very strong")</f>
        <v>Caffeine levels are moderate to not very strong</v>
      </c>
    </row>
    <row r="1662" spans="1:3" ht="15.75" customHeight="1" x14ac:dyDescent="0.25">
      <c r="A1662" s="2" t="s">
        <v>1664</v>
      </c>
      <c r="B1662" s="3" t="s">
        <v>6</v>
      </c>
      <c r="C1662" s="2" t="str">
        <f ca="1">IFERROR(__xludf.DUMMYFUNCTION("GOOGLETRANSLATE(A1662,""bn"",""en"")"),"The design of the charger is bulky and takes up too much space on cumbersome power strips or outlets")</f>
        <v>The design of the charger is bulky and takes up too much space on cumbersome power strips or outlets</v>
      </c>
    </row>
    <row r="1663" spans="1:3" ht="15.75" customHeight="1" x14ac:dyDescent="0.25">
      <c r="A1663" s="2" t="s">
        <v>1665</v>
      </c>
      <c r="B1663" s="3" t="s">
        <v>6</v>
      </c>
      <c r="C1663" s="2" t="str">
        <f ca="1">IFERROR(__xludf.DUMMYFUNCTION("GOOGLETRANSLATE(A1663,""bn"",""en"")"),"The glass door of the toaster oven is foggy so you can't see the food while cooking")</f>
        <v>The glass door of the toaster oven is foggy so you can't see the food while cooking</v>
      </c>
    </row>
    <row r="1664" spans="1:3" ht="15.75" customHeight="1" x14ac:dyDescent="0.25">
      <c r="A1664" s="2" t="s">
        <v>1666</v>
      </c>
      <c r="B1664" s="3" t="s">
        <v>6</v>
      </c>
      <c r="C1664" s="2" t="str">
        <f ca="1">IFERROR(__xludf.DUMMYFUNCTION("GOOGLETRANSLATE(A1664,""bn"",""en"")")," The built-in microphone picks up ambient noise causing voice commands to fail")</f>
        <v xml:space="preserve"> The built-in microphone picks up ambient noise causing voice commands to fail</v>
      </c>
    </row>
    <row r="1665" spans="1:3" ht="15.75" customHeight="1" x14ac:dyDescent="0.25">
      <c r="A1665" s="2" t="s">
        <v>1667</v>
      </c>
      <c r="B1665" s="3" t="s">
        <v>2</v>
      </c>
      <c r="C1665" s="2" t="str">
        <f ca="1">IFERROR(__xludf.DUMMYFUNCTION("GOOGLETRANSLATE(A1665,""bn"",""en"")"),"Good for fashion but not suitable for daily use")</f>
        <v>Good for fashion but not suitable for daily use</v>
      </c>
    </row>
    <row r="1666" spans="1:3" ht="15.75" customHeight="1" x14ac:dyDescent="0.25">
      <c r="A1666" s="2" t="s">
        <v>1668</v>
      </c>
      <c r="B1666" s="3" t="s">
        <v>4</v>
      </c>
      <c r="C1666" s="2" t="str">
        <f ca="1">IFERROR(__xludf.DUMMYFUNCTION("GOOGLETRANSLATE(A1666,""bn"",""en"")"),"It helps relieve pain")</f>
        <v>It helps relieve pain</v>
      </c>
    </row>
    <row r="1667" spans="1:3" ht="15.75" customHeight="1" x14ac:dyDescent="0.25">
      <c r="A1667" s="2" t="s">
        <v>1669</v>
      </c>
      <c r="B1667" s="3" t="s">
        <v>4</v>
      </c>
      <c r="C1667" s="2" t="str">
        <f ca="1">IFERROR(__xludf.DUMMYFUNCTION("GOOGLETRANSLATE(A1667,""bn"",""en"")"),"Strong magnet base not completely motionless pretty good for the price")</f>
        <v>Strong magnet base not completely motionless pretty good for the price</v>
      </c>
    </row>
    <row r="1668" spans="1:3" ht="15.75" customHeight="1" x14ac:dyDescent="0.25">
      <c r="A1668" s="2" t="s">
        <v>1670</v>
      </c>
      <c r="B1668" s="3" t="s">
        <v>4</v>
      </c>
      <c r="C1668" s="2" t="str">
        <f ca="1">IFERROR(__xludf.DUMMYFUNCTION("GOOGLETRANSLATE(A1668,""bn"",""en"")"),"The sole of the shoe is comfortable and durable")</f>
        <v>The sole of the shoe is comfortable and durable</v>
      </c>
    </row>
    <row r="1669" spans="1:3" ht="15.75" customHeight="1" x14ac:dyDescent="0.25">
      <c r="A1669" s="2" t="s">
        <v>1671</v>
      </c>
      <c r="B1669" s="3" t="s">
        <v>6</v>
      </c>
      <c r="C1669" s="2" t="str">
        <f ca="1">IFERROR(__xludf.DUMMYFUNCTION("GOOGLETRANSLATE(A1669,""bn"",""en"")")," The butter feels heavy and does not absorb quickly")</f>
        <v xml:space="preserve"> The butter feels heavy and does not absorb quickly</v>
      </c>
    </row>
    <row r="1670" spans="1:3" ht="15.75" customHeight="1" x14ac:dyDescent="0.25">
      <c r="A1670" s="2" t="s">
        <v>1672</v>
      </c>
      <c r="B1670" s="3" t="s">
        <v>6</v>
      </c>
      <c r="C1670" s="2" t="str">
        <f ca="1">IFERROR(__xludf.DUMMYFUNCTION("GOOGLETRANSLATE(A1670,""bn"",""en"")"),"Handles are sharp and poorly finished creating a risk of injury when opening and closing the door")</f>
        <v>Handles are sharp and poorly finished creating a risk of injury when opening and closing the door</v>
      </c>
    </row>
    <row r="1671" spans="1:3" ht="15.75" customHeight="1" x14ac:dyDescent="0.25">
      <c r="A1671" s="2" t="s">
        <v>1673</v>
      </c>
      <c r="B1671" s="3" t="s">
        <v>4</v>
      </c>
      <c r="C1671" s="2" t="str">
        <f ca="1">IFERROR(__xludf.DUMMYFUNCTION("GOOGLETRANSLATE(A1671,""bn"",""en"")"),"The color is very attractive and the design is very nice")</f>
        <v>The color is very attractive and the design is very nice</v>
      </c>
    </row>
    <row r="1672" spans="1:3" ht="15.75" customHeight="1" x14ac:dyDescent="0.25">
      <c r="A1672" s="2" t="s">
        <v>1674</v>
      </c>
      <c r="B1672" s="3" t="s">
        <v>2</v>
      </c>
      <c r="C1672" s="2" t="str">
        <f ca="1">IFERROR(__xludf.DUMMYFUNCTION("GOOGLETRANSLATE(A1672,""bn"",""en"")"),"Portable vacuum sealer bags seal food but the seal is weak")</f>
        <v>Portable vacuum sealer bags seal food but the seal is weak</v>
      </c>
    </row>
    <row r="1673" spans="1:3" ht="15.75" customHeight="1" x14ac:dyDescent="0.25">
      <c r="A1673" s="2" t="s">
        <v>1675</v>
      </c>
      <c r="B1673" s="3" t="s">
        <v>4</v>
      </c>
      <c r="C1673" s="2" t="str">
        <f ca="1">IFERROR(__xludf.DUMMYFUNCTION("GOOGLETRANSLATE(A1673,""bn"",""en"")"),"Its fluorescent display is easy to see even at night and there is no need to turn on the light to see the temperature")</f>
        <v>Its fluorescent display is easy to see even at night and there is no need to turn on the light to see the temperature</v>
      </c>
    </row>
    <row r="1674" spans="1:3" ht="15.75" customHeight="1" x14ac:dyDescent="0.25">
      <c r="A1674" s="2" t="s">
        <v>1676</v>
      </c>
      <c r="B1674" s="3" t="s">
        <v>2</v>
      </c>
      <c r="C1674" s="2" t="str">
        <f ca="1">IFERROR(__xludf.DUMMYFUNCTION("GOOGLETRANSLATE(A1674,""bn"",""en"")"),"It's a decent frame that satisfies me as it could have been more perfect with more options")</f>
        <v>It's a decent frame that satisfies me as it could have been more perfect with more options</v>
      </c>
    </row>
    <row r="1675" spans="1:3" ht="15.75" customHeight="1" x14ac:dyDescent="0.25">
      <c r="A1675" s="2" t="s">
        <v>1677</v>
      </c>
      <c r="B1675" s="3" t="s">
        <v>2</v>
      </c>
      <c r="C1675" s="2" t="str">
        <f ca="1">IFERROR(__xludf.DUMMYFUNCTION("GOOGLETRANSLATE(A1675,""bn"",""en"")"),"The image is visible but not very bright")</f>
        <v>The image is visible but not very bright</v>
      </c>
    </row>
    <row r="1676" spans="1:3" ht="15.75" customHeight="1" x14ac:dyDescent="0.25">
      <c r="A1676" s="2" t="s">
        <v>1678</v>
      </c>
      <c r="B1676" s="3" t="s">
        <v>4</v>
      </c>
      <c r="C1676" s="2" t="str">
        <f ca="1">IFERROR(__xludf.DUMMYFUNCTION("GOOGLETRANSLATE(A1676,""bn"",""en"")"),"A great computer camera for the price, don't miss the product ")</f>
        <v xml:space="preserve">A great computer camera for the price, don't miss the product </v>
      </c>
    </row>
    <row r="1677" spans="1:3" ht="15.75" customHeight="1" x14ac:dyDescent="0.25">
      <c r="A1677" s="2" t="s">
        <v>1679</v>
      </c>
      <c r="B1677" s="3" t="s">
        <v>6</v>
      </c>
      <c r="C1677" s="2" t="str">
        <f ca="1">IFERROR(__xludf.DUMMYFUNCTION("GOOGLETRANSLATE(A1677,""bn"",""en"")"),"Stained pages detract from the reading experience")</f>
        <v>Stained pages detract from the reading experience</v>
      </c>
    </row>
    <row r="1678" spans="1:3" ht="15.75" customHeight="1" x14ac:dyDescent="0.25">
      <c r="A1678" s="2" t="s">
        <v>1680</v>
      </c>
      <c r="B1678" s="3" t="s">
        <v>4</v>
      </c>
      <c r="C1678" s="2" t="str">
        <f ca="1">IFERROR(__xludf.DUMMYFUNCTION("GOOGLETRANSLATE(A1678,""bn"",""en"")"),"It is light and comfortable which provides comfort even in hot weather")</f>
        <v>It is light and comfortable which provides comfort even in hot weather</v>
      </c>
    </row>
    <row r="1679" spans="1:3" ht="15.75" customHeight="1" x14ac:dyDescent="0.25">
      <c r="A1679" s="2" t="s">
        <v>1681</v>
      </c>
      <c r="B1679" s="3" t="s">
        <v>4</v>
      </c>
      <c r="C1679" s="2" t="str">
        <f ca="1">IFERROR(__xludf.DUMMYFUNCTION("GOOGLETRANSLATE(A1679,""bn"",""en"")"),"Magnets are strong")</f>
        <v>Magnets are strong</v>
      </c>
    </row>
    <row r="1680" spans="1:3" ht="15.75" customHeight="1" x14ac:dyDescent="0.25">
      <c r="A1680" s="2" t="s">
        <v>1682</v>
      </c>
      <c r="B1680" s="3" t="s">
        <v>4</v>
      </c>
      <c r="C1680" s="2" t="str">
        <f ca="1">IFERROR(__xludf.DUMMYFUNCTION("GOOGLETRANSLATE(A1680,""bn"",""en"")"),"The bookshelf is perfect for everyday use")</f>
        <v>The bookshelf is perfect for everyday use</v>
      </c>
    </row>
    <row r="1681" spans="1:3" ht="15.75" customHeight="1" x14ac:dyDescent="0.25">
      <c r="A1681" s="2" t="s">
        <v>1683</v>
      </c>
      <c r="B1681" s="3" t="s">
        <v>2</v>
      </c>
      <c r="C1681" s="2" t="str">
        <f ca="1">IFERROR(__xludf.DUMMYFUNCTION("GOOGLETRANSLATE(A1681,""bn"",""en"")"),"Not sure if it can be used on carpet")</f>
        <v>Not sure if it can be used on carpet</v>
      </c>
    </row>
    <row r="1682" spans="1:3" ht="15.75" customHeight="1" x14ac:dyDescent="0.25">
      <c r="A1682" s="2" t="s">
        <v>1684</v>
      </c>
      <c r="B1682" s="3" t="s">
        <v>6</v>
      </c>
      <c r="C1682" s="2" t="str">
        <f ca="1">IFERROR(__xludf.DUMMYFUNCTION("GOOGLETRANSLATE(A1682,""bn"",""en"")"),"Brushes apply snow to the canvas")</f>
        <v>Brushes apply snow to the canvas</v>
      </c>
    </row>
    <row r="1683" spans="1:3" ht="15.75" customHeight="1" x14ac:dyDescent="0.25">
      <c r="A1683" s="2" t="s">
        <v>1685</v>
      </c>
      <c r="B1683" s="3" t="s">
        <v>2</v>
      </c>
      <c r="C1683" s="2" t="str">
        <f ca="1">IFERROR(__xludf.DUMMYFUNCTION("GOOGLETRANSLATE(A1683,""bn"",""en"")"),"Keeps kids busy for a while")</f>
        <v>Keeps kids busy for a while</v>
      </c>
    </row>
    <row r="1684" spans="1:3" ht="15.75" customHeight="1" x14ac:dyDescent="0.25">
      <c r="A1684" s="2" t="s">
        <v>1686</v>
      </c>
      <c r="B1684" s="3" t="s">
        <v>2</v>
      </c>
      <c r="C1684" s="2" t="str">
        <f ca="1">IFERROR(__xludf.DUMMYFUNCTION("GOOGLETRANSLATE(A1684,""bn"",""en"")"),"The hoop is sturdy but the fitting is difficult")</f>
        <v>The hoop is sturdy but the fitting is difficult</v>
      </c>
    </row>
    <row r="1685" spans="1:3" ht="15.75" customHeight="1" x14ac:dyDescent="0.25">
      <c r="A1685" s="2" t="s">
        <v>1687</v>
      </c>
      <c r="B1685" s="3" t="s">
        <v>6</v>
      </c>
      <c r="C1685" s="2" t="str">
        <f ca="1">IFERROR(__xludf.DUMMYFUNCTION("GOOGLETRANSLATE(A1685,""bn"",""en"")"),"Boxed cereal was high in sugar and lacked nutritional value by providing empty calories")</f>
        <v>Boxed cereal was high in sugar and lacked nutritional value by providing empty calories</v>
      </c>
    </row>
    <row r="1686" spans="1:3" ht="15.75" customHeight="1" x14ac:dyDescent="0.25">
      <c r="A1686" s="2" t="s">
        <v>1688</v>
      </c>
      <c r="B1686" s="3" t="s">
        <v>6</v>
      </c>
      <c r="C1686" s="2" t="str">
        <f ca="1">IFERROR(__xludf.DUMMYFUNCTION("GOOGLETRANSLATE(A1686,""bn"",""en"")"),"The shaky base of the electric kettle creates a safety hazard")</f>
        <v>The shaky base of the electric kettle creates a safety hazard</v>
      </c>
    </row>
    <row r="1687" spans="1:3" ht="15.75" customHeight="1" x14ac:dyDescent="0.25">
      <c r="A1687" s="2" t="s">
        <v>1689</v>
      </c>
      <c r="B1687" s="3" t="s">
        <v>4</v>
      </c>
      <c r="C1687" s="2" t="str">
        <f ca="1">IFERROR(__xludf.DUMMYFUNCTION("GOOGLETRANSLATE(A1687,""bn"",""en"")"),"The child plays with his toys all day long")</f>
        <v>The child plays with his toys all day long</v>
      </c>
    </row>
    <row r="1688" spans="1:3" ht="15.75" customHeight="1" x14ac:dyDescent="0.25">
      <c r="A1688" s="2" t="s">
        <v>1690</v>
      </c>
      <c r="B1688" s="3" t="s">
        <v>4</v>
      </c>
      <c r="C1688" s="2" t="str">
        <f ca="1">IFERROR(__xludf.DUMMYFUNCTION("GOOGLETRANSLATE(A1688,""bn"",""en"")"),"I am very inspired after reading the book")</f>
        <v>I am very inspired after reading the book</v>
      </c>
    </row>
    <row r="1689" spans="1:3" ht="15.75" customHeight="1" x14ac:dyDescent="0.25">
      <c r="A1689" s="2" t="s">
        <v>1691</v>
      </c>
      <c r="B1689" s="3" t="s">
        <v>4</v>
      </c>
      <c r="C1689" s="2" t="str">
        <f ca="1">IFERROR(__xludf.DUMMYFUNCTION("GOOGLETRANSLATE(A1689,""bn"",""en"")"),"All the students in our class are very attentive")</f>
        <v>All the students in our class are very attentive</v>
      </c>
    </row>
    <row r="1690" spans="1:3" ht="15.75" customHeight="1" x14ac:dyDescent="0.25">
      <c r="A1690" s="2" t="s">
        <v>1692</v>
      </c>
      <c r="B1690" s="3" t="s">
        <v>2</v>
      </c>
      <c r="C1690" s="2" t="str">
        <f ca="1">IFERROR(__xludf.DUMMYFUNCTION("GOOGLETRANSLATE(A1690,""bn"",""en"")"),"The drink is good but the quantity is little")</f>
        <v>The drink is good but the quantity is little</v>
      </c>
    </row>
    <row r="1691" spans="1:3" ht="15.75" customHeight="1" x14ac:dyDescent="0.25">
      <c r="A1691" s="2" t="s">
        <v>1693</v>
      </c>
      <c r="B1691" s="3" t="s">
        <v>6</v>
      </c>
      <c r="C1691" s="2" t="str">
        <f ca="1">IFERROR(__xludf.DUMMYFUNCTION("GOOGLETRANSLATE(A1691,""bn"",""en"")"),"Cheap packaging did not protect the item during shipping")</f>
        <v>Cheap packaging did not protect the item during shipping</v>
      </c>
    </row>
    <row r="1692" spans="1:3" ht="15.75" customHeight="1" x14ac:dyDescent="0.25">
      <c r="A1692" s="2" t="s">
        <v>1694</v>
      </c>
      <c r="B1692" s="3" t="s">
        <v>6</v>
      </c>
      <c r="C1692" s="2" t="str">
        <f ca="1">IFERROR(__xludf.DUMMYFUNCTION("GOOGLETRANSLATE(A1692,""bn"",""en"")"),"Despite being described as nickel free the jewelry caused a severe allergic reaction on my skin leaving it red swollen and itchy.")</f>
        <v>Despite being described as nickel free the jewelry caused a severe allergic reaction on my skin leaving it red swollen and itchy.</v>
      </c>
    </row>
    <row r="1693" spans="1:3" ht="15.75" customHeight="1" x14ac:dyDescent="0.25">
      <c r="A1693" s="2" t="s">
        <v>1695</v>
      </c>
      <c r="B1693" s="3" t="s">
        <v>2</v>
      </c>
      <c r="C1693" s="2" t="str">
        <f ca="1">IFERROR(__xludf.DUMMYFUNCTION("GOOGLETRANSLATE(A1693,""bn"",""en"")"),"The product design is shown to everyone")</f>
        <v>The product design is shown to everyone</v>
      </c>
    </row>
    <row r="1694" spans="1:3" ht="15.75" customHeight="1" x14ac:dyDescent="0.25">
      <c r="A1694" s="2" t="s">
        <v>1696</v>
      </c>
      <c r="B1694" s="3" t="s">
        <v>2</v>
      </c>
      <c r="C1694" s="2" t="str">
        <f ca="1">IFERROR(__xludf.DUMMYFUNCTION("GOOGLETRANSLATE(A1694,""bn"",""en"")"),"The drinks are good but the price seems a bit high")</f>
        <v>The drinks are good but the price seems a bit high</v>
      </c>
    </row>
    <row r="1695" spans="1:3" ht="15.75" customHeight="1" x14ac:dyDescent="0.25">
      <c r="A1695" s="2" t="s">
        <v>1697</v>
      </c>
      <c r="B1695" s="3" t="s">
        <v>4</v>
      </c>
      <c r="C1695" s="2" t="str">
        <f ca="1">IFERROR(__xludf.DUMMYFUNCTION("GOOGLETRANSLATE(A1695,""bn"",""en"")"),"Every tiny part is also painted with great care")</f>
        <v>Every tiny part is also painted with great care</v>
      </c>
    </row>
    <row r="1696" spans="1:3" ht="15.75" customHeight="1" x14ac:dyDescent="0.25">
      <c r="A1696" s="2" t="s">
        <v>1698</v>
      </c>
      <c r="B1696" s="3" t="s">
        <v>2</v>
      </c>
      <c r="C1696" s="2" t="str">
        <f ca="1">IFERROR(__xludf.DUMMYFUNCTION("GOOGLETRANSLATE(A1696,""bn"",""en"")"),"The weight of the ball is a bit heavy, but it's fine for practice")</f>
        <v>The weight of the ball is a bit heavy, but it's fine for practice</v>
      </c>
    </row>
    <row r="1697" spans="1:3" ht="15.75" customHeight="1" x14ac:dyDescent="0.25">
      <c r="A1697" s="2" t="s">
        <v>1699</v>
      </c>
      <c r="B1697" s="3" t="s">
        <v>4</v>
      </c>
      <c r="C1697" s="2" t="str">
        <f ca="1">IFERROR(__xludf.DUMMYFUNCTION("GOOGLETRANSLATE(A1697,""bn"",""en"")"),"It also keeps the battery life of my device good")</f>
        <v>It also keeps the battery life of my device good</v>
      </c>
    </row>
    <row r="1698" spans="1:3" ht="15.75" customHeight="1" x14ac:dyDescent="0.25">
      <c r="A1698" s="2" t="s">
        <v>1700</v>
      </c>
      <c r="B1698" s="3" t="s">
        <v>6</v>
      </c>
      <c r="C1698" s="2" t="str">
        <f ca="1">IFERROR(__xludf.DUMMYFUNCTION("GOOGLETRANSLATE(A1698,""bn"",""en"")"),"Rapid color fading makes it look prematurely old")</f>
        <v>Rapid color fading makes it look prematurely old</v>
      </c>
    </row>
    <row r="1699" spans="1:3" ht="15.75" customHeight="1" x14ac:dyDescent="0.25">
      <c r="A1699" s="2" t="s">
        <v>1701</v>
      </c>
      <c r="B1699" s="3" t="s">
        <v>6</v>
      </c>
      <c r="C1699" s="2" t="str">
        <f ca="1">IFERROR(__xludf.DUMMYFUNCTION("GOOGLETRANSLATE(A1699,""bn"",""en"")"),"Makeup remover irritates the skin and leaves a sticky residue behind")</f>
        <v>Makeup remover irritates the skin and leaves a sticky residue behind</v>
      </c>
    </row>
    <row r="1700" spans="1:3" ht="15.75" customHeight="1" x14ac:dyDescent="0.25">
      <c r="A1700" s="2" t="s">
        <v>1702</v>
      </c>
      <c r="B1700" s="3" t="s">
        <v>6</v>
      </c>
      <c r="C1700" s="2" t="str">
        <f ca="1">IFERROR(__xludf.DUMMYFUNCTION("GOOGLETRANSLATE(A1700,""bn"",""en"")"),"  Edges are sharp and poorly finished creating a safety hazard especially for children")</f>
        <v xml:space="preserve">  Edges are sharp and poorly finished creating a safety hazard especially for children</v>
      </c>
    </row>
    <row r="1701" spans="1:3" ht="15.75" customHeight="1" x14ac:dyDescent="0.25">
      <c r="A1701" s="2" t="s">
        <v>1703</v>
      </c>
      <c r="B1701" s="3" t="s">
        <v>2</v>
      </c>
      <c r="C1701" s="2" t="str">
        <f ca="1">IFERROR(__xludf.DUMMYFUNCTION("GOOGLETRANSLATE(A1701,""bn"",""en"")"),"The standard is of general level")</f>
        <v>The standard is of general level</v>
      </c>
    </row>
    <row r="1702" spans="1:3" ht="15.75" customHeight="1" x14ac:dyDescent="0.25">
      <c r="A1702" s="2" t="s">
        <v>1704</v>
      </c>
      <c r="B1702" s="3" t="s">
        <v>4</v>
      </c>
      <c r="C1702" s="2" t="str">
        <f ca="1">IFERROR(__xludf.DUMMYFUNCTION("GOOGLETRANSLATE(A1702,""bn"",""en"")"),"Makeup brushes are essential for a variety of styles")</f>
        <v>Makeup brushes are essential for a variety of styles</v>
      </c>
    </row>
    <row r="1703" spans="1:3" ht="15.75" customHeight="1" x14ac:dyDescent="0.25">
      <c r="A1703" s="2" t="s">
        <v>1705</v>
      </c>
      <c r="B1703" s="3" t="s">
        <v>2</v>
      </c>
      <c r="C1703" s="2" t="str">
        <f ca="1">IFERROR(__xludf.DUMMYFUNCTION("GOOGLETRANSLATE(A1703,""bn"",""en"")"),"The reliability of the attractive tilt protection camera is still not guaranteed")</f>
        <v>The reliability of the attractive tilt protection camera is still not guaranteed</v>
      </c>
    </row>
    <row r="1704" spans="1:3" ht="15.75" customHeight="1" x14ac:dyDescent="0.25">
      <c r="A1704" s="2" t="s">
        <v>1706</v>
      </c>
      <c r="B1704" s="3" t="s">
        <v>6</v>
      </c>
      <c r="C1704" s="2" t="str">
        <f ca="1">IFERROR(__xludf.DUMMYFUNCTION("GOOGLETRANSLATE(A1704,""bn"",""en"")"),"Power banks do not hold charge for long and need to be recharged frequently")</f>
        <v>Power banks do not hold charge for long and need to be recharged frequently</v>
      </c>
    </row>
    <row r="1705" spans="1:3" ht="15.75" customHeight="1" x14ac:dyDescent="0.25">
      <c r="A1705" s="2" t="s">
        <v>1707</v>
      </c>
      <c r="B1705" s="3" t="s">
        <v>2</v>
      </c>
      <c r="C1705" s="2" t="str">
        <f ca="1">IFERROR(__xludf.DUMMYFUNCTION("GOOGLETRANSLATE(A1705,""bn"",""en"")"),"Nice for fashion but not very comfortable")</f>
        <v>Nice for fashion but not very comfortable</v>
      </c>
    </row>
    <row r="1706" spans="1:3" ht="15.75" customHeight="1" x14ac:dyDescent="0.25">
      <c r="A1706" s="2" t="s">
        <v>1708</v>
      </c>
      <c r="B1706" s="3" t="s">
        <v>6</v>
      </c>
      <c r="C1706" s="2" t="str">
        <f ca="1">IFERROR(__xludf.DUMMYFUNCTION("GOOGLETRANSLATE(A1706,""bn"",""en"")"),"Inconsistent performance Poor quality control")</f>
        <v>Inconsistent performance Poor quality control</v>
      </c>
    </row>
    <row r="1707" spans="1:3" ht="15.75" customHeight="1" x14ac:dyDescent="0.25">
      <c r="A1707" s="2" t="s">
        <v>1709</v>
      </c>
      <c r="B1707" s="3" t="s">
        <v>4</v>
      </c>
      <c r="C1707" s="2" t="str">
        <f ca="1">IFERROR(__xludf.DUMMYFUNCTION("GOOGLETRANSLATE(A1707,""bn"",""en"")"),"This is a very beautiful and modern fan")</f>
        <v>This is a very beautiful and modern fan</v>
      </c>
    </row>
    <row r="1708" spans="1:3" ht="15.75" customHeight="1" x14ac:dyDescent="0.25">
      <c r="A1708" s="2" t="s">
        <v>1710</v>
      </c>
      <c r="B1708" s="3" t="s">
        <v>6</v>
      </c>
      <c r="C1708" s="2" t="str">
        <f ca="1">IFERROR(__xludf.DUMMYFUNCTION("GOOGLETRANSLATE(A1708,""bn"",""en"")"),"Frustrating experience trying to reach customer service for help with product issues")</f>
        <v>Frustrating experience trying to reach customer service for help with product issues</v>
      </c>
    </row>
    <row r="1709" spans="1:3" ht="15.75" customHeight="1" x14ac:dyDescent="0.25">
      <c r="A1709" s="2" t="s">
        <v>1711</v>
      </c>
      <c r="B1709" s="3" t="s">
        <v>2</v>
      </c>
      <c r="C1709" s="2" t="str">
        <f ca="1">IFERROR(__xludf.DUMMYFUNCTION("GOOGLETRANSLATE(A1709,""bn"",""en"")"),"Some plants did well but the fertilizer was not very effective")</f>
        <v>Some plants did well but the fertilizer was not very effective</v>
      </c>
    </row>
    <row r="1710" spans="1:3" ht="15.75" customHeight="1" x14ac:dyDescent="0.25">
      <c r="A1710" s="2" t="s">
        <v>1712</v>
      </c>
      <c r="B1710" s="3" t="s">
        <v>4</v>
      </c>
      <c r="C1710" s="2" t="str">
        <f ca="1">IFERROR(__xludf.DUMMYFUNCTION("GOOGLETRANSLATE(A1710,""bn"",""en"")"),"Beauty soap maintains the skin's natural oils")</f>
        <v>Beauty soap maintains the skin's natural oils</v>
      </c>
    </row>
    <row r="1711" spans="1:3" ht="15.75" customHeight="1" x14ac:dyDescent="0.25">
      <c r="A1711" s="2" t="s">
        <v>1713</v>
      </c>
      <c r="B1711" s="3" t="s">
        <v>2</v>
      </c>
      <c r="C1711" s="2" t="str">
        <f ca="1">IFERROR(__xludf.DUMMYFUNCTION("GOOGLETRANSLATE(A1711,""bn"",""en"")"),"The product is good but has some limitations")</f>
        <v>The product is good but has some limitations</v>
      </c>
    </row>
    <row r="1712" spans="1:3" ht="15.75" customHeight="1" x14ac:dyDescent="0.25">
      <c r="A1712" s="2" t="s">
        <v>1714</v>
      </c>
      <c r="B1712" s="3" t="s">
        <v>4</v>
      </c>
      <c r="C1712" s="2" t="str">
        <f ca="1">IFERROR(__xludf.DUMMYFUNCTION("GOOGLETRANSLATE(A1712,""bn"",""en"")"),"The design of the watch keeps pace with the times")</f>
        <v>The design of the watch keeps pace with the times</v>
      </c>
    </row>
    <row r="1713" spans="1:3" ht="15.75" customHeight="1" x14ac:dyDescent="0.25">
      <c r="A1713" s="2" t="s">
        <v>1715</v>
      </c>
      <c r="B1713" s="3" t="s">
        <v>2</v>
      </c>
      <c r="C1713" s="2" t="str">
        <f ca="1">IFERROR(__xludf.DUMMYFUNCTION("GOOGLETRANSLATE(A1713,""bn"",""en"")"),"Nail size looks bigger than expected")</f>
        <v>Nail size looks bigger than expected</v>
      </c>
    </row>
    <row r="1714" spans="1:3" ht="15.75" customHeight="1" x14ac:dyDescent="0.25">
      <c r="A1714" s="2" t="s">
        <v>1716</v>
      </c>
      <c r="B1714" s="3" t="s">
        <v>4</v>
      </c>
      <c r="C1714" s="2" t="str">
        <f ca="1">IFERROR(__xludf.DUMMYFUNCTION("GOOGLETRANSLATE(A1714,""bn"",""en"")"),"There is a sharpener in the box which is very handy")</f>
        <v>There is a sharpener in the box which is very handy</v>
      </c>
    </row>
    <row r="1715" spans="1:3" ht="15.75" customHeight="1" x14ac:dyDescent="0.25">
      <c r="A1715" s="2" t="s">
        <v>1717</v>
      </c>
      <c r="B1715" s="3" t="s">
        <v>4</v>
      </c>
      <c r="C1715" s="2" t="str">
        <f ca="1">IFERROR(__xludf.DUMMYFUNCTION("GOOGLETRANSLATE(A1715,""bn"",""en"")"),"The battery backup of the device is excellent")</f>
        <v>The battery backup of the device is excellent</v>
      </c>
    </row>
    <row r="1716" spans="1:3" ht="15.75" customHeight="1" x14ac:dyDescent="0.25">
      <c r="A1716" s="2" t="s">
        <v>1718</v>
      </c>
      <c r="B1716" s="3" t="s">
        <v>6</v>
      </c>
      <c r="C1716" s="2" t="str">
        <f ca="1">IFERROR(__xludf.DUMMYFUNCTION("GOOGLETRANSLATE(A1716,""bn"",""en"")"),"Avoid terrible qualities if possible")</f>
        <v>Avoid terrible qualities if possible</v>
      </c>
    </row>
    <row r="1717" spans="1:3" ht="15.75" customHeight="1" x14ac:dyDescent="0.25">
      <c r="A1717" s="2" t="s">
        <v>1719</v>
      </c>
      <c r="B1717" s="3" t="s">
        <v>4</v>
      </c>
      <c r="C1717" s="2" t="str">
        <f ca="1">IFERROR(__xludf.DUMMYFUNCTION("GOOGLETRANSLATE(A1717,""bn"",""en"")"),"Packed very tightly ")</f>
        <v xml:space="preserve">Packed very tightly </v>
      </c>
    </row>
    <row r="1718" spans="1:3" ht="15.75" customHeight="1" x14ac:dyDescent="0.25">
      <c r="A1718" s="2" t="s">
        <v>1720</v>
      </c>
      <c r="B1718" s="3" t="s">
        <v>2</v>
      </c>
      <c r="C1718" s="2" t="str">
        <f ca="1">IFERROR(__xludf.DUMMYFUNCTION("GOOGLETRANSLATE(A1718,""bn"",""en"")"),"The stitch work was fine but it seems a bit weak")</f>
        <v>The stitch work was fine but it seems a bit weak</v>
      </c>
    </row>
    <row r="1719" spans="1:3" ht="15.75" customHeight="1" x14ac:dyDescent="0.25">
      <c r="A1719" s="2" t="s">
        <v>1721</v>
      </c>
      <c r="B1719" s="3" t="s">
        <v>4</v>
      </c>
      <c r="C1719" s="2" t="str">
        <f ca="1">IFERROR(__xludf.DUMMYFUNCTION("GOOGLETRANSLATE(A1719,""bn"",""en"")"),"Something to keep for a long time")</f>
        <v>Something to keep for a long time</v>
      </c>
    </row>
    <row r="1720" spans="1:3" ht="15.75" customHeight="1" x14ac:dyDescent="0.25">
      <c r="A1720" s="2" t="s">
        <v>1722</v>
      </c>
      <c r="B1720" s="3" t="s">
        <v>2</v>
      </c>
      <c r="C1720" s="2" t="str">
        <f ca="1">IFERROR(__xludf.DUMMYFUNCTION("GOOGLETRANSLATE(A1720,""bn"",""en"")"),"A screen protector is needed to protect the screen prone to scratches easily")</f>
        <v>A screen protector is needed to protect the screen prone to scratches easily</v>
      </c>
    </row>
    <row r="1721" spans="1:3" ht="15.75" customHeight="1" x14ac:dyDescent="0.25">
      <c r="A1721" s="2" t="s">
        <v>1723</v>
      </c>
      <c r="B1721" s="3" t="s">
        <v>6</v>
      </c>
      <c r="C1721" s="2" t="str">
        <f ca="1">IFERROR(__xludf.DUMMYFUNCTION("GOOGLETRANSLATE(A1721,""bn"",""en"")"),"Irresistible product inadequate execution")</f>
        <v>Irresistible product inadequate execution</v>
      </c>
    </row>
    <row r="1722" spans="1:3" ht="15.75" customHeight="1" x14ac:dyDescent="0.25">
      <c r="A1722" s="2" t="s">
        <v>1724</v>
      </c>
      <c r="B1722" s="3" t="s">
        <v>6</v>
      </c>
      <c r="C1722" s="2" t="str">
        <f ca="1">IFERROR(__xludf.DUMMYFUNCTION("GOOGLETRANSLATE(A1722,""bn"",""en"")"),"Handles are poorly attached and come loose easily creating a risk of injury")</f>
        <v>Handles are poorly attached and come loose easily creating a risk of injury</v>
      </c>
    </row>
    <row r="1723" spans="1:3" ht="15.75" customHeight="1" x14ac:dyDescent="0.25">
      <c r="A1723" s="2" t="s">
        <v>1725</v>
      </c>
      <c r="B1723" s="3" t="s">
        <v>4</v>
      </c>
      <c r="C1723" s="2" t="str">
        <f ca="1">IFERROR(__xludf.DUMMYFUNCTION("GOOGLETRANSLATE(A1723,""bn"",""en"")"),"Affordable and easy to use")</f>
        <v>Affordable and easy to use</v>
      </c>
    </row>
    <row r="1724" spans="1:3" ht="15.75" customHeight="1" x14ac:dyDescent="0.25">
      <c r="A1724" s="2" t="s">
        <v>1726</v>
      </c>
      <c r="B1724" s="3" t="s">
        <v>2</v>
      </c>
      <c r="C1724" s="2" t="str">
        <f ca="1">IFERROR(__xludf.DUMMYFUNCTION("GOOGLETRANSLATE(A1724,""bn"",""en"")"),"Affordable but not perfect")</f>
        <v>Affordable but not perfect</v>
      </c>
    </row>
    <row r="1725" spans="1:3" ht="15.75" customHeight="1" x14ac:dyDescent="0.25">
      <c r="A1725" s="2" t="s">
        <v>1727</v>
      </c>
      <c r="B1725" s="3" t="s">
        <v>2</v>
      </c>
      <c r="C1725" s="2" t="str">
        <f ca="1">IFERROR(__xludf.DUMMYFUNCTION("GOOGLETRANSLATE(A1725,""bn"",""en"")"),"It is not easy to use, there are some problems")</f>
        <v>It is not easy to use, there are some problems</v>
      </c>
    </row>
    <row r="1726" spans="1:3" ht="15.75" customHeight="1" x14ac:dyDescent="0.25">
      <c r="A1726" s="2" t="s">
        <v>1728</v>
      </c>
      <c r="B1726" s="3" t="s">
        <v>2</v>
      </c>
      <c r="C1726" s="2" t="str">
        <f ca="1">IFERROR(__xludf.DUMMYFUNCTION("GOOGLETRANSLATE(A1726,""bn"",""en"")"),"It is satisfactory but there are better options")</f>
        <v>It is satisfactory but there are better options</v>
      </c>
    </row>
    <row r="1727" spans="1:3" ht="15.75" customHeight="1" x14ac:dyDescent="0.25">
      <c r="A1727" s="2" t="s">
        <v>1729</v>
      </c>
      <c r="B1727" s="3" t="s">
        <v>6</v>
      </c>
      <c r="C1727" s="2" t="str">
        <f ca="1">IFERROR(__xludf.DUMMYFUNCTION("GOOGLETRANSLATE(A1727,""bn"",""en"")"),"Faulty hair straightener temperature control causes hair to overheat")</f>
        <v>Faulty hair straightener temperature control causes hair to overheat</v>
      </c>
    </row>
    <row r="1728" spans="1:3" ht="15.75" customHeight="1" x14ac:dyDescent="0.25">
      <c r="A1728" s="2" t="s">
        <v>1730</v>
      </c>
      <c r="B1728" s="3" t="s">
        <v>2</v>
      </c>
      <c r="C1728" s="2" t="str">
        <f ca="1">IFERROR(__xludf.DUMMYFUNCTION("GOOGLETRANSLATE(A1728,""bn"",""en"")"),"The work requires regular changes")</f>
        <v>The work requires regular changes</v>
      </c>
    </row>
    <row r="1729" spans="1:3" ht="15.75" customHeight="1" x14ac:dyDescent="0.25">
      <c r="A1729" s="2" t="s">
        <v>1731</v>
      </c>
      <c r="B1729" s="3" t="s">
        <v>2</v>
      </c>
      <c r="C1729" s="2" t="str">
        <f ca="1">IFERROR(__xludf.DUMMYFUNCTION("GOOGLETRANSLATE(A1729,""bn"",""en"")"),"There is a possibility of folding")</f>
        <v>There is a possibility of folding</v>
      </c>
    </row>
    <row r="1730" spans="1:3" ht="15.75" customHeight="1" x14ac:dyDescent="0.25">
      <c r="A1730" s="2" t="s">
        <v>1732</v>
      </c>
      <c r="B1730" s="3" t="s">
        <v>6</v>
      </c>
      <c r="C1730" s="2" t="str">
        <f ca="1">IFERROR(__xludf.DUMMYFUNCTION("GOOGLETRANSLATE(A1730,""bn"",""en"")"),"Bath salt packaging was difficult to open requiring scissors")</f>
        <v>Bath salt packaging was difficult to open requiring scissors</v>
      </c>
    </row>
    <row r="1731" spans="1:3" ht="15.75" customHeight="1" x14ac:dyDescent="0.25">
      <c r="A1731" s="2" t="s">
        <v>1733</v>
      </c>
      <c r="B1731" s="3" t="s">
        <v>2</v>
      </c>
      <c r="C1731" s="2" t="str">
        <f ca="1">IFERROR(__xludf.DUMMYFUNCTION("GOOGLETRANSLATE(A1731,""bn"",""en"")"),"Quality is ok but room for some improvement")</f>
        <v>Quality is ok but room for some improvement</v>
      </c>
    </row>
    <row r="1732" spans="1:3" ht="15.75" customHeight="1" x14ac:dyDescent="0.25">
      <c r="A1732" s="2" t="s">
        <v>1734</v>
      </c>
      <c r="B1732" s="3" t="s">
        <v>2</v>
      </c>
      <c r="C1732" s="2" t="str">
        <f ca="1">IFERROR(__xludf.DUMMYFUNCTION("GOOGLETRANSLATE(A1732,""bn"",""en"")"),"It seems safe but small parts can come apart")</f>
        <v>It seems safe but small parts can come apart</v>
      </c>
    </row>
    <row r="1733" spans="1:3" ht="15.75" customHeight="1" x14ac:dyDescent="0.25">
      <c r="A1733" s="2" t="s">
        <v>1735</v>
      </c>
      <c r="B1733" s="3" t="s">
        <v>6</v>
      </c>
      <c r="C1733" s="2" t="str">
        <f ca="1">IFERROR(__xludf.DUMMYFUNCTION("GOOGLETRANSLATE(A1733,""bn"",""en"")"),"Buy elsewhere for crappy and overpriced")</f>
        <v>Buy elsewhere for crappy and overpriced</v>
      </c>
    </row>
    <row r="1734" spans="1:3" ht="15.75" customHeight="1" x14ac:dyDescent="0.25">
      <c r="A1734" s="2" t="s">
        <v>1736</v>
      </c>
      <c r="B1734" s="3" t="s">
        <v>2</v>
      </c>
      <c r="C1734" s="2" t="str">
        <f ca="1">IFERROR(__xludf.DUMMYFUNCTION("GOOGLETRANSLATE(A1734,""bn"",""en"")"),"The top of the pad felt a bit soft")</f>
        <v>The top of the pad felt a bit soft</v>
      </c>
    </row>
    <row r="1735" spans="1:3" ht="15.75" customHeight="1" x14ac:dyDescent="0.25">
      <c r="A1735" s="2" t="s">
        <v>1737</v>
      </c>
      <c r="B1735" s="3" t="s">
        <v>6</v>
      </c>
      <c r="C1735" s="2" t="str">
        <f ca="1">IFERROR(__xludf.DUMMYFUNCTION("GOOGLETRANSLATE(A1735,""bn"",""en"")"),"Rechargeable flashlights lose charge quickly and are not reliable in emergencies")</f>
        <v>Rechargeable flashlights lose charge quickly and are not reliable in emergencies</v>
      </c>
    </row>
    <row r="1736" spans="1:3" ht="15.75" customHeight="1" x14ac:dyDescent="0.25">
      <c r="A1736" s="2" t="s">
        <v>1738</v>
      </c>
      <c r="B1736" s="3" t="s">
        <v>6</v>
      </c>
      <c r="C1736" s="2" t="str">
        <f ca="1">IFERROR(__xludf.DUMMYFUNCTION("GOOGLETRANSLATE(A1736,""bn"",""en"")"),"Lid seals are prone to corrosion from sunlight exposure")</f>
        <v>Lid seals are prone to corrosion from sunlight exposure</v>
      </c>
    </row>
    <row r="1737" spans="1:3" ht="15.75" customHeight="1" x14ac:dyDescent="0.25">
      <c r="A1737" s="2" t="s">
        <v>1739</v>
      </c>
      <c r="B1737" s="3" t="s">
        <v>2</v>
      </c>
      <c r="C1737" s="2" t="str">
        <f ca="1">IFERROR(__xludf.DUMMYFUNCTION("GOOGLETRANSLATE(A1737,""bn"",""en"")"),"Audio quality will be better than expected")</f>
        <v>Audio quality will be better than expected</v>
      </c>
    </row>
    <row r="1738" spans="1:3" ht="15.75" customHeight="1" x14ac:dyDescent="0.25">
      <c r="A1738" s="2" t="s">
        <v>1740</v>
      </c>
      <c r="B1738" s="3" t="s">
        <v>4</v>
      </c>
      <c r="C1738" s="2" t="str">
        <f ca="1">IFERROR(__xludf.DUMMYFUNCTION("GOOGLETRANSLATE(A1738,""bn"",""en"")"),"The design of the earrings is very beautiful")</f>
        <v>The design of the earrings is very beautiful</v>
      </c>
    </row>
    <row r="1739" spans="1:3" ht="15.75" customHeight="1" x14ac:dyDescent="0.25">
      <c r="A1739" s="2" t="s">
        <v>1741</v>
      </c>
      <c r="B1739" s="3" t="s">
        <v>2</v>
      </c>
      <c r="C1739" s="2" t="str">
        <f ca="1">IFERROR(__xludf.DUMMYFUNCTION("GOOGLETRANSLATE(A1739,""bn"",""en"")"),"The foam of the toothpaste is medium")</f>
        <v>The foam of the toothpaste is medium</v>
      </c>
    </row>
    <row r="1740" spans="1:3" ht="15.75" customHeight="1" x14ac:dyDescent="0.25">
      <c r="A1740" s="2" t="s">
        <v>1742</v>
      </c>
      <c r="B1740" s="3" t="s">
        <v>6</v>
      </c>
      <c r="C1740" s="2" t="str">
        <f ca="1">IFERROR(__xludf.DUMMYFUNCTION("GOOGLETRANSLATE(A1740,""bn"",""en"")"),"The travel essential has become anything but")</f>
        <v>The travel essential has become anything but</v>
      </c>
    </row>
    <row r="1741" spans="1:3" ht="15.75" customHeight="1" x14ac:dyDescent="0.25">
      <c r="A1741" s="2" t="s">
        <v>1743</v>
      </c>
      <c r="B1741" s="3" t="s">
        <v>4</v>
      </c>
      <c r="C1741" s="2" t="str">
        <f ca="1">IFERROR(__xludf.DUMMYFUNCTION("GOOGLETRANSLATE(A1741,""bn"",""en"")"),"Kids love it too")</f>
        <v>Kids love it too</v>
      </c>
    </row>
    <row r="1742" spans="1:3" ht="15.75" customHeight="1" x14ac:dyDescent="0.25">
      <c r="A1742" s="2" t="s">
        <v>1744</v>
      </c>
      <c r="B1742" s="3" t="s">
        <v>2</v>
      </c>
      <c r="C1742" s="2" t="str">
        <f ca="1">IFERROR(__xludf.DUMMYFUNCTION("GOOGLETRANSLATE(A1742,""bn"",""en"")"),"Looks good but size is small")</f>
        <v>Looks good but size is small</v>
      </c>
    </row>
    <row r="1743" spans="1:3" ht="15.75" customHeight="1" x14ac:dyDescent="0.25">
      <c r="A1743" s="2" t="s">
        <v>1745</v>
      </c>
      <c r="B1743" s="3" t="s">
        <v>4</v>
      </c>
      <c r="C1743" s="2" t="str">
        <f ca="1">IFERROR(__xludf.DUMMYFUNCTION("GOOGLETRANSLATE(A1743,""bn"",""en"")"),"Its flavor is so rich that I never add cream or sugar")</f>
        <v>Its flavor is so rich that I never add cream or sugar</v>
      </c>
    </row>
    <row r="1744" spans="1:3" ht="15.75" customHeight="1" x14ac:dyDescent="0.25">
      <c r="A1744" s="2" t="s">
        <v>1746</v>
      </c>
      <c r="B1744" s="3" t="s">
        <v>4</v>
      </c>
      <c r="C1744" s="2" t="str">
        <f ca="1">IFERROR(__xludf.DUMMYFUNCTION("GOOGLETRANSLATE(A1744,""bn"",""en"")"),"Easy to install and use")</f>
        <v>Easy to install and use</v>
      </c>
    </row>
    <row r="1745" spans="1:3" ht="15.75" customHeight="1" x14ac:dyDescent="0.25">
      <c r="A1745" s="2" t="s">
        <v>1747</v>
      </c>
      <c r="B1745" s="3" t="s">
        <v>6</v>
      </c>
      <c r="C1745" s="2" t="str">
        <f ca="1">IFERROR(__xludf.DUMMYFUNCTION("GOOGLETRANSLATE(A1745,""bn"",""en"")"),"The motion sensor of the solar powered LED light is highly sensitive and triggers unnecessarily")</f>
        <v>The motion sensor of the solar powered LED light is highly sensitive and triggers unnecessarily</v>
      </c>
    </row>
    <row r="1746" spans="1:3" ht="15.75" customHeight="1" x14ac:dyDescent="0.25">
      <c r="A1746" s="2" t="s">
        <v>1748</v>
      </c>
      <c r="B1746" s="3" t="s">
        <v>2</v>
      </c>
      <c r="C1746" s="2" t="str">
        <f ca="1">IFERROR(__xludf.DUMMYFUNCTION("GOOGLETRANSLATE(A1746,""bn"",""en"")"),"Earbuds work but don't stay securely in the ear")</f>
        <v>Earbuds work but don't stay securely in the ear</v>
      </c>
    </row>
    <row r="1747" spans="1:3" ht="15.75" customHeight="1" x14ac:dyDescent="0.25">
      <c r="A1747" s="2" t="s">
        <v>1749</v>
      </c>
      <c r="B1747" s="3" t="s">
        <v>6</v>
      </c>
      <c r="C1747" s="2" t="str">
        <f ca="1">IFERROR(__xludf.DUMMYFUNCTION("GOOGLETRANSLATE(A1747,""bn"",""en"")"),"  The hem was uneven giving it an unprofessional and unfinished look")</f>
        <v xml:space="preserve">  The hem was uneven giving it an unprofessional and unfinished look</v>
      </c>
    </row>
    <row r="1748" spans="1:3" ht="15.75" customHeight="1" x14ac:dyDescent="0.25">
      <c r="A1748" s="2" t="s">
        <v>1750</v>
      </c>
      <c r="B1748" s="3" t="s">
        <v>6</v>
      </c>
      <c r="C1748" s="2" t="str">
        <f ca="1">IFERROR(__xludf.DUMMYFUNCTION("GOOGLETRANSLATE(A1748,""bn"",""en"")"),"Paintbrush bristles fall off leaving stray hairs when painting")</f>
        <v>Paintbrush bristles fall off leaving stray hairs when painting</v>
      </c>
    </row>
    <row r="1749" spans="1:3" ht="15.75" customHeight="1" x14ac:dyDescent="0.25">
      <c r="A1749" s="2" t="s">
        <v>1751</v>
      </c>
      <c r="B1749" s="3" t="s">
        <v>2</v>
      </c>
      <c r="C1749" s="2" t="str">
        <f ca="1">IFERROR(__xludf.DUMMYFUNCTION("GOOGLETRANSLATE(A1749,""bn"",""en"")"),"The shape of the bowls is not typical")</f>
        <v>The shape of the bowls is not typical</v>
      </c>
    </row>
    <row r="1750" spans="1:3" ht="15.75" customHeight="1" x14ac:dyDescent="0.25">
      <c r="A1750" s="2" t="s">
        <v>1752</v>
      </c>
      <c r="B1750" s="3" t="s">
        <v>2</v>
      </c>
      <c r="C1750" s="2" t="str">
        <f ca="1">IFERROR(__xludf.DUMMYFUNCTION("GOOGLETRANSLATE(A1750,""bn"",""en"")"),"Overall performance is acceptable")</f>
        <v>Overall performance is acceptable</v>
      </c>
    </row>
    <row r="1751" spans="1:3" ht="15.75" customHeight="1" x14ac:dyDescent="0.25">
      <c r="A1751" s="2" t="s">
        <v>1753</v>
      </c>
      <c r="B1751" s="3" t="s">
        <v>2</v>
      </c>
      <c r="C1751" s="2" t="str">
        <f ca="1">IFERROR(__xludf.DUMMYFUNCTION("GOOGLETRANSLATE(A1751,""bn"",""en"")"),"The dress is comfortable but the stitching is not good")</f>
        <v>The dress is comfortable but the stitching is not good</v>
      </c>
    </row>
    <row r="1752" spans="1:3" ht="15.75" customHeight="1" x14ac:dyDescent="0.25">
      <c r="A1752" s="2" t="s">
        <v>1754</v>
      </c>
      <c r="B1752" s="3" t="s">
        <v>6</v>
      </c>
      <c r="C1752" s="2" t="str">
        <f ca="1">IFERROR(__xludf.DUMMYFUNCTION("GOOGLETRANSLATE(A1752,""bn"",""en"")")," was under-roasted resulting in a sour and underdeveloped taste")</f>
        <v xml:space="preserve"> was under-roasted resulting in a sour and underdeveloped taste</v>
      </c>
    </row>
    <row r="1753" spans="1:3" ht="15.75" customHeight="1" x14ac:dyDescent="0.25">
      <c r="A1753" s="2" t="s">
        <v>1755</v>
      </c>
      <c r="B1753" s="3" t="s">
        <v>4</v>
      </c>
      <c r="C1753" s="2" t="str">
        <f ca="1">IFERROR(__xludf.DUMMYFUNCTION("GOOGLETRANSLATE(A1753,""bn"",""en"")"),"The resolution of the computer monitor is very clear")</f>
        <v>The resolution of the computer monitor is very clear</v>
      </c>
    </row>
    <row r="1754" spans="1:3" ht="15.75" customHeight="1" x14ac:dyDescent="0.25">
      <c r="A1754" s="2" t="s">
        <v>1756</v>
      </c>
      <c r="B1754" s="3" t="s">
        <v>4</v>
      </c>
      <c r="C1754" s="2" t="str">
        <f ca="1">IFERROR(__xludf.DUMMYFUNCTION("GOOGLETRANSLATE(A1754,""bn"",""en"")"),"The edges of the pillows are stitched in such a way that they never fall off")</f>
        <v>The edges of the pillows are stitched in such a way that they never fall off</v>
      </c>
    </row>
    <row r="1755" spans="1:3" ht="15.75" customHeight="1" x14ac:dyDescent="0.25">
      <c r="A1755" s="2" t="s">
        <v>1757</v>
      </c>
      <c r="B1755" s="3" t="s">
        <v>6</v>
      </c>
      <c r="C1755" s="2" t="str">
        <f ca="1">IFERROR(__xludf.DUMMYFUNCTION("GOOGLETRANSLATE(A1755,""bn"",""en"")"),"The frozen breakfast sandwich had soggy bread and rubbery eggs that lacked flavor and texture.")</f>
        <v>The frozen breakfast sandwich had soggy bread and rubbery eggs that lacked flavor and texture.</v>
      </c>
    </row>
    <row r="1756" spans="1:3" ht="15.75" customHeight="1" x14ac:dyDescent="0.25">
      <c r="A1756" s="2" t="s">
        <v>1758</v>
      </c>
      <c r="B1756" s="3" t="s">
        <v>6</v>
      </c>
      <c r="C1756" s="2" t="str">
        <f ca="1">IFERROR(__xludf.DUMMYFUNCTION("GOOGLETRANSLATE(A1756,""bn"",""en"")"),"  The cream was very thick and clogged my pores")</f>
        <v xml:space="preserve">  The cream was very thick and clogged my pores</v>
      </c>
    </row>
    <row r="1757" spans="1:3" ht="15.75" customHeight="1" x14ac:dyDescent="0.25">
      <c r="A1757" s="2" t="s">
        <v>1759</v>
      </c>
      <c r="B1757" s="3" t="s">
        <v>4</v>
      </c>
      <c r="C1757" s="2" t="str">
        <f ca="1">IFERROR(__xludf.DUMMYFUNCTION("GOOGLETRANSLATE(A1757,""bn"",""en"")"),"The honey is collected naturally")</f>
        <v>The honey is collected naturally</v>
      </c>
    </row>
    <row r="1758" spans="1:3" ht="15.75" customHeight="1" x14ac:dyDescent="0.25">
      <c r="A1758" s="2" t="s">
        <v>1760</v>
      </c>
      <c r="B1758" s="3" t="s">
        <v>2</v>
      </c>
      <c r="C1758" s="2" t="str">
        <f ca="1">IFERROR(__xludf.DUMMYFUNCTION("GOOGLETRANSLATE(A1758,""bn"",""en"")"),"All items can be kept together but take up more space")</f>
        <v>All items can be kept together but take up more space</v>
      </c>
    </row>
    <row r="1759" spans="1:3" ht="15.75" customHeight="1" x14ac:dyDescent="0.25">
      <c r="A1759" s="2" t="s">
        <v>1761</v>
      </c>
      <c r="B1759" s="3" t="s">
        <v>6</v>
      </c>
      <c r="C1759" s="2" t="str">
        <f ca="1">IFERROR(__xludf.DUMMYFUNCTION("GOOGLETRANSLATE(A1759,""bn"",""en"")"),"They work temporarily")</f>
        <v>They work temporarily</v>
      </c>
    </row>
    <row r="1760" spans="1:3" ht="15.75" customHeight="1" x14ac:dyDescent="0.25">
      <c r="A1760" s="2" t="s">
        <v>1762</v>
      </c>
      <c r="B1760" s="3" t="s">
        <v>6</v>
      </c>
      <c r="C1760" s="2" t="str">
        <f ca="1">IFERROR(__xludf.DUMMYFUNCTION("GOOGLETRANSLATE(A1760,""bn"",""en"")"),"The TV came with a cracked screen making it unusable out of the box")</f>
        <v>The TV came with a cracked screen making it unusable out of the box</v>
      </c>
    </row>
    <row r="1761" spans="1:3" ht="15.75" customHeight="1" x14ac:dyDescent="0.25">
      <c r="A1761" s="2" t="s">
        <v>1763</v>
      </c>
      <c r="B1761" s="3" t="s">
        <v>6</v>
      </c>
      <c r="C1761" s="2" t="str">
        <f ca="1">IFERROR(__xludf.DUMMYFUNCTION("GOOGLETRANSLATE(A1761,""bn"",""en"")"),"The touch screen is not responsive to touch gestures making it difficult to navigate certain applications")</f>
        <v>The touch screen is not responsive to touch gestures making it difficult to navigate certain applications</v>
      </c>
    </row>
    <row r="1762" spans="1:3" ht="15.75" customHeight="1" x14ac:dyDescent="0.25">
      <c r="A1762" s="2" t="s">
        <v>1764</v>
      </c>
      <c r="B1762" s="3" t="s">
        <v>4</v>
      </c>
      <c r="C1762" s="2" t="str">
        <f ca="1">IFERROR(__xludf.DUMMYFUNCTION("GOOGLETRANSLATE(A1762,""bn"",""en"")"),"The plastic flower looks beautiful even at night")</f>
        <v>The plastic flower looks beautiful even at night</v>
      </c>
    </row>
    <row r="1763" spans="1:3" ht="15.75" customHeight="1" x14ac:dyDescent="0.25">
      <c r="A1763" s="2" t="s">
        <v>1765</v>
      </c>
      <c r="B1763" s="3" t="s">
        <v>6</v>
      </c>
      <c r="C1763" s="2" t="str">
        <f ca="1">IFERROR(__xludf.DUMMYFUNCTION("GOOGLETRANSLATE(A1763,""bn"",""en"")")," The material has an unpleasant chemical smell that does not dissipate over time")</f>
        <v xml:space="preserve"> The material has an unpleasant chemical smell that does not dissipate over time</v>
      </c>
    </row>
    <row r="1764" spans="1:3" ht="15.75" customHeight="1" x14ac:dyDescent="0.25">
      <c r="A1764" s="2" t="s">
        <v>1766</v>
      </c>
      <c r="B1764" s="3" t="s">
        <v>2</v>
      </c>
      <c r="C1764" s="2" t="str">
        <f ca="1">IFERROR(__xludf.DUMMYFUNCTION("GOOGLETRANSLATE(A1764,""bn"",""en"")"),"Can relieve general pain")</f>
        <v>Can relieve general pain</v>
      </c>
    </row>
    <row r="1765" spans="1:3" ht="15.75" customHeight="1" x14ac:dyDescent="0.25">
      <c r="A1765" s="2" t="s">
        <v>1767</v>
      </c>
      <c r="B1765" s="3" t="s">
        <v>2</v>
      </c>
      <c r="C1765" s="2" t="str">
        <f ca="1">IFERROR(__xludf.DUMMYFUNCTION("GOOGLETRANSLATE(A1765,""bn"",""en"")"),"There were mixed reviews")</f>
        <v>There were mixed reviews</v>
      </c>
    </row>
    <row r="1766" spans="1:3" ht="15.75" customHeight="1" x14ac:dyDescent="0.25">
      <c r="A1766" s="2" t="s">
        <v>1768</v>
      </c>
      <c r="B1766" s="3" t="s">
        <v>6</v>
      </c>
      <c r="C1766" s="2" t="str">
        <f ca="1">IFERROR(__xludf.DUMMYFUNCTION("GOOGLETRANSLATE(A1766,""bn"",""en"")"),"The shelves feel flimsy and cannot hold heavy items securely")</f>
        <v>The shelves feel flimsy and cannot hold heavy items securely</v>
      </c>
    </row>
    <row r="1767" spans="1:3" ht="15.75" customHeight="1" x14ac:dyDescent="0.25">
      <c r="A1767" s="2" t="s">
        <v>1769</v>
      </c>
      <c r="B1767" s="3" t="s">
        <v>6</v>
      </c>
      <c r="C1767" s="2" t="str">
        <f ca="1">IFERROR(__xludf.DUMMYFUNCTION("GOOGLETRANSLATE(A1767,""bn"",""en"")")," The audio cable's tendency to fray and split compromises sound quality and durability over time")</f>
        <v xml:space="preserve"> The audio cable's tendency to fray and split compromises sound quality and durability over time</v>
      </c>
    </row>
    <row r="1768" spans="1:3" ht="15.75" customHeight="1" x14ac:dyDescent="0.25">
      <c r="A1768" s="2" t="s">
        <v>1770</v>
      </c>
      <c r="B1768" s="3" t="s">
        <v>2</v>
      </c>
      <c r="C1768" s="2" t="str">
        <f ca="1">IFERROR(__xludf.DUMMYFUNCTION("GOOGLETRANSLATE(A1768,""bn"",""en"")"),"Adding fans would probably have provided more benefits")</f>
        <v>Adding fans would probably have provided more benefits</v>
      </c>
    </row>
    <row r="1769" spans="1:3" ht="15.75" customHeight="1" x14ac:dyDescent="0.25">
      <c r="A1769" s="2" t="s">
        <v>1771</v>
      </c>
      <c r="B1769" s="3" t="s">
        <v>4</v>
      </c>
      <c r="C1769" s="2" t="str">
        <f ca="1">IFERROR(__xludf.DUMMYFUNCTION("GOOGLETRANSLATE(A1769,""bn"",""en"")"),"The zoom feature of the mobile camera is very good")</f>
        <v>The zoom feature of the mobile camera is very good</v>
      </c>
    </row>
    <row r="1770" spans="1:3" ht="15.75" customHeight="1" x14ac:dyDescent="0.25">
      <c r="A1770" s="2" t="s">
        <v>1772</v>
      </c>
      <c r="B1770" s="3" t="s">
        <v>2</v>
      </c>
      <c r="C1770" s="2" t="str">
        <f ca="1">IFERROR(__xludf.DUMMYFUNCTION("GOOGLETRANSLATE(A1770,""bn"",""en"")"),"Saw it online after buying it in real life")</f>
        <v>Saw it online after buying it in real life</v>
      </c>
    </row>
    <row r="1771" spans="1:3" ht="15.75" customHeight="1" x14ac:dyDescent="0.25">
      <c r="A1771" s="2" t="s">
        <v>1773</v>
      </c>
      <c r="B1771" s="3" t="s">
        <v>4</v>
      </c>
      <c r="C1771" s="2" t="str">
        <f ca="1">IFERROR(__xludf.DUMMYFUNCTION("GOOGLETRANSLATE(A1771,""bn"",""en"")"),"Shopker is easy to use")</f>
        <v>Shopker is easy to use</v>
      </c>
    </row>
    <row r="1772" spans="1:3" ht="15.75" customHeight="1" x14ac:dyDescent="0.25">
      <c r="A1772" s="2" t="s">
        <v>1774</v>
      </c>
      <c r="B1772" s="3" t="s">
        <v>2</v>
      </c>
      <c r="C1772" s="2" t="str">
        <f ca="1">IFERROR(__xludf.DUMMYFUNCTION("GOOGLETRANSLATE(A1772,""bn"",""en"")"),"Keeps warm but sometimes overheats")</f>
        <v>Keeps warm but sometimes overheats</v>
      </c>
    </row>
    <row r="1773" spans="1:3" ht="15.75" customHeight="1" x14ac:dyDescent="0.25">
      <c r="A1773" s="2" t="s">
        <v>1775</v>
      </c>
      <c r="B1773" s="3" t="s">
        <v>2</v>
      </c>
      <c r="C1773" s="2" t="str">
        <f ca="1">IFERROR(__xludf.DUMMYFUNCTION("GOOGLETRANSLATE(A1773,""bn"",""en"")"),"Reflections are clear but not eye-popping")</f>
        <v>Reflections are clear but not eye-popping</v>
      </c>
    </row>
    <row r="1774" spans="1:3" ht="15.75" customHeight="1" x14ac:dyDescent="0.25">
      <c r="A1774" s="2" t="s">
        <v>1776</v>
      </c>
      <c r="B1774" s="3" t="s">
        <v>6</v>
      </c>
      <c r="C1774" s="2" t="str">
        <f ca="1">IFERROR(__xludf.DUMMYFUNCTION("GOOGLETRANSLATE(A1774,""bn"",""en"")"),"The hinge of the electric kettle lid is broken making it difficult to open and close")</f>
        <v>The hinge of the electric kettle lid is broken making it difficult to open and close</v>
      </c>
    </row>
    <row r="1775" spans="1:3" ht="15.75" customHeight="1" x14ac:dyDescent="0.25">
      <c r="A1775" s="2" t="s">
        <v>1777</v>
      </c>
      <c r="B1775" s="3" t="s">
        <v>6</v>
      </c>
      <c r="C1775" s="2" t="str">
        <f ca="1">IFERROR(__xludf.DUMMYFUNCTION("GOOGLETRANSLATE(A1775,""bn"",""en"")"),"The design is not suitable for daily use and does not match the expectations")</f>
        <v>The design is not suitable for daily use and does not match the expectations</v>
      </c>
    </row>
    <row r="1776" spans="1:3" ht="15.75" customHeight="1" x14ac:dyDescent="0.25">
      <c r="A1776" s="2" t="s">
        <v>1778</v>
      </c>
      <c r="B1776" s="3" t="s">
        <v>2</v>
      </c>
      <c r="C1776" s="2" t="str">
        <f ca="1">IFERROR(__xludf.DUMMYFUNCTION("GOOGLETRANSLATE(A1776,""bn"",""en"")"),"The upper part of the pad is flat and precisely made")</f>
        <v>The upper part of the pad is flat and precisely made</v>
      </c>
    </row>
    <row r="1777" spans="1:3" ht="15.75" customHeight="1" x14ac:dyDescent="0.25">
      <c r="A1777" s="2" t="s">
        <v>1779</v>
      </c>
      <c r="B1777" s="3" t="s">
        <v>6</v>
      </c>
      <c r="C1777" s="2" t="str">
        <f ca="1">IFERROR(__xludf.DUMMYFUNCTION("GOOGLETRANSLATE(A1777,""bn"",""en"")"),"Shoe stitching comes undone easily indicating poor quality craftsmanship")</f>
        <v>Shoe stitching comes undone easily indicating poor quality craftsmanship</v>
      </c>
    </row>
    <row r="1778" spans="1:3" ht="15.75" customHeight="1" x14ac:dyDescent="0.25">
      <c r="A1778" s="2" t="s">
        <v>1780</v>
      </c>
      <c r="B1778" s="3" t="s">
        <v>6</v>
      </c>
      <c r="C1778" s="2" t="str">
        <f ca="1">IFERROR(__xludf.DUMMYFUNCTION("GOOGLETRANSLATE(A1778,""bn"",""en"")"),"Hair pomade weighed my hair down making it look flat and lifeless")</f>
        <v>Hair pomade weighed my hair down making it look flat and lifeless</v>
      </c>
    </row>
    <row r="1779" spans="1:3" ht="15.75" customHeight="1" x14ac:dyDescent="0.25">
      <c r="A1779" s="2" t="s">
        <v>1781</v>
      </c>
      <c r="B1779" s="3" t="s">
        <v>4</v>
      </c>
      <c r="C1779" s="2" t="str">
        <f ca="1">IFERROR(__xludf.DUMMYFUNCTION("GOOGLETRANSLATE(A1779,""bn"",""en"")"),"The best airtag protector on the market")</f>
        <v>The best airtag protector on the market</v>
      </c>
    </row>
    <row r="1780" spans="1:3" ht="15.75" customHeight="1" x14ac:dyDescent="0.25">
      <c r="A1780" s="2" t="s">
        <v>1782</v>
      </c>
      <c r="B1780" s="3" t="s">
        <v>6</v>
      </c>
      <c r="C1780" s="2" t="str">
        <f ca="1">IFERROR(__xludf.DUMMYFUNCTION("GOOGLETRANSLATE(A1780,""bn"",""en"")"),"Makeup remover wipes require extra rubbing to remove very dry makeup")</f>
        <v>Makeup remover wipes require extra rubbing to remove very dry makeup</v>
      </c>
    </row>
    <row r="1781" spans="1:3" ht="15.75" customHeight="1" x14ac:dyDescent="0.25">
      <c r="A1781" s="2" t="s">
        <v>1783</v>
      </c>
      <c r="B1781" s="3" t="s">
        <v>2</v>
      </c>
      <c r="C1781" s="2" t="str">
        <f ca="1">IFERROR(__xludf.DUMMYFUNCTION("GOOGLETRANSLATE(A1781,""bn"",""en"")"),"Pad protection is good but the size is a bit small")</f>
        <v>Pad protection is good but the size is a bit small</v>
      </c>
    </row>
    <row r="1782" spans="1:3" ht="15.75" customHeight="1" x14ac:dyDescent="0.25">
      <c r="A1782" s="2" t="s">
        <v>1784</v>
      </c>
      <c r="B1782" s="3" t="s">
        <v>2</v>
      </c>
      <c r="C1782" s="2" t="str">
        <f ca="1">IFERROR(__xludf.DUMMYFUNCTION("GOOGLETRANSLATE(A1782,""bn"",""en"")"),"Strong but not outstanding")</f>
        <v>Strong but not outstanding</v>
      </c>
    </row>
    <row r="1783" spans="1:3" ht="15.75" customHeight="1" x14ac:dyDescent="0.25">
      <c r="A1783" s="2" t="s">
        <v>1785</v>
      </c>
      <c r="B1783" s="3" t="s">
        <v>6</v>
      </c>
      <c r="C1783" s="2" t="str">
        <f ca="1">IFERROR(__xludf.DUMMYFUNCTION("GOOGLETRANSLATE(A1783,""bn"",""en"")"),"The fabric of the baby saddle blanket is rough and can irritate baby's skin")</f>
        <v>The fabric of the baby saddle blanket is rough and can irritate baby's skin</v>
      </c>
    </row>
    <row r="1784" spans="1:3" ht="15.75" customHeight="1" x14ac:dyDescent="0.25">
      <c r="A1784" s="2" t="s">
        <v>1786</v>
      </c>
      <c r="B1784" s="3" t="s">
        <v>4</v>
      </c>
      <c r="C1784" s="2" t="str">
        <f ca="1">IFERROR(__xludf.DUMMYFUNCTION("GOOGLETRANSLATE(A1784,""bn"",""en"")"),"The design of the brush is very modern and user-friendly")</f>
        <v>The design of the brush is very modern and user-friendly</v>
      </c>
    </row>
    <row r="1785" spans="1:3" ht="15.75" customHeight="1" x14ac:dyDescent="0.25">
      <c r="A1785" s="2" t="s">
        <v>1787</v>
      </c>
      <c r="B1785" s="3" t="s">
        <v>2</v>
      </c>
      <c r="C1785" s="2" t="str">
        <f ca="1">IFERROR(__xludf.DUMMYFUNCTION("GOOGLETRANSLATE(A1785,""bn"",""en"")"),"Average picture quality could have been better though")</f>
        <v>Average picture quality could have been better though</v>
      </c>
    </row>
    <row r="1786" spans="1:3" ht="15.75" customHeight="1" x14ac:dyDescent="0.25">
      <c r="A1786" s="2" t="s">
        <v>1788</v>
      </c>
      <c r="B1786" s="3" t="s">
        <v>4</v>
      </c>
      <c r="C1786" s="2" t="str">
        <f ca="1">IFERROR(__xludf.DUMMYFUNCTION("GOOGLETRANSLATE(A1786,""bn"",""en"")"),"Battery life is amazing and lasts all day on a single charge")</f>
        <v>Battery life is amazing and lasts all day on a single charge</v>
      </c>
    </row>
    <row r="1787" spans="1:3" ht="15.75" customHeight="1" x14ac:dyDescent="0.25">
      <c r="A1787" s="2" t="s">
        <v>1789</v>
      </c>
      <c r="B1787" s="3" t="s">
        <v>2</v>
      </c>
      <c r="C1787" s="2" t="str">
        <f ca="1">IFERROR(__xludf.DUMMYFUNCTION("GOOGLETRANSLATE(A1787,""bn"",""en"")"),"The book is worth collecting but not all parts are equally enjoyable")</f>
        <v>The book is worth collecting but not all parts are equally enjoyable</v>
      </c>
    </row>
    <row r="1788" spans="1:3" ht="15.75" customHeight="1" x14ac:dyDescent="0.25">
      <c r="A1788" s="2" t="s">
        <v>1790</v>
      </c>
      <c r="B1788" s="3" t="s">
        <v>4</v>
      </c>
      <c r="C1788" s="2" t="str">
        <f ca="1">IFERROR(__xludf.DUMMYFUNCTION("GOOGLETRANSLATE(A1788,""bn"",""en"")"),"The product is very nice and good great product very nice don't miss it")</f>
        <v>The product is very nice and good great product very nice don't miss it</v>
      </c>
    </row>
    <row r="1789" spans="1:3" ht="15.75" customHeight="1" x14ac:dyDescent="0.25">
      <c r="A1789" s="2" t="s">
        <v>1791</v>
      </c>
      <c r="B1789" s="3" t="s">
        <v>6</v>
      </c>
      <c r="C1789" s="2" t="str">
        <f ca="1">IFERROR(__xludf.DUMMYFUNCTION("GOOGLETRANSLATE(A1789,""bn"",""en"")")," The built-in speakers were underpowered and failed to fill a room with sound")</f>
        <v xml:space="preserve"> The built-in speakers were underpowered and failed to fill a room with sound</v>
      </c>
    </row>
    <row r="1790" spans="1:3" ht="15.75" customHeight="1" x14ac:dyDescent="0.25">
      <c r="A1790" s="2" t="s">
        <v>1792</v>
      </c>
      <c r="B1790" s="3" t="s">
        <v>4</v>
      </c>
      <c r="C1790" s="2" t="str">
        <f ca="1">IFERROR(__xludf.DUMMYFUNCTION("GOOGLETRANSLATE(A1790,""bn"",""en"")"),"I also use it in the sun")</f>
        <v>I also use it in the sun</v>
      </c>
    </row>
    <row r="1791" spans="1:3" ht="15.75" customHeight="1" x14ac:dyDescent="0.25">
      <c r="A1791" s="2" t="s">
        <v>1793</v>
      </c>
      <c r="B1791" s="3" t="s">
        <v>6</v>
      </c>
      <c r="C1791" s="2" t="str">
        <f ca="1">IFERROR(__xludf.DUMMYFUNCTION("GOOGLETRANSLATE(A1791,""bn"",""en"")")," Overall price is not worth the price")</f>
        <v xml:space="preserve"> Overall price is not worth the price</v>
      </c>
    </row>
    <row r="1792" spans="1:3" ht="15.75" customHeight="1" x14ac:dyDescent="0.25">
      <c r="A1792" s="2" t="s">
        <v>1794</v>
      </c>
      <c r="B1792" s="3" t="s">
        <v>2</v>
      </c>
      <c r="C1792" s="2" t="str">
        <f ca="1">IFERROR(__xludf.DUMMYFUNCTION("GOOGLETRANSLATE(A1792,""bn"",""en"")"),"Overuse may dry skin")</f>
        <v>Overuse may dry skin</v>
      </c>
    </row>
    <row r="1793" spans="1:3" ht="15.75" customHeight="1" x14ac:dyDescent="0.25">
      <c r="A1793" s="2" t="s">
        <v>1795</v>
      </c>
      <c r="B1793" s="3" t="s">
        <v>4</v>
      </c>
      <c r="C1793" s="2" t="str">
        <f ca="1">IFERROR(__xludf.DUMMYFUNCTION("GOOGLETRANSLATE(A1793,""bn"",""en"")"),"The quality of my sleep has greatly improved")</f>
        <v>The quality of my sleep has greatly improved</v>
      </c>
    </row>
    <row r="1794" spans="1:3" ht="15.75" customHeight="1" x14ac:dyDescent="0.25">
      <c r="A1794" s="2" t="s">
        <v>1796</v>
      </c>
      <c r="B1794" s="3" t="s">
        <v>6</v>
      </c>
      <c r="C1794" s="2" t="str">
        <f ca="1">IFERROR(__xludf.DUMMYFUNCTION("GOOGLETRANSLATE(A1794,""bn"",""en"")"),"Canned soups had a watery consistency and lacked substance with no real parts of vegetables or meat")</f>
        <v>Canned soups had a watery consistency and lacked substance with no real parts of vegetables or meat</v>
      </c>
    </row>
    <row r="1795" spans="1:3" ht="15.75" customHeight="1" x14ac:dyDescent="0.25">
      <c r="A1795" s="2" t="s">
        <v>1797</v>
      </c>
      <c r="B1795" s="3" t="s">
        <v>2</v>
      </c>
      <c r="C1795" s="2" t="str">
        <f ca="1">IFERROR(__xludf.DUMMYFUNCTION("GOOGLETRANSLATE(A1795,""bn"",""en"")"),"Excessive wetness can cause condensation")</f>
        <v>Excessive wetness can cause condensation</v>
      </c>
    </row>
    <row r="1796" spans="1:3" ht="15.75" customHeight="1" x14ac:dyDescent="0.25">
      <c r="A1796" s="2" t="s">
        <v>1798</v>
      </c>
      <c r="B1796" s="3" t="s">
        <v>2</v>
      </c>
      <c r="C1796" s="2" t="str">
        <f ca="1">IFERROR(__xludf.DUMMYFUNCTION("GOOGLETRANSLATE(A1796,""bn"",""en"")"),"There are pictures of various sports but very small")</f>
        <v>There are pictures of various sports but very small</v>
      </c>
    </row>
    <row r="1797" spans="1:3" ht="15.75" customHeight="1" x14ac:dyDescent="0.25">
      <c r="A1797" s="2" t="s">
        <v>1799</v>
      </c>
      <c r="B1797" s="3" t="s">
        <v>2</v>
      </c>
      <c r="C1797" s="2" t="str">
        <f ca="1">IFERROR(__xludf.DUMMYFUNCTION("GOOGLETRANSLATE(A1797,""bn"",""en"")"),"It is easy to wash but the color fades a bit")</f>
        <v>It is easy to wash but the color fades a bit</v>
      </c>
    </row>
    <row r="1798" spans="1:3" ht="15.75" customHeight="1" x14ac:dyDescent="0.25">
      <c r="A1798" s="2" t="s">
        <v>1800</v>
      </c>
      <c r="B1798" s="3" t="s">
        <v>6</v>
      </c>
      <c r="C1798" s="2" t="str">
        <f ca="1">IFERROR(__xludf.DUMMYFUNCTION("GOOGLETRANSLATE(A1798,""bn"",""en"")"),"The motor of the electric opener may overheat and shut down during operation")</f>
        <v>The motor of the electric opener may overheat and shut down during operation</v>
      </c>
    </row>
    <row r="1799" spans="1:3" ht="15.75" customHeight="1" x14ac:dyDescent="0.25">
      <c r="A1799" s="2" t="s">
        <v>1801</v>
      </c>
      <c r="B1799" s="3" t="s">
        <v>6</v>
      </c>
      <c r="C1799" s="2" t="str">
        <f ca="1">IFERROR(__xludf.DUMMYFUNCTION("GOOGLETRANSLATE(A1799,""bn"",""en"")"),"Inconsistent focus tracking makes it difficult to accurately capture moving subjects")</f>
        <v>Inconsistent focus tracking makes it difficult to accurately capture moving subjects</v>
      </c>
    </row>
    <row r="1800" spans="1:3" ht="15.75" customHeight="1" x14ac:dyDescent="0.25">
      <c r="A1800" s="2" t="s">
        <v>1802</v>
      </c>
      <c r="B1800" s="3" t="s">
        <v>4</v>
      </c>
      <c r="C1800" s="2" t="str">
        <f ca="1">IFERROR(__xludf.DUMMYFUNCTION("GOOGLETRANSLATE(A1800,""bn"",""en"")"),"It is very beautiful to see the sunrise from the window of our house")</f>
        <v>It is very beautiful to see the sunrise from the window of our house</v>
      </c>
    </row>
    <row r="1801" spans="1:3" ht="15.75" customHeight="1" x14ac:dyDescent="0.25">
      <c r="A1801" s="2" t="s">
        <v>1803</v>
      </c>
      <c r="B1801" s="3" t="s">
        <v>2</v>
      </c>
      <c r="C1801" s="2" t="str">
        <f ca="1">IFERROR(__xludf.DUMMYFUNCTION("GOOGLETRANSLATE(A1801,""bn"",""en"")"),"Product is ok for box spring cover")</f>
        <v>Product is ok for box spring cover</v>
      </c>
    </row>
    <row r="1802" spans="1:3" ht="15.75" customHeight="1" x14ac:dyDescent="0.25">
      <c r="A1802" s="2" t="s">
        <v>1804</v>
      </c>
      <c r="B1802" s="3" t="s">
        <v>6</v>
      </c>
      <c r="C1802" s="2" t="str">
        <f ca="1">IFERROR(__xludf.DUMMYFUNCTION("GOOGLETRANSLATE(A1802,""bn"",""en"")"),"  The oil had a strong scent which I didn't like")</f>
        <v xml:space="preserve">  The oil had a strong scent which I didn't like</v>
      </c>
    </row>
    <row r="1803" spans="1:3" ht="15.75" customHeight="1" x14ac:dyDescent="0.25">
      <c r="A1803" s="2" t="s">
        <v>1805</v>
      </c>
      <c r="B1803" s="3" t="s">
        <v>4</v>
      </c>
      <c r="C1803" s="2" t="str">
        <f ca="1">IFERROR(__xludf.DUMMYFUNCTION("GOOGLETRANSLATE(A1803,""bn"",""en"")"),"All students are very interested in our class")</f>
        <v>All students are very interested in our class</v>
      </c>
    </row>
    <row r="1804" spans="1:3" ht="15.75" customHeight="1" x14ac:dyDescent="0.25">
      <c r="A1804" s="2" t="s">
        <v>1806</v>
      </c>
      <c r="B1804" s="3" t="s">
        <v>6</v>
      </c>
      <c r="C1804" s="2" t="str">
        <f ca="1">IFERROR(__xludf.DUMMYFUNCTION("GOOGLETRANSLATE(A1804,""bn"",""en"")"),"The batteries of solar powered LED lights do not hold a charge and require frequent replacement")</f>
        <v>The batteries of solar powered LED lights do not hold a charge and require frequent replacement</v>
      </c>
    </row>
    <row r="1805" spans="1:3" ht="15.75" customHeight="1" x14ac:dyDescent="0.25">
      <c r="A1805" s="2" t="s">
        <v>1807</v>
      </c>
      <c r="B1805" s="3" t="s">
        <v>6</v>
      </c>
      <c r="C1805" s="2" t="str">
        <f ca="1">IFERROR(__xludf.DUMMYFUNCTION("GOOGLETRANSLATE(A1805,""bn"",""en"")"),"The quality of the product was not the same as the subpar price")</f>
        <v>The quality of the product was not the same as the subpar price</v>
      </c>
    </row>
    <row r="1806" spans="1:3" ht="15.75" customHeight="1" x14ac:dyDescent="0.25">
      <c r="A1806" s="2" t="s">
        <v>1808</v>
      </c>
      <c r="B1806" s="3" t="s">
        <v>4</v>
      </c>
      <c r="C1806" s="2" t="str">
        <f ca="1">IFERROR(__xludf.DUMMYFUNCTION("GOOGLETRANSLATE(A1806,""bn"",""en"")"),"Very good supporter for car")</f>
        <v>Very good supporter for car</v>
      </c>
    </row>
    <row r="1807" spans="1:3" ht="15.75" customHeight="1" x14ac:dyDescent="0.25">
      <c r="A1807" s="2" t="s">
        <v>1809</v>
      </c>
      <c r="B1807" s="3" t="s">
        <v>4</v>
      </c>
      <c r="C1807" s="2" t="str">
        <f ca="1">IFERROR(__xludf.DUMMYFUNCTION("GOOGLETRANSLATE(A1807,""bn"",""en"")"),"The wireless charging feature of the device is very convenient")</f>
        <v>The wireless charging feature of the device is very convenient</v>
      </c>
    </row>
    <row r="1808" spans="1:3" ht="15.75" customHeight="1" x14ac:dyDescent="0.25">
      <c r="A1808" s="2" t="s">
        <v>1810</v>
      </c>
      <c r="B1808" s="3" t="s">
        <v>2</v>
      </c>
      <c r="C1808" s="2" t="str">
        <f ca="1">IFERROR(__xludf.DUMMYFUNCTION("GOOGLETRANSLATE(A1808,""bn"",""en"")"),"Nice but a bit disappointing")</f>
        <v>Nice but a bit disappointing</v>
      </c>
    </row>
    <row r="1809" spans="1:3" ht="15.75" customHeight="1" x14ac:dyDescent="0.25">
      <c r="A1809" s="2" t="s">
        <v>1811</v>
      </c>
      <c r="B1809" s="3" t="s">
        <v>4</v>
      </c>
      <c r="C1809" s="2" t="str">
        <f ca="1">IFERROR(__xludf.DUMMYFUNCTION("GOOGLETRANSLATE(A1809,""bn"",""en"")"),"These sunglasses are very comfortable and stylish")</f>
        <v>These sunglasses are very comfortable and stylish</v>
      </c>
    </row>
    <row r="1810" spans="1:3" ht="15.75" customHeight="1" x14ac:dyDescent="0.25">
      <c r="A1810" s="2" t="s">
        <v>1812</v>
      </c>
      <c r="B1810" s="3" t="s">
        <v>6</v>
      </c>
      <c r="C1810" s="2" t="str">
        <f ca="1">IFERROR(__xludf.DUMMYFUNCTION("GOOGLETRANSLATE(A1810,""bn"",""en"")"),"The fibers of the loofah become tangled and make a mess in the shower")</f>
        <v>The fibers of the loofah become tangled and make a mess in the shower</v>
      </c>
    </row>
    <row r="1811" spans="1:3" ht="15.75" customHeight="1" x14ac:dyDescent="0.25">
      <c r="A1811" s="2" t="s">
        <v>1813</v>
      </c>
      <c r="B1811" s="3" t="s">
        <v>4</v>
      </c>
      <c r="C1811" s="2" t="str">
        <f ca="1">IFERROR(__xludf.DUMMYFUNCTION("GOOGLETRANSLATE(A1811,""bn"",""en"")"),"The desk provides a comfortable and spacious place to work")</f>
        <v>The desk provides a comfortable and spacious place to work</v>
      </c>
    </row>
    <row r="1812" spans="1:3" ht="15.75" customHeight="1" x14ac:dyDescent="0.25">
      <c r="A1812" s="2" t="s">
        <v>1814</v>
      </c>
      <c r="B1812" s="3" t="s">
        <v>2</v>
      </c>
      <c r="C1812" s="2" t="str">
        <f ca="1">IFERROR(__xludf.DUMMYFUNCTION("GOOGLETRANSLATE(A1812,""bn"",""en"")"),"Sometimes the light dims")</f>
        <v>Sometimes the light dims</v>
      </c>
    </row>
    <row r="1813" spans="1:3" ht="15.75" customHeight="1" x14ac:dyDescent="0.25">
      <c r="A1813" s="2" t="s">
        <v>1815</v>
      </c>
      <c r="B1813" s="3" t="s">
        <v>4</v>
      </c>
      <c r="C1813" s="2" t="str">
        <f ca="1">IFERROR(__xludf.DUMMYFUNCTION("GOOGLETRANSLATE(A1813,""bn"",""en"")"),"We are better than we thought")</f>
        <v>We are better than we thought</v>
      </c>
    </row>
    <row r="1814" spans="1:3" ht="15.75" customHeight="1" x14ac:dyDescent="0.25">
      <c r="A1814" s="2" t="s">
        <v>1816</v>
      </c>
      <c r="B1814" s="3" t="s">
        <v>4</v>
      </c>
      <c r="C1814" s="2" t="str">
        <f ca="1">IFERROR(__xludf.DUMMYFUNCTION("GOOGLETRANSLATE(A1814,""bn"",""en"")"),"It is very easy to clean")</f>
        <v>It is very easy to clean</v>
      </c>
    </row>
    <row r="1815" spans="1:3" ht="15.75" customHeight="1" x14ac:dyDescent="0.25">
      <c r="A1815" s="2" t="s">
        <v>1817</v>
      </c>
      <c r="B1815" s="3" t="s">
        <v>6</v>
      </c>
      <c r="C1815" s="2" t="str">
        <f ca="1">IFERROR(__xludf.DUMMYFUNCTION("GOOGLETRANSLATE(A1815,""bn"",""en"")"),"Product performance does not justify the cost")</f>
        <v>Product performance does not justify the cost</v>
      </c>
    </row>
    <row r="1816" spans="1:3" ht="15.75" customHeight="1" x14ac:dyDescent="0.25">
      <c r="A1816" s="2" t="s">
        <v>1818</v>
      </c>
      <c r="B1816" s="3" t="s">
        <v>2</v>
      </c>
      <c r="C1816" s="2" t="str">
        <f ca="1">IFERROR(__xludf.DUMMYFUNCTION("GOOGLETRANSLATE(A1816,""bn"",""en"")"),"The writing style is straightforward but some chapters are boring")</f>
        <v>The writing style is straightforward but some chapters are boring</v>
      </c>
    </row>
    <row r="1817" spans="1:3" ht="15.75" customHeight="1" x14ac:dyDescent="0.25">
      <c r="A1817" s="2" t="s">
        <v>1819</v>
      </c>
      <c r="B1817" s="3" t="s">
        <v>4</v>
      </c>
      <c r="C1817" s="2" t="str">
        <f ca="1">IFERROR(__xludf.DUMMYFUNCTION("GOOGLETRANSLATE(A1817,""bn"",""en"")"),"The girl always helps her younger brother")</f>
        <v>The girl always helps her younger brother</v>
      </c>
    </row>
    <row r="1818" spans="1:3" ht="15.75" customHeight="1" x14ac:dyDescent="0.25">
      <c r="A1818" s="2" t="s">
        <v>1820</v>
      </c>
      <c r="B1818" s="3" t="s">
        <v>4</v>
      </c>
      <c r="C1818" s="2" t="str">
        <f ca="1">IFERROR(__xludf.DUMMYFUNCTION("GOOGLETRANSLATE(A1818,""bn"",""en"")"),"The girl is always focused on her studies")</f>
        <v>The girl is always focused on her studies</v>
      </c>
    </row>
    <row r="1819" spans="1:3" ht="15.75" customHeight="1" x14ac:dyDescent="0.25">
      <c r="A1819" s="2" t="s">
        <v>1821</v>
      </c>
      <c r="B1819" s="3" t="s">
        <v>4</v>
      </c>
      <c r="C1819" s="2" t="str">
        <f ca="1">IFERROR(__xludf.DUMMYFUNCTION("GOOGLETRANSLATE(A1819,""bn"",""en"")"),"The coffee cup size is perfect for hand holding")</f>
        <v>The coffee cup size is perfect for hand holding</v>
      </c>
    </row>
    <row r="1820" spans="1:3" ht="15.75" customHeight="1" x14ac:dyDescent="0.25">
      <c r="A1820" s="2" t="s">
        <v>1822</v>
      </c>
      <c r="B1820" s="3" t="s">
        <v>6</v>
      </c>
      <c r="C1820" s="2" t="str">
        <f ca="1">IFERROR(__xludf.DUMMYFUNCTION("GOOGLETRANSLATE(A1820,""bn"",""en"")"),"The hairspray had a strong scent that lingered for hours and gave me a headache")</f>
        <v>The hairspray had a strong scent that lingered for hours and gave me a headache</v>
      </c>
    </row>
    <row r="1821" spans="1:3" ht="15.75" customHeight="1" x14ac:dyDescent="0.25">
      <c r="A1821" s="2" t="s">
        <v>1823</v>
      </c>
      <c r="B1821" s="3" t="s">
        <v>4</v>
      </c>
      <c r="C1821" s="2" t="str">
        <f ca="1">IFERROR(__xludf.DUMMYFUNCTION("GOOGLETRANSLATE(A1821,""bn"",""en"")"),"The child plays with his new toy")</f>
        <v>The child plays with his new toy</v>
      </c>
    </row>
    <row r="1822" spans="1:3" ht="15.75" customHeight="1" x14ac:dyDescent="0.25">
      <c r="A1822" s="2" t="s">
        <v>1824</v>
      </c>
      <c r="B1822" s="3" t="s">
        <v>2</v>
      </c>
      <c r="C1822" s="2" t="str">
        <f ca="1">IFERROR(__xludf.DUMMYFUNCTION("GOOGLETRANSLATE(A1822,""bn"",""en"")"),"Stitching quality is average")</f>
        <v>Stitching quality is average</v>
      </c>
    </row>
    <row r="1823" spans="1:3" ht="15.75" customHeight="1" x14ac:dyDescent="0.25">
      <c r="A1823" s="2" t="s">
        <v>1825</v>
      </c>
      <c r="B1823" s="3" t="s">
        <v>6</v>
      </c>
      <c r="C1823" s="2" t="str">
        <f ca="1">IFERROR(__xludf.DUMMYFUNCTION("GOOGLETRANSLATE(A1823,""bn"",""en"")"),"The dress had an uneven hemline which made it look sloppy and unprofessional")</f>
        <v>The dress had an uneven hemline which made it look sloppy and unprofessional</v>
      </c>
    </row>
    <row r="1824" spans="1:3" ht="15.75" customHeight="1" x14ac:dyDescent="0.25">
      <c r="A1824" s="2" t="s">
        <v>1826</v>
      </c>
      <c r="B1824" s="3" t="s">
        <v>6</v>
      </c>
      <c r="C1824" s="2" t="str">
        <f ca="1">IFERROR(__xludf.DUMMYFUNCTION("GOOGLETRANSLATE(A1824,""bn"",""en"")"),"The stitching on the bathrobe came undone after only a few wears")</f>
        <v>The stitching on the bathrobe came undone after only a few wears</v>
      </c>
    </row>
    <row r="1825" spans="1:3" ht="15.75" customHeight="1" x14ac:dyDescent="0.25">
      <c r="A1825" s="2" t="s">
        <v>1827</v>
      </c>
      <c r="B1825" s="3" t="s">
        <v>4</v>
      </c>
      <c r="C1825" s="2" t="str">
        <f ca="1">IFERROR(__xludf.DUMMYFUNCTION("GOOGLETRANSLATE(A1825,""bn"",""en"")"),"Using a makeup brush is an art")</f>
        <v>Using a makeup brush is an art</v>
      </c>
    </row>
    <row r="1826" spans="1:3" ht="15.75" customHeight="1" x14ac:dyDescent="0.25">
      <c r="A1826" s="2" t="s">
        <v>1828</v>
      </c>
      <c r="B1826" s="3" t="s">
        <v>4</v>
      </c>
      <c r="C1826" s="2" t="str">
        <f ca="1">IFERROR(__xludf.DUMMYFUNCTION("GOOGLETRANSLATE(A1826,""bn"",""en"")"),"Very comfortable to wear")</f>
        <v>Very comfortable to wear</v>
      </c>
    </row>
    <row r="1827" spans="1:3" ht="15.75" customHeight="1" x14ac:dyDescent="0.25">
      <c r="A1827" s="2" t="s">
        <v>1829</v>
      </c>
      <c r="B1827" s="3" t="s">
        <v>4</v>
      </c>
      <c r="C1827" s="2" t="str">
        <f ca="1">IFERROR(__xludf.DUMMYFUNCTION("GOOGLETRANSLATE(A1827,""bn"",""en"")"),"The footrest of the lounge chair is extremely comfortable")</f>
        <v>The footrest of the lounge chair is extremely comfortable</v>
      </c>
    </row>
    <row r="1828" spans="1:3" ht="15.75" customHeight="1" x14ac:dyDescent="0.25">
      <c r="A1828" s="2" t="s">
        <v>1830</v>
      </c>
      <c r="B1828" s="3" t="s">
        <v>6</v>
      </c>
      <c r="C1828" s="2" t="str">
        <f ca="1">IFERROR(__xludf.DUMMYFUNCTION("GOOGLETRANSLATE(A1828,""bn"",""en"")"),"  Exfoliants irritate and redden my skin")</f>
        <v xml:space="preserve">  Exfoliants irritate and redden my skin</v>
      </c>
    </row>
    <row r="1829" spans="1:3" ht="15.75" customHeight="1" x14ac:dyDescent="0.25">
      <c r="A1829" s="2" t="s">
        <v>1831</v>
      </c>
      <c r="B1829" s="3" t="s">
        <v>4</v>
      </c>
      <c r="C1829" s="2" t="str">
        <f ca="1">IFERROR(__xludf.DUMMYFUNCTION("GOOGLETRANSLATE(A1829,""bn"",""en"")"),"Its Blue Fin technology ensures long-lasting performance making it a wise investment")</f>
        <v>Its Blue Fin technology ensures long-lasting performance making it a wise investment</v>
      </c>
    </row>
    <row r="1830" spans="1:3" ht="15.75" customHeight="1" x14ac:dyDescent="0.25">
      <c r="A1830" s="2" t="s">
        <v>1832</v>
      </c>
      <c r="B1830" s="3" t="s">
        <v>6</v>
      </c>
      <c r="C1830" s="2" t="str">
        <f ca="1">IFERROR(__xludf.DUMMYFUNCTION("GOOGLETRANSLATE(A1830,""bn"",""en"")"),"The overall construction of the garment feels cheap and lacks flimsy durability")</f>
        <v>The overall construction of the garment feels cheap and lacks flimsy durability</v>
      </c>
    </row>
    <row r="1831" spans="1:3" ht="15.75" customHeight="1" x14ac:dyDescent="0.25">
      <c r="A1831" s="2" t="s">
        <v>1833</v>
      </c>
      <c r="B1831" s="3" t="s">
        <v>4</v>
      </c>
      <c r="C1831" s="2" t="str">
        <f ca="1">IFERROR(__xludf.DUMMYFUNCTION("GOOGLETRANSLATE(A1831,""bn"",""en"")"),"The comforter is very nice and comfortable")</f>
        <v>The comforter is very nice and comfortable</v>
      </c>
    </row>
    <row r="1832" spans="1:3" ht="15.75" customHeight="1" x14ac:dyDescent="0.25">
      <c r="A1832" s="2" t="s">
        <v>1834</v>
      </c>
      <c r="B1832" s="3" t="s">
        <v>2</v>
      </c>
      <c r="C1832" s="2" t="str">
        <f ca="1">IFERROR(__xludf.DUMMYFUNCTION("GOOGLETRANSLATE(A1832,""bn"",""en"")"),"The Great Value Pack is good quality but a bit less useful")</f>
        <v>The Great Value Pack is good quality but a bit less useful</v>
      </c>
    </row>
    <row r="1833" spans="1:3" ht="15.75" customHeight="1" x14ac:dyDescent="0.25">
      <c r="A1833" s="2" t="s">
        <v>1835</v>
      </c>
      <c r="B1833" s="3" t="s">
        <v>2</v>
      </c>
      <c r="C1833" s="2" t="str">
        <f ca="1">IFERROR(__xludf.DUMMYFUNCTION("GOOGLETRANSLATE(A1833,""bn"",""en"")"),"a little bigger")</f>
        <v>a little bigger</v>
      </c>
    </row>
    <row r="1834" spans="1:3" ht="15.75" customHeight="1" x14ac:dyDescent="0.25">
      <c r="A1834" s="2" t="s">
        <v>1836</v>
      </c>
      <c r="B1834" s="3" t="s">
        <v>4</v>
      </c>
      <c r="C1834" s="2" t="str">
        <f ca="1">IFERROR(__xludf.DUMMYFUNCTION("GOOGLETRANSLATE(A1834,""bn"",""en"")"),"The battery standby time of the mobile is long")</f>
        <v>The battery standby time of the mobile is long</v>
      </c>
    </row>
    <row r="1835" spans="1:3" ht="15.75" customHeight="1" x14ac:dyDescent="0.25">
      <c r="A1835" s="2" t="s">
        <v>1837</v>
      </c>
      <c r="B1835" s="3" t="s">
        <v>4</v>
      </c>
      <c r="C1835" s="2" t="str">
        <f ca="1">IFERROR(__xludf.DUMMYFUNCTION("GOOGLETRANSLATE(A1835,""bn"",""en"")"),"Its sharpener sharpens the pencil very well without any problems")</f>
        <v>Its sharpener sharpens the pencil very well without any problems</v>
      </c>
    </row>
    <row r="1836" spans="1:3" ht="15.75" customHeight="1" x14ac:dyDescent="0.25">
      <c r="A1836" s="2" t="s">
        <v>1838</v>
      </c>
      <c r="B1836" s="3" t="s">
        <v>6</v>
      </c>
      <c r="C1836" s="2" t="str">
        <f ca="1">IFERROR(__xludf.DUMMYFUNCTION("GOOGLETRANSLATE(A1836,""bn"",""en"")"),"The canned beans were slimy and tasted like they had been sitting on the shelf for days")</f>
        <v>The canned beans were slimy and tasted like they had been sitting on the shelf for days</v>
      </c>
    </row>
    <row r="1837" spans="1:3" ht="15.75" customHeight="1" x14ac:dyDescent="0.25">
      <c r="A1837" s="2" t="s">
        <v>1839</v>
      </c>
      <c r="B1837" s="3" t="s">
        <v>2</v>
      </c>
      <c r="C1837" s="2" t="str">
        <f ca="1">IFERROR(__xludf.DUMMYFUNCTION("GOOGLETRANSLATE(A1837,""bn"",""en"")"),"At first it was good then there were some problems")</f>
        <v>At first it was good then there were some problems</v>
      </c>
    </row>
    <row r="1838" spans="1:3" ht="15.75" customHeight="1" x14ac:dyDescent="0.25">
      <c r="A1838" s="2" t="s">
        <v>1840</v>
      </c>
      <c r="B1838" s="3" t="s">
        <v>4</v>
      </c>
      <c r="C1838" s="2" t="str">
        <f ca="1">IFERROR(__xludf.DUMMYFUNCTION("GOOGLETRANSLATE(A1838,""bn"",""en"")"),"The color combination of the whole set is very attractive and coordinated")</f>
        <v>The color combination of the whole set is very attractive and coordinated</v>
      </c>
    </row>
    <row r="1839" spans="1:3" ht="15.75" customHeight="1" x14ac:dyDescent="0.25">
      <c r="A1839" s="2" t="s">
        <v>1841</v>
      </c>
      <c r="B1839" s="3" t="s">
        <v>6</v>
      </c>
      <c r="C1839" s="2" t="str">
        <f ca="1">IFERROR(__xludf.DUMMYFUNCTION("GOOGLETRANSLATE(A1839,""bn"",""en"")"),"The design lacks versatility limiting its appeal for various occasions")</f>
        <v>The design lacks versatility limiting its appeal for various occasions</v>
      </c>
    </row>
    <row r="1840" spans="1:3" ht="15.75" customHeight="1" x14ac:dyDescent="0.25">
      <c r="A1840" s="2" t="s">
        <v>1842</v>
      </c>
      <c r="B1840" s="3" t="s">
        <v>6</v>
      </c>
      <c r="C1840" s="2" t="str">
        <f ca="1">IFERROR(__xludf.DUMMYFUNCTION("GOOGLETRANSLATE(A1840,""bn"",""en"")"),"The tent bends easily in windy conditions compromising stability")</f>
        <v>The tent bends easily in windy conditions compromising stability</v>
      </c>
    </row>
    <row r="1841" spans="1:3" ht="15.75" customHeight="1" x14ac:dyDescent="0.25">
      <c r="A1841" s="2" t="s">
        <v>1843</v>
      </c>
      <c r="B1841" s="3" t="s">
        <v>6</v>
      </c>
      <c r="C1841" s="2" t="str">
        <f ca="1">IFERROR(__xludf.DUMMYFUNCTION("GOOGLETRANSLATE(A1841,""bn"",""en"")"),"The heating element failed after a short period of use rendering it useless")</f>
        <v>The heating element failed after a short period of use rendering it useless</v>
      </c>
    </row>
    <row r="1842" spans="1:3" ht="15.75" customHeight="1" x14ac:dyDescent="0.25">
      <c r="A1842" s="2" t="s">
        <v>1844</v>
      </c>
      <c r="B1842" s="3" t="s">
        <v>4</v>
      </c>
      <c r="C1842" s="2" t="str">
        <f ca="1">IFERROR(__xludf.DUMMYFUNCTION("GOOGLETRANSLATE(A1842,""bn"",""en"")"),"Thanks I am sharing some more experience")</f>
        <v>Thanks I am sharing some more experience</v>
      </c>
    </row>
    <row r="1843" spans="1:3" ht="15.75" customHeight="1" x14ac:dyDescent="0.25">
      <c r="A1843" s="2" t="s">
        <v>1845</v>
      </c>
      <c r="B1843" s="3" t="s">
        <v>2</v>
      </c>
      <c r="C1843" s="2" t="str">
        <f ca="1">IFERROR(__xludf.DUMMYFUNCTION("GOOGLETRANSLATE(A1843,""bn"",""en"")"),"The child goes to play in the playground with his friends")</f>
        <v>The child goes to play in the playground with his friends</v>
      </c>
    </row>
    <row r="1844" spans="1:3" ht="15.75" customHeight="1" x14ac:dyDescent="0.25">
      <c r="A1844" s="2" t="s">
        <v>1846</v>
      </c>
      <c r="B1844" s="3" t="s">
        <v>2</v>
      </c>
      <c r="C1844" s="2" t="str">
        <f ca="1">IFERROR(__xludf.DUMMYFUNCTION("GOOGLETRANSLATE(A1844,""bn"",""en"")"),"The electronic harmonica is playable but the sound sounds artificial")</f>
        <v>The electronic harmonica is playable but the sound sounds artificial</v>
      </c>
    </row>
    <row r="1845" spans="1:3" ht="15.75" customHeight="1" x14ac:dyDescent="0.25">
      <c r="A1845" s="2" t="s">
        <v>1847</v>
      </c>
      <c r="B1845" s="3" t="s">
        <v>6</v>
      </c>
      <c r="C1845" s="2" t="str">
        <f ca="1">IFERROR(__xludf.DUMMYFUNCTION("GOOGLETRANSLATE(A1845,""bn"",""en"")"),"Experiencing a problem with the delivery process after a series of positive experiences")</f>
        <v>Experiencing a problem with the delivery process after a series of positive experiences</v>
      </c>
    </row>
    <row r="1846" spans="1:3" ht="15.75" customHeight="1" x14ac:dyDescent="0.25">
      <c r="A1846" s="2" t="s">
        <v>1848</v>
      </c>
      <c r="B1846" s="3" t="s">
        <v>2</v>
      </c>
      <c r="C1846" s="2" t="str">
        <f ca="1">IFERROR(__xludf.DUMMYFUNCTION("GOOGLETRANSLATE(A1846,""bn"",""en"")"),"The dress looks good but lost shape after wash")</f>
        <v>The dress looks good but lost shape after wash</v>
      </c>
    </row>
    <row r="1847" spans="1:3" ht="15.75" customHeight="1" x14ac:dyDescent="0.25">
      <c r="A1847" s="2" t="s">
        <v>1849</v>
      </c>
      <c r="B1847" s="3" t="s">
        <v>2</v>
      </c>
      <c r="C1847" s="2" t="str">
        <f ca="1">IFERROR(__xludf.DUMMYFUNCTION("GOOGLETRANSLATE(A1847,""bn"",""en"")"),"The light weight of the spoon and fork makes it a bit uncomfortable to use")</f>
        <v>The light weight of the spoon and fork makes it a bit uncomfortable to use</v>
      </c>
    </row>
    <row r="1848" spans="1:3" ht="15.75" customHeight="1" x14ac:dyDescent="0.25">
      <c r="A1848" s="2" t="s">
        <v>1850</v>
      </c>
      <c r="B1848" s="3" t="s">
        <v>4</v>
      </c>
      <c r="C1848" s="2" t="str">
        <f ca="1">IFERROR(__xludf.DUMMYFUNCTION("GOOGLETRANSLATE(A1848,""bn"",""en"")"),"This mobile app is very easy to use")</f>
        <v>This mobile app is very easy to use</v>
      </c>
    </row>
    <row r="1849" spans="1:3" ht="15.75" customHeight="1" x14ac:dyDescent="0.25">
      <c r="A1849" s="2" t="s">
        <v>1851</v>
      </c>
      <c r="B1849" s="3" t="s">
        <v>6</v>
      </c>
      <c r="C1849" s="2" t="str">
        <f ca="1">IFERROR(__xludf.DUMMYFUNCTION("GOOGLETRANSLATE(A1849,""bn"",""en"")"),"The dress looks shapeless on the body due to the lack of structure")</f>
        <v>The dress looks shapeless on the body due to the lack of structure</v>
      </c>
    </row>
    <row r="1850" spans="1:3" ht="15.75" customHeight="1" x14ac:dyDescent="0.25">
      <c r="A1850" s="2" t="s">
        <v>1852</v>
      </c>
      <c r="B1850" s="3" t="s">
        <v>6</v>
      </c>
      <c r="C1850" s="2" t="str">
        <f ca="1">IFERROR(__xludf.DUMMYFUNCTION("GOOGLETRANSLATE(A1850,""bn"",""en"")"),"Wireless keyboards are frustrating to use by randomly disconnecting from devices")</f>
        <v>Wireless keyboards are frustrating to use by randomly disconnecting from devices</v>
      </c>
    </row>
    <row r="1851" spans="1:3" ht="15.75" customHeight="1" x14ac:dyDescent="0.25">
      <c r="A1851" s="2" t="s">
        <v>1853</v>
      </c>
      <c r="B1851" s="3" t="s">
        <v>4</v>
      </c>
      <c r="C1851" s="2" t="str">
        <f ca="1">IFERROR(__xludf.DUMMYFUNCTION("GOOGLETRANSLATE(A1851,""bn"",""en"")"),"It is highly decorated and feels of great value")</f>
        <v>It is highly decorated and feels of great value</v>
      </c>
    </row>
    <row r="1852" spans="1:3" ht="15.75" customHeight="1" x14ac:dyDescent="0.25">
      <c r="A1852" s="2" t="s">
        <v>1854</v>
      </c>
      <c r="B1852" s="3" t="s">
        <v>2</v>
      </c>
      <c r="C1852" s="2" t="str">
        <f ca="1">IFERROR(__xludf.DUMMYFUNCTION("GOOGLETRANSLATE(A1852,""bn"",""en"")"),"The color is quite attractive")</f>
        <v>The color is quite attractive</v>
      </c>
    </row>
    <row r="1853" spans="1:3" ht="15.75" customHeight="1" x14ac:dyDescent="0.25">
      <c r="A1853" s="2" t="s">
        <v>1855</v>
      </c>
      <c r="B1853" s="3" t="s">
        <v>4</v>
      </c>
      <c r="C1853" s="2" t="str">
        <f ca="1">IFERROR(__xludf.DUMMYFUNCTION("GOOGLETRANSLATE(A1853,""bn"",""en"")"),"Responsiveness of the mouse is very good")</f>
        <v>Responsiveness of the mouse is very good</v>
      </c>
    </row>
    <row r="1854" spans="1:3" ht="15.75" customHeight="1" x14ac:dyDescent="0.25">
      <c r="A1854" s="2" t="s">
        <v>1856</v>
      </c>
      <c r="B1854" s="3" t="s">
        <v>2</v>
      </c>
      <c r="C1854" s="2" t="str">
        <f ca="1">IFERROR(__xludf.DUMMYFUNCTION("GOOGLETRANSLATE(A1854,""bn"",""en"")"),"Can be used for pencil sketches")</f>
        <v>Can be used for pencil sketches</v>
      </c>
    </row>
    <row r="1855" spans="1:3" ht="15.75" customHeight="1" x14ac:dyDescent="0.25">
      <c r="A1855" s="2" t="s">
        <v>1857</v>
      </c>
      <c r="B1855" s="3" t="s">
        <v>4</v>
      </c>
      <c r="C1855" s="2" t="str">
        <f ca="1">IFERROR(__xludf.DUMMYFUNCTION("GOOGLETRANSLATE(A1855,""bn"",""en"")"),"It's working")</f>
        <v>It's working</v>
      </c>
    </row>
    <row r="1856" spans="1:3" ht="15.75" customHeight="1" x14ac:dyDescent="0.25">
      <c r="A1856" s="2" t="s">
        <v>1858</v>
      </c>
      <c r="B1856" s="3" t="s">
        <v>6</v>
      </c>
      <c r="C1856" s="2" t="str">
        <f ca="1">IFERROR(__xludf.DUMMYFUNCTION("GOOGLETRANSLATE(A1856,""bn"",""en"")"),"The user manual is poorly written with confusing instructions and diagrams")</f>
        <v>The user manual is poorly written with confusing instructions and diagrams</v>
      </c>
    </row>
    <row r="1857" spans="1:3" ht="15.75" customHeight="1" x14ac:dyDescent="0.25">
      <c r="A1857" s="2" t="s">
        <v>1859</v>
      </c>
      <c r="B1857" s="3" t="s">
        <v>4</v>
      </c>
      <c r="C1857" s="2" t="str">
        <f ca="1">IFERROR(__xludf.DUMMYFUNCTION("GOOGLETRANSLATE(A1857,""bn"",""en"")"),"Beauty soap improves skin elasticity")</f>
        <v>Beauty soap improves skin elasticity</v>
      </c>
    </row>
    <row r="1858" spans="1:3" ht="15.75" customHeight="1" x14ac:dyDescent="0.25">
      <c r="A1858" s="2" t="s">
        <v>1860</v>
      </c>
      <c r="B1858" s="3" t="s">
        <v>6</v>
      </c>
      <c r="C1858" s="2" t="str">
        <f ca="1">IFERROR(__xludf.DUMMYFUNCTION("GOOGLETRANSLATE(A1858,""bn"",""en"")"),"The canvas had visible flaws and imperfections")</f>
        <v>The canvas had visible flaws and imperfections</v>
      </c>
    </row>
    <row r="1859" spans="1:3" ht="15.75" customHeight="1" x14ac:dyDescent="0.25">
      <c r="A1859" s="2" t="s">
        <v>1861</v>
      </c>
      <c r="B1859" s="3" t="s">
        <v>6</v>
      </c>
      <c r="C1859" s="2" t="str">
        <f ca="1">IFERROR(__xludf.DUMMYFUNCTION("GOOGLETRANSLATE(A1859,""bn"",""en"")"),"Automatic soap dispenser gets stuck and does not dispense soap")</f>
        <v>Automatic soap dispenser gets stuck and does not dispense soap</v>
      </c>
    </row>
    <row r="1860" spans="1:3" ht="15.75" customHeight="1" x14ac:dyDescent="0.25">
      <c r="A1860" s="2" t="s">
        <v>1862</v>
      </c>
      <c r="B1860" s="3" t="s">
        <v>6</v>
      </c>
      <c r="C1860" s="2" t="str">
        <f ca="1">IFERROR(__xludf.DUMMYFUNCTION("GOOGLETRANSLATE(A1860,""bn"",""en"")"),"Limited capacity does not accommodate enough items")</f>
        <v>Limited capacity does not accommodate enough items</v>
      </c>
    </row>
    <row r="1861" spans="1:3" ht="15.75" customHeight="1" x14ac:dyDescent="0.25">
      <c r="A1861" s="2" t="s">
        <v>1863</v>
      </c>
      <c r="B1861" s="3" t="s">
        <v>2</v>
      </c>
      <c r="C1861" s="2" t="str">
        <f ca="1">IFERROR(__xludf.DUMMYFUNCTION("GOOGLETRANSLATE(A1861,""bn"",""en"")"),"Keeps warm but difficult to control temperature")</f>
        <v>Keeps warm but difficult to control temperature</v>
      </c>
    </row>
    <row r="1862" spans="1:3" ht="15.75" customHeight="1" x14ac:dyDescent="0.25">
      <c r="A1862" s="2" t="s">
        <v>1864</v>
      </c>
      <c r="B1862" s="3" t="s">
        <v>2</v>
      </c>
      <c r="C1862" s="2" t="str">
        <f ca="1">IFERROR(__xludf.DUMMYFUNCTION("GOOGLETRANSLATE(A1862,""bn"",""en"")"),"This drink is quite tasty but the price seems a bit high")</f>
        <v>This drink is quite tasty but the price seems a bit high</v>
      </c>
    </row>
    <row r="1863" spans="1:3" ht="15.75" customHeight="1" x14ac:dyDescent="0.25">
      <c r="A1863" s="2" t="s">
        <v>1865</v>
      </c>
      <c r="B1863" s="3" t="s">
        <v>6</v>
      </c>
      <c r="C1863" s="2" t="str">
        <f ca="1">IFERROR(__xludf.DUMMYFUNCTION("GOOGLETRANSLATE(A1863,""bn"",""en"")")," Electricity consumption was higher than advertised resulting in higher energy bills")</f>
        <v xml:space="preserve"> Electricity consumption was higher than advertised resulting in higher energy bills</v>
      </c>
    </row>
    <row r="1864" spans="1:3" ht="15.75" customHeight="1" x14ac:dyDescent="0.25">
      <c r="A1864" s="2" t="s">
        <v>1866</v>
      </c>
      <c r="B1864" s="3" t="s">
        <v>2</v>
      </c>
      <c r="C1864" s="2" t="str">
        <f ca="1">IFERROR(__xludf.DUMMYFUNCTION("GOOGLETRANSLATE(A1864,""bn"",""en"")"),"Suitable for serving food but not for decoration")</f>
        <v>Suitable for serving food but not for decoration</v>
      </c>
    </row>
    <row r="1865" spans="1:3" ht="15.75" customHeight="1" x14ac:dyDescent="0.25">
      <c r="A1865" s="2" t="s">
        <v>1867</v>
      </c>
      <c r="B1865" s="3" t="s">
        <v>6</v>
      </c>
      <c r="C1865" s="2" t="str">
        <f ca="1">IFERROR(__xludf.DUMMYFUNCTION("GOOGLETRANSLATE(A1865,""bn"",""en"")"),"Just not functional")</f>
        <v>Just not functional</v>
      </c>
    </row>
    <row r="1866" spans="1:3" ht="15.75" customHeight="1" x14ac:dyDescent="0.25">
      <c r="A1866" s="2" t="s">
        <v>1868</v>
      </c>
      <c r="B1866" s="3" t="s">
        <v>4</v>
      </c>
      <c r="C1866" s="2" t="str">
        <f ca="1">IFERROR(__xludf.DUMMYFUNCTION("GOOGLETRANSLATE(A1866,""bn"",""en"")"),"Beauty soap reduces skin irritation")</f>
        <v>Beauty soap reduces skin irritation</v>
      </c>
    </row>
    <row r="1867" spans="1:3" ht="15.75" customHeight="1" x14ac:dyDescent="0.25">
      <c r="A1867" s="2" t="s">
        <v>1869</v>
      </c>
      <c r="B1867" s="3" t="s">
        <v>2</v>
      </c>
      <c r="C1867" s="2" t="str">
        <f ca="1">IFERROR(__xludf.DUMMYFUNCTION("GOOGLETRANSLATE(A1867,""bn"",""en"")"),"The bottom of the cups is thick but the top is thin")</f>
        <v>The bottom of the cups is thick but the top is thin</v>
      </c>
    </row>
    <row r="1868" spans="1:3" ht="15.75" customHeight="1" x14ac:dyDescent="0.25">
      <c r="A1868" s="2" t="s">
        <v>1870</v>
      </c>
      <c r="B1868" s="3" t="s">
        <v>6</v>
      </c>
      <c r="C1868" s="2" t="str">
        <f ca="1">IFERROR(__xludf.DUMMYFUNCTION("GOOGLETRANSLATE(A1868,""bn"",""en"")"),"Packaging design makes it difficult to distribute products without creating a mess")</f>
        <v>Packaging design makes it difficult to distribute products without creating a mess</v>
      </c>
    </row>
    <row r="1869" spans="1:3" ht="15.75" customHeight="1" x14ac:dyDescent="0.25">
      <c r="A1869" s="2" t="s">
        <v>1871</v>
      </c>
      <c r="B1869" s="3" t="s">
        <v>2</v>
      </c>
      <c r="C1869" s="2" t="str">
        <f ca="1">IFERROR(__xludf.DUMMYFUNCTION("GOOGLETRANSLATE(A1869,""bn"",""en"")"),"The bags are pyramid shaped")</f>
        <v>The bags are pyramid shaped</v>
      </c>
    </row>
    <row r="1870" spans="1:3" ht="15.75" customHeight="1" x14ac:dyDescent="0.25">
      <c r="A1870" s="2" t="s">
        <v>1872</v>
      </c>
      <c r="B1870" s="3" t="s">
        <v>2</v>
      </c>
      <c r="C1870" s="2" t="str">
        <f ca="1">IFERROR(__xludf.DUMMYFUNCTION("GOOGLETRANSLATE(A1870,""bn"",""en"")"),"The design looks simple")</f>
        <v>The design looks simple</v>
      </c>
    </row>
    <row r="1871" spans="1:3" ht="15.75" customHeight="1" x14ac:dyDescent="0.25">
      <c r="A1871" s="2" t="s">
        <v>1873</v>
      </c>
      <c r="B1871" s="3" t="s">
        <v>4</v>
      </c>
      <c r="C1871" s="2" t="str">
        <f ca="1">IFERROR(__xludf.DUMMYFUNCTION("GOOGLETRANSLATE(A1871,""bn"",""en"")"),"It is very powerful and easy to use")</f>
        <v>It is very powerful and easy to use</v>
      </c>
    </row>
    <row r="1872" spans="1:3" ht="15.75" customHeight="1" x14ac:dyDescent="0.25">
      <c r="A1872" s="2" t="s">
        <v>1874</v>
      </c>
      <c r="B1872" s="3" t="s">
        <v>4</v>
      </c>
      <c r="C1872" s="2" t="str">
        <f ca="1">IFERROR(__xludf.DUMMYFUNCTION("GOOGLETRANSLATE(A1872,""bn"",""en"")"),"The plastic flower has relieved the allergy problem")</f>
        <v>The plastic flower has relieved the allergy problem</v>
      </c>
    </row>
    <row r="1873" spans="1:3" ht="15.75" customHeight="1" x14ac:dyDescent="0.25">
      <c r="A1873" s="2" t="s">
        <v>1875</v>
      </c>
      <c r="B1873" s="3" t="s">
        <v>2</v>
      </c>
      <c r="C1873" s="2" t="str">
        <f ca="1">IFERROR(__xludf.DUMMYFUNCTION("GOOGLETRANSLATE(A1873,""bn"",""en"")"),"Electric toothbrushes brush teeth but charge less")</f>
        <v>Electric toothbrushes brush teeth but charge less</v>
      </c>
    </row>
    <row r="1874" spans="1:3" ht="15.75" customHeight="1" x14ac:dyDescent="0.25">
      <c r="A1874" s="2" t="s">
        <v>1876</v>
      </c>
      <c r="B1874" s="3" t="s">
        <v>4</v>
      </c>
      <c r="C1874" s="2" t="str">
        <f ca="1">IFERROR(__xludf.DUMMYFUNCTION("GOOGLETRANSLATE(A1874,""bn"",""en"")"),"Thank God I came back")</f>
        <v>Thank God I came back</v>
      </c>
    </row>
    <row r="1875" spans="1:3" ht="15.75" customHeight="1" x14ac:dyDescent="0.25">
      <c r="A1875" s="2" t="s">
        <v>1877</v>
      </c>
      <c r="B1875" s="3" t="s">
        <v>6</v>
      </c>
      <c r="C1875" s="2" t="str">
        <f ca="1">IFERROR(__xludf.DUMMYFUNCTION("GOOGLETRANSLATE(A1875,""bn"",""en"")"),"don't do good")</f>
        <v>don't do good</v>
      </c>
    </row>
    <row r="1876" spans="1:3" ht="15.75" customHeight="1" x14ac:dyDescent="0.25">
      <c r="A1876" s="2" t="s">
        <v>1878</v>
      </c>
      <c r="B1876" s="3" t="s">
        <v>2</v>
      </c>
      <c r="C1876" s="2" t="str">
        <f ca="1">IFERROR(__xludf.DUMMYFUNCTION("GOOGLETRANSLATE(A1876,""bn"",""en"")"),"Easy install works as intended")</f>
        <v>Easy install works as intended</v>
      </c>
    </row>
    <row r="1877" spans="1:3" ht="15.75" customHeight="1" x14ac:dyDescent="0.25">
      <c r="A1877" s="2" t="s">
        <v>1879</v>
      </c>
      <c r="B1877" s="3" t="s">
        <v>6</v>
      </c>
      <c r="C1877" s="2" t="str">
        <f ca="1">IFERROR(__xludf.DUMMYFUNCTION("GOOGLETRANSLATE(A1877,""bn"",""en"")"),"The grind was too fine resulting in a bitter and overextracted brew")</f>
        <v>The grind was too fine resulting in a bitter and overextracted brew</v>
      </c>
    </row>
    <row r="1878" spans="1:3" ht="15.75" customHeight="1" x14ac:dyDescent="0.25">
      <c r="A1878" s="2" t="s">
        <v>1880</v>
      </c>
      <c r="B1878" s="3" t="s">
        <v>6</v>
      </c>
      <c r="C1878" s="2" t="str">
        <f ca="1">IFERROR(__xludf.DUMMYFUNCTION("GOOGLETRANSLATE(A1878,""bn"",""en"")"),"The camera's built-in microphone produces low-quality audio recordings that lack clarity")</f>
        <v>The camera's built-in microphone produces low-quality audio recordings that lack clarity</v>
      </c>
    </row>
    <row r="1879" spans="1:3" ht="15.75" customHeight="1" x14ac:dyDescent="0.25">
      <c r="A1879" s="2" t="s">
        <v>1881</v>
      </c>
      <c r="B1879" s="3" t="s">
        <v>2</v>
      </c>
      <c r="C1879" s="2" t="str">
        <f ca="1">IFERROR(__xludf.DUMMYFUNCTION("GOOGLETRANSLATE(A1879,""bn"",""en"")"),"It is somewhat lax in terms of quality")</f>
        <v>It is somewhat lax in terms of quality</v>
      </c>
    </row>
    <row r="1880" spans="1:3" ht="15.75" customHeight="1" x14ac:dyDescent="0.25">
      <c r="A1880" s="2" t="s">
        <v>1882</v>
      </c>
      <c r="B1880" s="3" t="s">
        <v>4</v>
      </c>
      <c r="C1880" s="2" t="str">
        <f ca="1">IFERROR(__xludf.DUMMYFUNCTION("GOOGLETRANSLATE(A1880,""bn"",""en"")"),"The balance of sweet and salt is done so beautifully that it is absolutely fun to eat")</f>
        <v>The balance of sweet and salt is done so beautifully that it is absolutely fun to eat</v>
      </c>
    </row>
    <row r="1881" spans="1:3" ht="15.75" customHeight="1" x14ac:dyDescent="0.25">
      <c r="A1881" s="2" t="s">
        <v>1883</v>
      </c>
      <c r="B1881" s="3" t="s">
        <v>6</v>
      </c>
      <c r="C1881" s="2" t="str">
        <f ca="1">IFERROR(__xludf.DUMMYFUNCTION("GOOGLETRANSLATE(A1881,""bn"",""en"")"),"Fidgety and restless buyers beware")</f>
        <v>Fidgety and restless buyers beware</v>
      </c>
    </row>
    <row r="1882" spans="1:3" ht="15.75" customHeight="1" x14ac:dyDescent="0.25">
      <c r="A1882" s="2" t="s">
        <v>1884</v>
      </c>
      <c r="B1882" s="3" t="s">
        <v>2</v>
      </c>
      <c r="C1882" s="2" t="str">
        <f ca="1">IFERROR(__xludf.DUMMYFUNCTION("GOOGLETRANSLATE(A1882,""bn"",""en"")"),"Some plants did well but the fertilizer didn't increase yield much")</f>
        <v>Some plants did well but the fertilizer didn't increase yield much</v>
      </c>
    </row>
    <row r="1883" spans="1:3" ht="15.75" customHeight="1" x14ac:dyDescent="0.25">
      <c r="A1883" s="2" t="s">
        <v>1885</v>
      </c>
      <c r="B1883" s="3" t="s">
        <v>4</v>
      </c>
      <c r="C1883" s="2" t="str">
        <f ca="1">IFERROR(__xludf.DUMMYFUNCTION("GOOGLETRANSLATE(A1883,""bn"",""en"")"),"It has natural ingredients which are good for my skin")</f>
        <v>It has natural ingredients which are good for my skin</v>
      </c>
    </row>
    <row r="1884" spans="1:3" ht="15.75" customHeight="1" x14ac:dyDescent="0.25">
      <c r="A1884" s="2" t="s">
        <v>1886</v>
      </c>
      <c r="B1884" s="3" t="s">
        <v>6</v>
      </c>
      <c r="C1884" s="2" t="str">
        <f ca="1">IFERROR(__xludf.DUMMYFUNCTION("GOOGLETRANSLATE(A1884,""bn"",""en"")"),"The wash made my skin dry and tight")</f>
        <v>The wash made my skin dry and tight</v>
      </c>
    </row>
    <row r="1885" spans="1:3" ht="15.75" customHeight="1" x14ac:dyDescent="0.25">
      <c r="A1885" s="2" t="s">
        <v>1887</v>
      </c>
      <c r="B1885" s="3" t="s">
        <v>6</v>
      </c>
      <c r="C1885" s="2" t="str">
        <f ca="1">IFERROR(__xludf.DUMMYFUNCTION("GOOGLETRANSLATE(A1885,""bn"",""en"")"),"Was very rough and left my skin raw")</f>
        <v>Was very rough and left my skin raw</v>
      </c>
    </row>
    <row r="1886" spans="1:3" ht="15.75" customHeight="1" x14ac:dyDescent="0.25">
      <c r="A1886" s="2" t="s">
        <v>1888</v>
      </c>
      <c r="B1886" s="3" t="s">
        <v>4</v>
      </c>
      <c r="C1886" s="2" t="str">
        <f ca="1">IFERROR(__xludf.DUMMYFUNCTION("GOOGLETRANSLATE(A1886,""bn"",""en"")"),"With every kiss I feel the tradition behind it and the hard work of the farmers")</f>
        <v>With every kiss I feel the tradition behind it and the hard work of the farmers</v>
      </c>
    </row>
    <row r="1887" spans="1:3" ht="15.75" customHeight="1" x14ac:dyDescent="0.25">
      <c r="A1887" s="2" t="s">
        <v>1889</v>
      </c>
      <c r="B1887" s="3" t="s">
        <v>2</v>
      </c>
      <c r="C1887" s="2" t="str">
        <f ca="1">IFERROR(__xludf.DUMMYFUNCTION("GOOGLETRANSLATE(A1887,""bn"",""en"")"),"Food scales measure weight but are button sensitive")</f>
        <v>Food scales measure weight but are button sensitive</v>
      </c>
    </row>
    <row r="1888" spans="1:3" ht="15.75" customHeight="1" x14ac:dyDescent="0.25">
      <c r="A1888" s="2" t="s">
        <v>1890</v>
      </c>
      <c r="B1888" s="3" t="s">
        <v>4</v>
      </c>
      <c r="C1888" s="2" t="str">
        <f ca="1">IFERROR(__xludf.DUMMYFUNCTION("GOOGLETRANSLATE(A1888,""bn"",""en"")"),"Teacher's explanation is always clear and understandable")</f>
        <v>Teacher's explanation is always clear and understandable</v>
      </c>
    </row>
    <row r="1889" spans="1:3" ht="15.75" customHeight="1" x14ac:dyDescent="0.25">
      <c r="A1889" s="2" t="s">
        <v>1891</v>
      </c>
      <c r="B1889" s="3" t="s">
        <v>6</v>
      </c>
      <c r="C1889" s="2" t="str">
        <f ca="1">IFERROR(__xludf.DUMMYFUNCTION("GOOGLETRANSLATE(A1889,""bn"",""en"")"),"WiFi connection was unreliable dropping connection frequently")</f>
        <v>WiFi connection was unreliable dropping connection frequently</v>
      </c>
    </row>
    <row r="1890" spans="1:3" ht="15.75" customHeight="1" x14ac:dyDescent="0.25">
      <c r="A1890" s="2" t="s">
        <v>1892</v>
      </c>
      <c r="B1890" s="3" t="s">
        <v>2</v>
      </c>
      <c r="C1890" s="2" t="str">
        <f ca="1">IFERROR(__xludf.DUMMYFUNCTION("GOOGLETRANSLATE(A1890,""bn"",""en"")"),"The look is good but the color is not")</f>
        <v>The look is good but the color is not</v>
      </c>
    </row>
    <row r="1891" spans="1:3" ht="15.75" customHeight="1" x14ac:dyDescent="0.25">
      <c r="A1891" s="2" t="s">
        <v>1893</v>
      </c>
      <c r="B1891" s="3" t="s">
        <v>4</v>
      </c>
      <c r="C1891" s="2" t="str">
        <f ca="1">IFERROR(__xludf.DUMMYFUNCTION("GOOGLETRANSLATE(A1891,""bn"",""en"")"),"The soap does not cause any side effects on the skin")</f>
        <v>The soap does not cause any side effects on the skin</v>
      </c>
    </row>
    <row r="1892" spans="1:3" ht="15.75" customHeight="1" x14ac:dyDescent="0.25">
      <c r="A1892" s="2" t="s">
        <v>1894</v>
      </c>
      <c r="B1892" s="3" t="s">
        <v>6</v>
      </c>
      <c r="C1892" s="2" t="str">
        <f ca="1">IFERROR(__xludf.DUMMYFUNCTION("GOOGLETRANSLATE(A1892,""bn"",""en"")"),"  The polish contains harsh chemicals that burn my skin")</f>
        <v xml:space="preserve">  The polish contains harsh chemicals that burn my skin</v>
      </c>
    </row>
    <row r="1893" spans="1:3" ht="15.75" customHeight="1" x14ac:dyDescent="0.25">
      <c r="A1893" s="2" t="s">
        <v>1895</v>
      </c>
      <c r="B1893" s="3" t="s">
        <v>4</v>
      </c>
      <c r="C1893" s="2" t="str">
        <f ca="1">IFERROR(__xludf.DUMMYFUNCTION("GOOGLETRANSLATE(A1893,""bn"",""en"")"),"I am giving a review after using it for a long time ")</f>
        <v xml:space="preserve">I am giving a review after using it for a long time </v>
      </c>
    </row>
    <row r="1894" spans="1:3" ht="15.75" customHeight="1" x14ac:dyDescent="0.25">
      <c r="A1894" s="2" t="s">
        <v>1896</v>
      </c>
      <c r="B1894" s="3" t="s">
        <v>6</v>
      </c>
      <c r="C1894" s="2" t="str">
        <f ca="1">IFERROR(__xludf.DUMMYFUNCTION("GOOGLETRANSLATE(A1894,""bn"",""en"")")," The remote control had a loose battery compartment causing the battery to fall out")</f>
        <v xml:space="preserve"> The remote control had a loose battery compartment causing the battery to fall out</v>
      </c>
    </row>
    <row r="1895" spans="1:3" ht="15.75" customHeight="1" x14ac:dyDescent="0.25">
      <c r="A1895" s="2" t="s">
        <v>1897</v>
      </c>
      <c r="B1895" s="3" t="s">
        <v>2</v>
      </c>
      <c r="C1895" s="2" t="str">
        <f ca="1">IFERROR(__xludf.DUMMYFUNCTION("GOOGLETRANSLATE(A1895,""bn"",""en"")"),"The size is about right but feels a bit big")</f>
        <v>The size is about right but feels a bit big</v>
      </c>
    </row>
    <row r="1896" spans="1:3" ht="15.75" customHeight="1" x14ac:dyDescent="0.25">
      <c r="A1896" s="2" t="s">
        <v>1898</v>
      </c>
      <c r="B1896" s="3" t="s">
        <v>6</v>
      </c>
      <c r="C1896" s="2" t="str">
        <f ca="1">IFERROR(__xludf.DUMMYFUNCTION("GOOGLETRANSLATE(A1896,""bn"",""en"")"),"The coffee was weak and watery and lacked body and richness")</f>
        <v>The coffee was weak and watery and lacked body and richness</v>
      </c>
    </row>
    <row r="1897" spans="1:3" ht="15.75" customHeight="1" x14ac:dyDescent="0.25">
      <c r="A1897" s="2" t="s">
        <v>1899</v>
      </c>
      <c r="B1897" s="3" t="s">
        <v>6</v>
      </c>
      <c r="C1897" s="2" t="str">
        <f ca="1">IFERROR(__xludf.DUMMYFUNCTION("GOOGLETRANSLATE(A1897,""bn"",""en"")"),"The casing of the power bank feels flimsy and lacks durability, prone to damage")</f>
        <v>The casing of the power bank feels flimsy and lacks durability, prone to damage</v>
      </c>
    </row>
    <row r="1898" spans="1:3" ht="15.75" customHeight="1" x14ac:dyDescent="0.25">
      <c r="A1898" s="2" t="s">
        <v>1900</v>
      </c>
      <c r="B1898" s="3" t="s">
        <v>4</v>
      </c>
      <c r="C1898" s="2" t="str">
        <f ca="1">IFERROR(__xludf.DUMMYFUNCTION("GOOGLETRANSLATE(A1898,""bn"",""en"")"),"The beauty soap retains moisture in the skin")</f>
        <v>The beauty soap retains moisture in the skin</v>
      </c>
    </row>
    <row r="1899" spans="1:3" ht="15.75" customHeight="1" x14ac:dyDescent="0.25">
      <c r="A1899" s="2" t="s">
        <v>1901</v>
      </c>
      <c r="B1899" s="3" t="s">
        <v>6</v>
      </c>
      <c r="C1899" s="2" t="str">
        <f ca="1">IFERROR(__xludf.DUMMYFUNCTION("GOOGLETRANSLATE(A1899,""bn"",""en"")"),"Autofocus accuracy is inconsistent and often struggles to lock onto subjects in challenging situations")</f>
        <v>Autofocus accuracy is inconsistent and often struggles to lock onto subjects in challenging situations</v>
      </c>
    </row>
    <row r="1900" spans="1:3" ht="15.75" customHeight="1" x14ac:dyDescent="0.25">
      <c r="A1900" s="2" t="s">
        <v>1902</v>
      </c>
      <c r="B1900" s="3" t="s">
        <v>2</v>
      </c>
      <c r="C1900" s="2" t="str">
        <f ca="1">IFERROR(__xludf.DUMMYFUNCTION("GOOGLETRANSLATE(A1900,""bn"",""en"")"),"Reusable")</f>
        <v>Reusable</v>
      </c>
    </row>
    <row r="1901" spans="1:3" ht="15.75" customHeight="1" x14ac:dyDescent="0.25">
      <c r="A1901" s="2" t="s">
        <v>1903</v>
      </c>
      <c r="B1901" s="3" t="s">
        <v>6</v>
      </c>
      <c r="C1901" s="2" t="str">
        <f ca="1">IFERROR(__xludf.DUMMYFUNCTION("GOOGLETRANSLATE(A1901,""bn"",""en"")"),"The quality of the beads is average")</f>
        <v>The quality of the beads is average</v>
      </c>
    </row>
    <row r="1902" spans="1:3" ht="15.75" customHeight="1" x14ac:dyDescent="0.25">
      <c r="A1902" s="2" t="s">
        <v>1904</v>
      </c>
      <c r="B1902" s="3" t="s">
        <v>2</v>
      </c>
      <c r="C1902" s="2" t="str">
        <f ca="1">IFERROR(__xludf.DUMMYFUNCTION("GOOGLETRANSLATE(A1902,""bn"",""en"")"),"Spotlight cameras can be sensitive")</f>
        <v>Spotlight cameras can be sensitive</v>
      </c>
    </row>
    <row r="1903" spans="1:3" ht="15.75" customHeight="1" x14ac:dyDescent="0.25">
      <c r="A1903" s="2" t="s">
        <v>1905</v>
      </c>
      <c r="B1903" s="3" t="s">
        <v>4</v>
      </c>
      <c r="C1903" s="2" t="str">
        <f ca="1">IFERROR(__xludf.DUMMYFUNCTION("GOOGLETRANSLATE(A1903,""bn"",""en"")"),"Peace of mind and best deals during emergencies")</f>
        <v>Peace of mind and best deals during emergencies</v>
      </c>
    </row>
    <row r="1904" spans="1:3" ht="15.75" customHeight="1" x14ac:dyDescent="0.25">
      <c r="A1904" s="2" t="s">
        <v>1906</v>
      </c>
      <c r="B1904" s="3" t="s">
        <v>4</v>
      </c>
      <c r="C1904" s="2" t="str">
        <f ca="1">IFERROR(__xludf.DUMMYFUNCTION("GOOGLETRANSLATE(A1904,""bn"",""en"")"),"Great security camera to monitor my pup")</f>
        <v>Great security camera to monitor my pup</v>
      </c>
    </row>
    <row r="1905" spans="1:3" ht="15.75" customHeight="1" x14ac:dyDescent="0.25">
      <c r="A1905" s="2" t="s">
        <v>1907</v>
      </c>
      <c r="B1905" s="3" t="s">
        <v>2</v>
      </c>
      <c r="C1905" s="2" t="str">
        <f ca="1">IFERROR(__xludf.DUMMYFUNCTION("GOOGLETRANSLATE(A1905,""bn"",""en"")"),"Usable though it doesn't seem to be of high quality")</f>
        <v>Usable though it doesn't seem to be of high quality</v>
      </c>
    </row>
    <row r="1906" spans="1:3" ht="15.75" customHeight="1" x14ac:dyDescent="0.25">
      <c r="A1906" s="2" t="s">
        <v>1908</v>
      </c>
      <c r="B1906" s="3" t="s">
        <v>6</v>
      </c>
      <c r="C1906" s="2" t="str">
        <f ca="1">IFERROR(__xludf.DUMMYFUNCTION("GOOGLETRANSLATE(A1906,""bn"",""en"")"),"The design prevents unrealistic movement and comfort")</f>
        <v>The design prevents unrealistic movement and comfort</v>
      </c>
    </row>
    <row r="1907" spans="1:3" ht="15.75" customHeight="1" x14ac:dyDescent="0.25">
      <c r="A1907" s="2" t="s">
        <v>1909</v>
      </c>
      <c r="B1907" s="3" t="s">
        <v>6</v>
      </c>
      <c r="C1907" s="2" t="str">
        <f ca="1">IFERROR(__xludf.DUMMYFUNCTION("GOOGLETRANSLATE(A1907,""bn"",""en"")"),"Automatic water dispenser water flow poor slow delivery")</f>
        <v>Automatic water dispenser water flow poor slow delivery</v>
      </c>
    </row>
    <row r="1908" spans="1:3" ht="15.75" customHeight="1" x14ac:dyDescent="0.25">
      <c r="A1908" s="2" t="s">
        <v>1910</v>
      </c>
      <c r="B1908" s="3" t="s">
        <v>6</v>
      </c>
      <c r="C1908" s="2" t="str">
        <f ca="1">IFERROR(__xludf.DUMMYFUNCTION("GOOGLETRANSLATE(A1908,""bn"",""en"")"),"Oral mists contain high concentrations of fragrances that cause allergies and sensitivities in some users")</f>
        <v>Oral mists contain high concentrations of fragrances that cause allergies and sensitivities in some users</v>
      </c>
    </row>
    <row r="1909" spans="1:3" ht="15.75" customHeight="1" x14ac:dyDescent="0.25">
      <c r="A1909" s="2" t="s">
        <v>1911</v>
      </c>
      <c r="B1909" s="3" t="s">
        <v>4</v>
      </c>
      <c r="C1909" s="2" t="str">
        <f ca="1">IFERROR(__xludf.DUMMYFUNCTION("GOOGLETRANSLATE(A1909,""bn"",""en"")"),"Honey is popular as a natural sweetener")</f>
        <v>Honey is popular as a natural sweetener</v>
      </c>
    </row>
    <row r="1910" spans="1:3" ht="15.75" customHeight="1" x14ac:dyDescent="0.25">
      <c r="A1910" s="2" t="s">
        <v>1912</v>
      </c>
      <c r="B1910" s="3" t="s">
        <v>2</v>
      </c>
      <c r="C1910" s="2" t="str">
        <f ca="1">IFERROR(__xludf.DUMMYFUNCTION("GOOGLETRANSLATE(A1910,""bn"",""en"")"),"Various color options are available")</f>
        <v>Various color options are available</v>
      </c>
    </row>
    <row r="1911" spans="1:3" ht="15.75" customHeight="1" x14ac:dyDescent="0.25">
      <c r="A1911" s="2" t="s">
        <v>1913</v>
      </c>
      <c r="B1911" s="3" t="s">
        <v>6</v>
      </c>
      <c r="C1911" s="2" t="str">
        <f ca="1">IFERROR(__xludf.DUMMYFUNCTION("GOOGLETRANSLATE(A1911,""bn"",""en"")"),"Bed frame wheels are flimsy and prone to breaking causing the bed to collapse unexpectedly")</f>
        <v>Bed frame wheels are flimsy and prone to breaking causing the bed to collapse unexpectedly</v>
      </c>
    </row>
    <row r="1912" spans="1:3" ht="15.75" customHeight="1" x14ac:dyDescent="0.25">
      <c r="A1912" s="2" t="s">
        <v>1914</v>
      </c>
      <c r="B1912" s="3" t="s">
        <v>6</v>
      </c>
      <c r="C1912" s="2" t="str">
        <f ca="1">IFERROR(__xludf.DUMMYFUNCTION("GOOGLETRANSLATE(A1912,""bn"",""en"")"),"The bath towel fibers shed excessively leaving lint all over my skin")</f>
        <v>The bath towel fibers shed excessively leaving lint all over my skin</v>
      </c>
    </row>
    <row r="1913" spans="1:3" ht="15.75" customHeight="1" x14ac:dyDescent="0.25">
      <c r="A1913" s="2" t="s">
        <v>1915</v>
      </c>
      <c r="B1913" s="3" t="s">
        <v>4</v>
      </c>
      <c r="C1913" s="2" t="str">
        <f ca="1">IFERROR(__xludf.DUMMYFUNCTION("GOOGLETRANSLATE(A1913,""bn"",""en"")"),"Maintains the same beauty for a long time")</f>
        <v>Maintains the same beauty for a long time</v>
      </c>
    </row>
    <row r="1914" spans="1:3" ht="15.75" customHeight="1" x14ac:dyDescent="0.25">
      <c r="A1914" s="2" t="s">
        <v>1916</v>
      </c>
      <c r="B1914" s="3" t="s">
        <v>6</v>
      </c>
      <c r="C1914" s="2" t="str">
        <f ca="1">IFERROR(__xludf.DUMMYFUNCTION("GOOGLETRANSLATE(A1914,""bn"",""en"")"),"The refrigerator's motor runs constantly, indicating potential problems with energy efficiency")</f>
        <v>The refrigerator's motor runs constantly, indicating potential problems with energy efficiency</v>
      </c>
    </row>
    <row r="1915" spans="1:3" ht="15.75" customHeight="1" x14ac:dyDescent="0.25">
      <c r="A1915" s="2" t="s">
        <v>1917</v>
      </c>
      <c r="B1915" s="3" t="s">
        <v>2</v>
      </c>
      <c r="C1915" s="2" t="str">
        <f ca="1">IFERROR(__xludf.DUMMYFUNCTION("GOOGLETRANSLATE(A1915,""bn"",""en"")"),"Clean after use")</f>
        <v>Clean after use</v>
      </c>
    </row>
    <row r="1916" spans="1:3" ht="15.75" customHeight="1" x14ac:dyDescent="0.25">
      <c r="A1916" s="2" t="s">
        <v>1918</v>
      </c>
      <c r="B1916" s="3" t="s">
        <v>2</v>
      </c>
      <c r="C1916" s="2" t="str">
        <f ca="1">IFERROR(__xludf.DUMMYFUNCTION("GOOGLETRANSLATE(A1916,""bn"",""en"")"),"Affordable but not quality")</f>
        <v>Affordable but not quality</v>
      </c>
    </row>
    <row r="1917" spans="1:3" ht="15.75" customHeight="1" x14ac:dyDescent="0.25">
      <c r="A1917" s="2" t="s">
        <v>1919</v>
      </c>
      <c r="B1917" s="3" t="s">
        <v>6</v>
      </c>
      <c r="C1917" s="2" t="str">
        <f ca="1">IFERROR(__xludf.DUMMYFUNCTION("GOOGLETRANSLATE(A1917,""bn"",""en"")"),"Despite claims to be suitable for all hair types has proven ineffective for many users")</f>
        <v>Despite claims to be suitable for all hair types has proven ineffective for many users</v>
      </c>
    </row>
    <row r="1918" spans="1:3" ht="15.75" customHeight="1" x14ac:dyDescent="0.25">
      <c r="A1918" s="2" t="s">
        <v>1920</v>
      </c>
      <c r="B1918" s="3" t="s">
        <v>4</v>
      </c>
      <c r="C1918" s="2" t="str">
        <f ca="1">IFERROR(__xludf.DUMMYFUNCTION("GOOGLETRANSLATE(A1918,""bn"",""en"")"),"Care instructions are provided with each piece")</f>
        <v>Care instructions are provided with each piece</v>
      </c>
    </row>
    <row r="1919" spans="1:3" ht="15.75" customHeight="1" x14ac:dyDescent="0.25">
      <c r="A1919" s="2" t="s">
        <v>1921</v>
      </c>
      <c r="B1919" s="3" t="s">
        <v>2</v>
      </c>
      <c r="C1919" s="2" t="str">
        <f ca="1">IFERROR(__xludf.DUMMYFUNCTION("GOOGLETRANSLATE(A1919,""bn"",""en"")"),"Portable ice cube maker makes ice but small in size")</f>
        <v>Portable ice cube maker makes ice but small in size</v>
      </c>
    </row>
    <row r="1920" spans="1:3" ht="15.75" customHeight="1" x14ac:dyDescent="0.25">
      <c r="A1920" s="2" t="s">
        <v>1922</v>
      </c>
      <c r="B1920" s="3" t="s">
        <v>6</v>
      </c>
      <c r="C1920" s="2" t="str">
        <f ca="1">IFERROR(__xludf.DUMMYFUNCTION("GOOGLETRANSLATE(A1920,""bn"",""en"")"),"Its bluetooth is not very reliable")</f>
        <v>Its bluetooth is not very reliable</v>
      </c>
    </row>
    <row r="1921" spans="1:3" ht="15.75" customHeight="1" x14ac:dyDescent="0.25">
      <c r="A1921" s="2" t="s">
        <v>1923</v>
      </c>
      <c r="B1921" s="3" t="s">
        <v>2</v>
      </c>
      <c r="C1921" s="2" t="str">
        <f ca="1">IFERROR(__xludf.DUMMYFUNCTION("GOOGLETRANSLATE(A1921,""bn"",""en"")"),"The coffee maker makes decent coffee but is a little complicated to use")</f>
        <v>The coffee maker makes decent coffee but is a little complicated to use</v>
      </c>
    </row>
    <row r="1922" spans="1:3" ht="15.75" customHeight="1" x14ac:dyDescent="0.25">
      <c r="A1922" s="2" t="s">
        <v>1924</v>
      </c>
      <c r="B1922" s="3" t="s">
        <v>6</v>
      </c>
      <c r="C1922" s="2" t="str">
        <f ca="1">IFERROR(__xludf.DUMMYFUNCTION("GOOGLETRANSLATE(A1922,""bn"",""en"")")," The turntable motor suddenly stops working making it unusable")</f>
        <v xml:space="preserve"> The turntable motor suddenly stops working making it unusable</v>
      </c>
    </row>
    <row r="1923" spans="1:3" ht="15.75" customHeight="1" x14ac:dyDescent="0.25">
      <c r="A1923" s="2" t="s">
        <v>1925</v>
      </c>
      <c r="B1923" s="3" t="s">
        <v>4</v>
      </c>
      <c r="C1923" s="2" t="str">
        <f ca="1">IFERROR(__xludf.DUMMYFUNCTION("GOOGLETRANSLATE(A1923,""bn"",""en"")"),"Plain and simple")</f>
        <v>Plain and simple</v>
      </c>
    </row>
    <row r="1924" spans="1:3" ht="15.75" customHeight="1" x14ac:dyDescent="0.25">
      <c r="A1924" s="2" t="s">
        <v>1926</v>
      </c>
      <c r="B1924" s="3" t="s">
        <v>2</v>
      </c>
      <c r="C1924" s="2" t="str">
        <f ca="1">IFERROR(__xludf.DUMMYFUNCTION("GOOGLETRANSLATE(A1924,""bn"",""en"")"),"A portable dehydrator dries food but consumes more energy")</f>
        <v>A portable dehydrator dries food but consumes more energy</v>
      </c>
    </row>
    <row r="1925" spans="1:3" ht="15.75" customHeight="1" x14ac:dyDescent="0.25">
      <c r="A1925" s="2" t="s">
        <v>1927</v>
      </c>
      <c r="B1925" s="3" t="s">
        <v>6</v>
      </c>
      <c r="C1925" s="2" t="str">
        <f ca="1">IFERROR(__xludf.DUMMYFUNCTION("GOOGLETRANSLATE(A1925,""bn"",""en"")"),"Many users have experienced allergic reactions and skin sensitivity issues after use")</f>
        <v>Many users have experienced allergic reactions and skin sensitivity issues after use</v>
      </c>
    </row>
    <row r="1926" spans="1:3" ht="15.75" customHeight="1" x14ac:dyDescent="0.25">
      <c r="A1926" s="2" t="s">
        <v>1928</v>
      </c>
      <c r="B1926" s="3" t="s">
        <v>4</v>
      </c>
      <c r="C1926" s="2" t="str">
        <f ca="1">IFERROR(__xludf.DUMMYFUNCTION("GOOGLETRANSLATE(A1926,""bn"",""en"")"),"Great NAS drive runs cool consistent performance")</f>
        <v>Great NAS drive runs cool consistent performance</v>
      </c>
    </row>
    <row r="1927" spans="1:3" ht="15.75" customHeight="1" x14ac:dyDescent="0.25">
      <c r="A1927" s="2" t="s">
        <v>1929</v>
      </c>
      <c r="B1927" s="3" t="s">
        <v>6</v>
      </c>
      <c r="C1927" s="2" t="str">
        <f ca="1">IFERROR(__xludf.DUMMYFUNCTION("GOOGLETRANSLATE(A1927,""bn"",""en"")"),"Compatibility with various devices is limited with frequent connection issues or compatibility errors")</f>
        <v>Compatibility with various devices is limited with frequent connection issues or compatibility errors</v>
      </c>
    </row>
    <row r="1928" spans="1:3" ht="15.75" customHeight="1" x14ac:dyDescent="0.25">
      <c r="A1928" s="2" t="s">
        <v>1930</v>
      </c>
      <c r="B1928" s="3" t="s">
        <v>6</v>
      </c>
      <c r="C1928" s="2" t="str">
        <f ca="1">IFERROR(__xludf.DUMMYFUNCTION("GOOGLETRANSLATE(A1928,""bn"",""en"")"),"Thin brittle material cracks with minimal force")</f>
        <v>Thin brittle material cracks with minimal force</v>
      </c>
    </row>
    <row r="1929" spans="1:3" ht="15.75" customHeight="1" x14ac:dyDescent="0.25">
      <c r="A1929" s="2" t="s">
        <v>1931</v>
      </c>
      <c r="B1929" s="3" t="s">
        <v>4</v>
      </c>
      <c r="C1929" s="2" t="str">
        <f ca="1">IFERROR(__xludf.DUMMYFUNCTION("GOOGLETRANSLATE(A1929,""bn"",""en"")"),"Easy to use works great good value")</f>
        <v>Easy to use works great good value</v>
      </c>
    </row>
    <row r="1930" spans="1:3" ht="15.75" customHeight="1" x14ac:dyDescent="0.25">
      <c r="A1930" s="2" t="s">
        <v>1932</v>
      </c>
      <c r="B1930" s="3" t="s">
        <v>6</v>
      </c>
      <c r="C1930" s="2" t="str">
        <f ca="1">IFERROR(__xludf.DUMMYFUNCTION("GOOGLETRANSLATE(A1930,""bn"",""en"")"),"weak")</f>
        <v>weak</v>
      </c>
    </row>
    <row r="1931" spans="1:3" ht="15.75" customHeight="1" x14ac:dyDescent="0.25">
      <c r="A1931" s="2" t="s">
        <v>1933</v>
      </c>
      <c r="B1931" s="3" t="s">
        <v>6</v>
      </c>
      <c r="C1931" s="2" t="str">
        <f ca="1">IFERROR(__xludf.DUMMYFUNCTION("GOOGLETRANSLATE(A1931,""bn"",""en"")"),"The aroma was smooth and inspiring with no lack of complexity")</f>
        <v>The aroma was smooth and inspiring with no lack of complexity</v>
      </c>
    </row>
    <row r="1932" spans="1:3" ht="15.75" customHeight="1" x14ac:dyDescent="0.25">
      <c r="A1932" s="2" t="s">
        <v>1934</v>
      </c>
      <c r="B1932" s="3" t="s">
        <v>4</v>
      </c>
      <c r="C1932" s="2" t="str">
        <f ca="1">IFERROR(__xludf.DUMMYFUNCTION("GOOGLETRANSLATE(A1932,""bn"",""en"")"),"It's my mainstay on hot days")</f>
        <v>It's my mainstay on hot days</v>
      </c>
    </row>
    <row r="1933" spans="1:3" ht="15.75" customHeight="1" x14ac:dyDescent="0.25">
      <c r="A1933" s="2" t="s">
        <v>1935</v>
      </c>
      <c r="B1933" s="3" t="s">
        <v>2</v>
      </c>
      <c r="C1933" s="2" t="str">
        <f ca="1">IFERROR(__xludf.DUMMYFUNCTION("GOOGLETRANSLATE(A1933,""bn"",""en"")"),"The watering can waters the plants and weighs more")</f>
        <v>The watering can waters the plants and weighs more</v>
      </c>
    </row>
    <row r="1934" spans="1:3" ht="15.75" customHeight="1" x14ac:dyDescent="0.25">
      <c r="A1934" s="2" t="s">
        <v>1936</v>
      </c>
      <c r="B1934" s="3" t="s">
        <v>2</v>
      </c>
      <c r="C1934" s="2" t="str">
        <f ca="1">IFERROR(__xludf.DUMMYFUNCTION("GOOGLETRANSLATE(A1934,""bn"",""en"")"),"Helps in choosing clothes")</f>
        <v>Helps in choosing clothes</v>
      </c>
    </row>
    <row r="1935" spans="1:3" ht="15.75" customHeight="1" x14ac:dyDescent="0.25">
      <c r="A1935" s="2" t="s">
        <v>1937</v>
      </c>
      <c r="B1935" s="3" t="s">
        <v>2</v>
      </c>
      <c r="C1935" s="2" t="str">
        <f ca="1">IFERROR(__xludf.DUMMYFUNCTION("GOOGLETRANSLATE(A1935,""bn"",""en"")"),"The staining power is fairly good")</f>
        <v>The staining power is fairly good</v>
      </c>
    </row>
    <row r="1936" spans="1:3" ht="15.75" customHeight="1" x14ac:dyDescent="0.25">
      <c r="A1936" s="2" t="s">
        <v>1938</v>
      </c>
      <c r="B1936" s="3" t="s">
        <v>4</v>
      </c>
      <c r="C1936" s="2" t="str">
        <f ca="1">IFERROR(__xludf.DUMMYFUNCTION("GOOGLETRANSLATE(A1936,""bn"",""en"")"),"This candle holder is very classy")</f>
        <v>This candle holder is very classy</v>
      </c>
    </row>
    <row r="1937" spans="1:3" ht="15.75" customHeight="1" x14ac:dyDescent="0.25">
      <c r="A1937" s="2" t="s">
        <v>1939</v>
      </c>
      <c r="B1937" s="3" t="s">
        <v>6</v>
      </c>
      <c r="C1937" s="2" t="str">
        <f ca="1">IFERROR(__xludf.DUMMYFUNCTION("GOOGLETRANSLATE(A1937,""bn"",""en"")"),"Drone propellers break easily upon impact and require frequent replacement")</f>
        <v>Drone propellers break easily upon impact and require frequent replacement</v>
      </c>
    </row>
    <row r="1938" spans="1:3" ht="15.75" customHeight="1" x14ac:dyDescent="0.25">
      <c r="A1938" s="2" t="s">
        <v>1940</v>
      </c>
      <c r="B1938" s="3" t="s">
        <v>2</v>
      </c>
      <c r="C1938" s="2" t="str">
        <f ca="1">IFERROR(__xludf.DUMMYFUNCTION("GOOGLETRANSLATE(A1938,""bn"",""en"")"),"The dress is stylish but the size is not right")</f>
        <v>The dress is stylish but the size is not right</v>
      </c>
    </row>
    <row r="1939" spans="1:3" ht="15.75" customHeight="1" x14ac:dyDescent="0.25">
      <c r="A1939" s="2" t="s">
        <v>1941</v>
      </c>
      <c r="B1939" s="3" t="s">
        <v>6</v>
      </c>
      <c r="C1939" s="2" t="str">
        <f ca="1">IFERROR(__xludf.DUMMYFUNCTION("GOOGLETRANSLATE(A1939,""bn"",""en"")")," The autofocus system is prone to backfocusing, resulting in blurry images")</f>
        <v xml:space="preserve"> The autofocus system is prone to backfocusing, resulting in blurry images</v>
      </c>
    </row>
    <row r="1940" spans="1:3" ht="15.75" customHeight="1" x14ac:dyDescent="0.25">
      <c r="A1940" s="2" t="s">
        <v>1942</v>
      </c>
      <c r="B1940" s="3" t="s">
        <v>4</v>
      </c>
      <c r="C1940" s="2" t="str">
        <f ca="1">IFERROR(__xludf.DUMMYFUNCTION("GOOGLETRANSLATE(A1940,""bn"",""en"")"),"Your skin will be fragrant with this body wash")</f>
        <v>Your skin will be fragrant with this body wash</v>
      </c>
    </row>
    <row r="1941" spans="1:3" ht="15.75" customHeight="1" x14ac:dyDescent="0.25">
      <c r="A1941" s="2" t="s">
        <v>1943</v>
      </c>
      <c r="B1941" s="3" t="s">
        <v>2</v>
      </c>
      <c r="C1941" s="2" t="str">
        <f ca="1">IFERROR(__xludf.DUMMYFUNCTION("GOOGLETRANSLATE(A1941,""bn"",""en"")"),"The light is a bit scattered")</f>
        <v>The light is a bit scattered</v>
      </c>
    </row>
    <row r="1942" spans="1:3" ht="15.75" customHeight="1" x14ac:dyDescent="0.25">
      <c r="A1942" s="2" t="s">
        <v>1944</v>
      </c>
      <c r="B1942" s="3" t="s">
        <v>2</v>
      </c>
      <c r="C1942" s="2" t="str">
        <f ca="1">IFERROR(__xludf.DUMMYFUNCTION("GOOGLETRANSLATE(A1942,""bn"",""en"")"),"The story content is good but the dialogues felt irrelevant at some places")</f>
        <v>The story content is good but the dialogues felt irrelevant at some places</v>
      </c>
    </row>
    <row r="1943" spans="1:3" ht="15.75" customHeight="1" x14ac:dyDescent="0.25">
      <c r="A1943" s="2" t="s">
        <v>1945</v>
      </c>
      <c r="B1943" s="3" t="s">
        <v>2</v>
      </c>
      <c r="C1943" s="2" t="str">
        <f ca="1">IFERROR(__xludf.DUMMYFUNCTION("GOOGLETRANSLATE(A1943,""bn"",""en"")"),"Tennis ball bounce is adequate but quality could be improved")</f>
        <v>Tennis ball bounce is adequate but quality could be improved</v>
      </c>
    </row>
    <row r="1944" spans="1:3" ht="15.75" customHeight="1" x14ac:dyDescent="0.25">
      <c r="A1944" s="2" t="s">
        <v>1946</v>
      </c>
      <c r="B1944" s="3" t="s">
        <v>2</v>
      </c>
      <c r="C1944" s="2" t="str">
        <f ca="1">IFERROR(__xludf.DUMMYFUNCTION("GOOGLETRANSLATE(A1944,""bn"",""en"")"),"Shoe size is ok but not very comfortable")</f>
        <v>Shoe size is ok but not very comfortable</v>
      </c>
    </row>
    <row r="1945" spans="1:3" ht="15.75" customHeight="1" x14ac:dyDescent="0.25">
      <c r="A1945" s="2" t="s">
        <v>1947</v>
      </c>
      <c r="B1945" s="3" t="s">
        <v>2</v>
      </c>
      <c r="C1945" s="2" t="str">
        <f ca="1">IFERROR(__xludf.DUMMYFUNCTION("GOOGLETRANSLATE(A1945,""bn"",""en"")"),"Fabric quality is fair but stitching is a little weak")</f>
        <v>Fabric quality is fair but stitching is a little weak</v>
      </c>
    </row>
    <row r="1946" spans="1:3" ht="15.75" customHeight="1" x14ac:dyDescent="0.25">
      <c r="A1946" s="2" t="s">
        <v>1948</v>
      </c>
      <c r="B1946" s="3" t="s">
        <v>2</v>
      </c>
      <c r="C1946" s="2" t="str">
        <f ca="1">IFERROR(__xludf.DUMMYFUNCTION("GOOGLETRANSLATE(A1946,""bn"",""en"")"),"The product is suitable for the price")</f>
        <v>The product is suitable for the price</v>
      </c>
    </row>
    <row r="1947" spans="1:3" ht="15.75" customHeight="1" x14ac:dyDescent="0.25">
      <c r="A1947" s="2" t="s">
        <v>1949</v>
      </c>
      <c r="B1947" s="3" t="s">
        <v>6</v>
      </c>
      <c r="C1947" s="2" t="str">
        <f ca="1">IFERROR(__xludf.DUMMYFUNCTION("GOOGLETRANSLATE(A1947,""bn"",""en"")"),"After opening the package the garment had a strange chemical smell suggesting poor quality material")</f>
        <v>After opening the package the garment had a strange chemical smell suggesting poor quality material</v>
      </c>
    </row>
    <row r="1948" spans="1:3" ht="15.75" customHeight="1" x14ac:dyDescent="0.25">
      <c r="A1948" s="2" t="s">
        <v>1950</v>
      </c>
      <c r="B1948" s="3" t="s">
        <v>6</v>
      </c>
      <c r="C1948" s="2" t="str">
        <f ca="1">IFERROR(__xludf.DUMMYFUNCTION("GOOGLETRANSLATE(A1948,""bn"",""en"")"),"The painting set did not include enough instruction on color theory")</f>
        <v>The painting set did not include enough instruction on color theory</v>
      </c>
    </row>
    <row r="1949" spans="1:3" ht="15.75" customHeight="1" x14ac:dyDescent="0.25">
      <c r="A1949" s="2" t="s">
        <v>1951</v>
      </c>
      <c r="B1949" s="3" t="s">
        <v>2</v>
      </c>
      <c r="C1949" s="2" t="str">
        <f ca="1">IFERROR(__xludf.DUMMYFUNCTION("GOOGLETRANSLATE(A1949,""bn"",""en"")"),"Colors are ok nothing spectacular")</f>
        <v>Colors are ok nothing spectacular</v>
      </c>
    </row>
    <row r="1950" spans="1:3" ht="15.75" customHeight="1" x14ac:dyDescent="0.25">
      <c r="A1950" s="2" t="s">
        <v>1952</v>
      </c>
      <c r="B1950" s="3" t="s">
        <v>6</v>
      </c>
      <c r="C1950" s="2" t="str">
        <f ca="1">IFERROR(__xludf.DUMMYFUNCTION("GOOGLETRANSLATE(A1950,""bn"",""en"")"),"Packaged fruit snacks were overly sweet and had a synthetic fruit flavor that lacked the flavor of real fruit.")</f>
        <v>Packaged fruit snacks were overly sweet and had a synthetic fruit flavor that lacked the flavor of real fruit.</v>
      </c>
    </row>
    <row r="1951" spans="1:3" ht="15.75" customHeight="1" x14ac:dyDescent="0.25">
      <c r="A1951" s="2" t="s">
        <v>1953</v>
      </c>
      <c r="B1951" s="3" t="s">
        <v>6</v>
      </c>
      <c r="C1951" s="2" t="str">
        <f ca="1">IFERROR(__xludf.DUMMYFUNCTION("GOOGLETRANSLATE(A1951,""bn"",""en"")"),"Packaging was excessive contributing to environmental degradation")</f>
        <v>Packaging was excessive contributing to environmental degradation</v>
      </c>
    </row>
    <row r="1952" spans="1:3" ht="15.75" customHeight="1" x14ac:dyDescent="0.25">
      <c r="A1952" s="2" t="s">
        <v>1954</v>
      </c>
      <c r="B1952" s="3" t="s">
        <v>6</v>
      </c>
      <c r="C1952" s="2" t="str">
        <f ca="1">IFERROR(__xludf.DUMMYFUNCTION("GOOGLETRANSLATE(A1952,""bn"",""en"")")," The pouch was crooked resulting in uneven pouring")</f>
        <v xml:space="preserve"> The pouch was crooked resulting in uneven pouring</v>
      </c>
    </row>
    <row r="1953" spans="1:3" ht="15.75" customHeight="1" x14ac:dyDescent="0.25">
      <c r="A1953" s="2" t="s">
        <v>1955</v>
      </c>
      <c r="B1953" s="3" t="s">
        <v>4</v>
      </c>
      <c r="C1953" s="2" t="str">
        <f ca="1">IFERROR(__xludf.DUMMYFUNCTION("GOOGLETRANSLATE(A1953,""bn"",""en"")"),"The new bed sheet looks great")</f>
        <v>The new bed sheet looks great</v>
      </c>
    </row>
    <row r="1954" spans="1:3" ht="15.75" customHeight="1" x14ac:dyDescent="0.25">
      <c r="A1954" s="2" t="s">
        <v>1956</v>
      </c>
      <c r="B1954" s="3" t="s">
        <v>6</v>
      </c>
      <c r="C1954" s="2" t="str">
        <f ca="1">IFERROR(__xludf.DUMMYFUNCTION("GOOGLETRANSLATE(A1954,""bn"",""en"")"),"The mattress is too firm causing pressure points and discomfort especially for side sleepers")</f>
        <v>The mattress is too firm causing pressure points and discomfort especially for side sleepers</v>
      </c>
    </row>
    <row r="1955" spans="1:3" ht="15.75" customHeight="1" x14ac:dyDescent="0.25">
      <c r="A1955" s="2" t="s">
        <v>1957</v>
      </c>
      <c r="B1955" s="3" t="s">
        <v>4</v>
      </c>
      <c r="C1955" s="2" t="str">
        <f ca="1">IFERROR(__xludf.DUMMYFUNCTION("GOOGLETRANSLATE(A1955,""bn"",""en"")"),"Jewelry organizer is provided along with the dressing table")</f>
        <v>Jewelry organizer is provided along with the dressing table</v>
      </c>
    </row>
    <row r="1956" spans="1:3" ht="15.75" customHeight="1" x14ac:dyDescent="0.25">
      <c r="A1956" s="2" t="s">
        <v>1958</v>
      </c>
      <c r="B1956" s="3" t="s">
        <v>2</v>
      </c>
      <c r="C1956" s="2" t="str">
        <f ca="1">IFERROR(__xludf.DUMMYFUNCTION("GOOGLETRANSLATE(A1956,""bn"",""en"")"),"Worked well for a bracelet though with some flaws")</f>
        <v>Worked well for a bracelet though with some flaws</v>
      </c>
    </row>
    <row r="1957" spans="1:3" ht="15.75" customHeight="1" x14ac:dyDescent="0.25">
      <c r="A1957" s="2" t="s">
        <v>1959</v>
      </c>
      <c r="B1957" s="3" t="s">
        <v>4</v>
      </c>
      <c r="C1957" s="2" t="str">
        <f ca="1">IFERROR(__xludf.DUMMYFUNCTION("GOOGLETRANSLATE(A1957,""bn"",""en"")"),"It enhances the naturalness of the makeup")</f>
        <v>It enhances the naturalness of the makeup</v>
      </c>
    </row>
    <row r="1958" spans="1:3" ht="15.75" customHeight="1" x14ac:dyDescent="0.25">
      <c r="A1958" s="2" t="s">
        <v>1960</v>
      </c>
      <c r="B1958" s="3" t="s">
        <v>4</v>
      </c>
      <c r="C1958" s="2" t="str">
        <f ca="1">IFERROR(__xludf.DUMMYFUNCTION("GOOGLETRANSLATE(A1958,""bn"",""en"")"),"It was so good I would take it again")</f>
        <v>It was so good I would take it again</v>
      </c>
    </row>
    <row r="1959" spans="1:3" ht="15.75" customHeight="1" x14ac:dyDescent="0.25">
      <c r="A1959" s="2" t="s">
        <v>1961</v>
      </c>
      <c r="B1959" s="3" t="s">
        <v>6</v>
      </c>
      <c r="C1959" s="2" t="str">
        <f ca="1">IFERROR(__xludf.DUMMYFUNCTION("GOOGLETRANSLATE(A1959,""bn"",""en"")")," Suction cups on bath seats do not adhere well to the bathtub, creating a safety hazard")</f>
        <v xml:space="preserve"> Suction cups on bath seats do not adhere well to the bathtub, creating a safety hazard</v>
      </c>
    </row>
    <row r="1960" spans="1:3" ht="15.75" customHeight="1" x14ac:dyDescent="0.25">
      <c r="A1960" s="2" t="s">
        <v>1962</v>
      </c>
      <c r="B1960" s="3" t="s">
        <v>6</v>
      </c>
      <c r="C1960" s="2" t="str">
        <f ca="1">IFERROR(__xludf.DUMMYFUNCTION("GOOGLETRANSLATE(A1960,""bn"",""en"")"),"  Indications of disappointing quality accompanied by noticeable defects")</f>
        <v xml:space="preserve">  Indications of disappointing quality accompanied by noticeable defects</v>
      </c>
    </row>
    <row r="1961" spans="1:3" ht="15.75" customHeight="1" x14ac:dyDescent="0.25">
      <c r="A1961" s="2" t="s">
        <v>1963</v>
      </c>
      <c r="B1961" s="3" t="s">
        <v>2</v>
      </c>
      <c r="C1961" s="2" t="str">
        <f ca="1">IFERROR(__xludf.DUMMYFUNCTION("GOOGLETRANSLATE(A1961,""bn"",""en"")"),"Customization options are limited")</f>
        <v>Customization options are limited</v>
      </c>
    </row>
    <row r="1962" spans="1:3" ht="15.75" customHeight="1" x14ac:dyDescent="0.25">
      <c r="A1962" s="2" t="s">
        <v>1964</v>
      </c>
      <c r="B1962" s="3" t="s">
        <v>6</v>
      </c>
      <c r="C1962" s="2" t="str">
        <f ca="1">IFERROR(__xludf.DUMMYFUNCTION("GOOGLETRANSLATE(A1962,""bn"",""en"")"),"  It is difficult to attach the legs securely which leads to instability and an uneven surface")</f>
        <v xml:space="preserve">  It is difficult to attach the legs securely which leads to instability and an uneven surface</v>
      </c>
    </row>
    <row r="1963" spans="1:3" ht="15.75" customHeight="1" x14ac:dyDescent="0.25">
      <c r="A1963" s="2" t="s">
        <v>1965</v>
      </c>
      <c r="B1963" s="3" t="s">
        <v>4</v>
      </c>
      <c r="C1963" s="2" t="str">
        <f ca="1">IFERROR(__xludf.DUMMYFUNCTION("GOOGLETRANSLATE(A1963,""bn"",""en"")"),"Great sleep mask with audio")</f>
        <v>Great sleep mask with audio</v>
      </c>
    </row>
    <row r="1964" spans="1:3" ht="15.75" customHeight="1" x14ac:dyDescent="0.25">
      <c r="A1964" s="2" t="s">
        <v>1966</v>
      </c>
      <c r="B1964" s="3" t="s">
        <v>6</v>
      </c>
      <c r="C1964" s="2" t="str">
        <f ca="1">IFERROR(__xludf.DUMMYFUNCTION("GOOGLETRANSLATE(A1964,""bn"",""en"")"),"  An odd fit was with the shoulders too wide and the waist too tight")</f>
        <v xml:space="preserve">  An odd fit was with the shoulders too wide and the waist too tight</v>
      </c>
    </row>
    <row r="1965" spans="1:3" ht="15.75" customHeight="1" x14ac:dyDescent="0.25">
      <c r="A1965" s="2" t="s">
        <v>1967</v>
      </c>
      <c r="B1965" s="3" t="s">
        <v>2</v>
      </c>
      <c r="C1965" s="2" t="str">
        <f ca="1">IFERROR(__xludf.DUMMYFUNCTION("GOOGLETRANSLATE(A1965,""bn"",""en"")"),"Can be used for stomach")</f>
        <v>Can be used for stomach</v>
      </c>
    </row>
    <row r="1966" spans="1:3" ht="15.75" customHeight="1" x14ac:dyDescent="0.25">
      <c r="A1966" s="2" t="s">
        <v>1968</v>
      </c>
      <c r="B1966" s="3" t="s">
        <v>4</v>
      </c>
      <c r="C1966" s="2" t="str">
        <f ca="1">IFERROR(__xludf.DUMMYFUNCTION("GOOGLETRANSLATE(A1966,""bn"",""en"")"),"New batteries and old remotes work like new Product is very nice")</f>
        <v>New batteries and old remotes work like new Product is very nice</v>
      </c>
    </row>
    <row r="1967" spans="1:3" ht="15.75" customHeight="1" x14ac:dyDescent="0.25">
      <c r="A1967" s="2" t="s">
        <v>1969</v>
      </c>
      <c r="B1967" s="3" t="s">
        <v>4</v>
      </c>
      <c r="C1967" s="2" t="str">
        <f ca="1">IFERROR(__xludf.DUMMYFUNCTION("GOOGLETRANSLATE(A1967,""bn"",""en"")"),"Using this shampoo makes the hair soft and silky")</f>
        <v>Using this shampoo makes the hair soft and silky</v>
      </c>
    </row>
    <row r="1968" spans="1:3" ht="15.75" customHeight="1" x14ac:dyDescent="0.25">
      <c r="A1968" s="2" t="s">
        <v>1970</v>
      </c>
      <c r="B1968" s="3" t="s">
        <v>6</v>
      </c>
      <c r="C1968" s="2" t="str">
        <f ca="1">IFERROR(__xludf.DUMMYFUNCTION("GOOGLETRANSLATE(A1968,""bn"",""en"")"),"The canned soup had a bland flavor and lacked spice making it far from hearty and comforting")</f>
        <v>The canned soup had a bland flavor and lacked spice making it far from hearty and comforting</v>
      </c>
    </row>
    <row r="1969" spans="1:3" ht="15.75" customHeight="1" x14ac:dyDescent="0.25">
      <c r="A1969" s="2" t="s">
        <v>1971</v>
      </c>
      <c r="B1969" s="3" t="s">
        <v>4</v>
      </c>
      <c r="C1969" s="2" t="str">
        <f ca="1">IFERROR(__xludf.DUMMYFUNCTION("GOOGLETRANSLATE(A1969,""bn"",""en"")"),"Really impressed with this painting")</f>
        <v>Really impressed with this painting</v>
      </c>
    </row>
    <row r="1970" spans="1:3" ht="15.75" customHeight="1" x14ac:dyDescent="0.25">
      <c r="A1970" s="2" t="s">
        <v>1972</v>
      </c>
      <c r="B1970" s="3" t="s">
        <v>4</v>
      </c>
      <c r="C1970" s="2" t="str">
        <f ca="1">IFERROR(__xludf.DUMMYFUNCTION("GOOGLETRANSLATE(A1970,""bn"",""en"")"),"The texture of each product in the kit is very smooth")</f>
        <v>The texture of each product in the kit is very smooth</v>
      </c>
    </row>
    <row r="1971" spans="1:3" ht="15.75" customHeight="1" x14ac:dyDescent="0.25">
      <c r="A1971" s="2" t="s">
        <v>1973</v>
      </c>
      <c r="B1971" s="3" t="s">
        <v>6</v>
      </c>
      <c r="C1971" s="2" t="str">
        <f ca="1">IFERROR(__xludf.DUMMYFUNCTION("GOOGLETRANSLATE(A1971,""bn"",""en"")"),"Uncomfortable fabric that feels rough and scratchy against the skin")</f>
        <v>Uncomfortable fabric that feels rough and scratchy against the skin</v>
      </c>
    </row>
    <row r="1972" spans="1:3" ht="15.75" customHeight="1" x14ac:dyDescent="0.25">
      <c r="A1972" s="2" t="s">
        <v>1974</v>
      </c>
      <c r="B1972" s="3" t="s">
        <v>4</v>
      </c>
      <c r="C1972" s="2" t="str">
        <f ca="1">IFERROR(__xludf.DUMMYFUNCTION("GOOGLETRANSLATE(A1972,""bn"",""en"")"),"Drinking this coffee has started my morning in a great way")</f>
        <v>Drinking this coffee has started my morning in a great way</v>
      </c>
    </row>
    <row r="1973" spans="1:3" ht="15.75" customHeight="1" x14ac:dyDescent="0.25">
      <c r="A1973" s="2" t="s">
        <v>1975</v>
      </c>
      <c r="B1973" s="3" t="s">
        <v>4</v>
      </c>
      <c r="C1973" s="2" t="str">
        <f ca="1">IFERROR(__xludf.DUMMYFUNCTION("GOOGLETRANSLATE(A1973,""bn"",""en"")"),"Using this body wash will boost your confidence")</f>
        <v>Using this body wash will boost your confidence</v>
      </c>
    </row>
    <row r="1974" spans="1:3" ht="15.75" customHeight="1" x14ac:dyDescent="0.25">
      <c r="A1974" s="2" t="s">
        <v>1976</v>
      </c>
      <c r="B1974" s="3" t="s">
        <v>4</v>
      </c>
      <c r="C1974" s="2" t="str">
        <f ca="1">IFERROR(__xludf.DUMMYFUNCTION("GOOGLETRANSLATE(A1974,""bn"",""en"")"),"The UI of the device is very user friendly")</f>
        <v>The UI of the device is very user friendly</v>
      </c>
    </row>
    <row r="1975" spans="1:3" ht="15.75" customHeight="1" x14ac:dyDescent="0.25">
      <c r="A1975" s="2" t="s">
        <v>1977</v>
      </c>
      <c r="B1975" s="3" t="s">
        <v>4</v>
      </c>
      <c r="C1975" s="2" t="str">
        <f ca="1">IFERROR(__xludf.DUMMYFUNCTION("GOOGLETRANSLATE(A1975,""bn"",""en"")"),"The tube is easy to squeeze and easy to control the amount")</f>
        <v>The tube is easy to squeeze and easy to control the amount</v>
      </c>
    </row>
    <row r="1976" spans="1:3" ht="15.75" customHeight="1" x14ac:dyDescent="0.25">
      <c r="A1976" s="2" t="s">
        <v>1978</v>
      </c>
      <c r="B1976" s="3" t="s">
        <v>6</v>
      </c>
      <c r="C1976" s="2" t="str">
        <f ca="1">IFERROR(__xludf.DUMMYFUNCTION("GOOGLETRANSLATE(A1976,""bn"",""en"")"),"Pattern does not match")</f>
        <v>Pattern does not match</v>
      </c>
    </row>
    <row r="1977" spans="1:3" ht="15.75" customHeight="1" x14ac:dyDescent="0.25">
      <c r="A1977" s="2" t="s">
        <v>1979</v>
      </c>
      <c r="B1977" s="3" t="s">
        <v>6</v>
      </c>
      <c r="C1977" s="2" t="str">
        <f ca="1">IFERROR(__xludf.DUMMYFUNCTION("GOOGLETRANSLATE(A1977,""bn"",""en"")"),"Packaged crackers were stale and tasted like cardboard while fresh crackers lacked the crispness")</f>
        <v>Packaged crackers were stale and tasted like cardboard while fresh crackers lacked the crispness</v>
      </c>
    </row>
    <row r="1978" spans="1:3" ht="15.75" customHeight="1" x14ac:dyDescent="0.25">
      <c r="A1978" s="2" t="s">
        <v>1980</v>
      </c>
      <c r="B1978" s="3" t="s">
        <v>4</v>
      </c>
      <c r="C1978" s="2" t="str">
        <f ca="1">IFERROR(__xludf.DUMMYFUNCTION("GOOGLETRANSLATE(A1978,""bn"",""en"")"),"You can't find better speakers on a budget, quality for the price")</f>
        <v>You can't find better speakers on a budget, quality for the price</v>
      </c>
    </row>
    <row r="1979" spans="1:3" ht="15.75" customHeight="1" x14ac:dyDescent="0.25">
      <c r="A1979" s="2" t="s">
        <v>1981</v>
      </c>
      <c r="B1979" s="3" t="s">
        <v>6</v>
      </c>
      <c r="C1979" s="2" t="str">
        <f ca="1">IFERROR(__xludf.DUMMYFUNCTION("GOOGLETRANSLATE(A1979,""bn"",""en"")"),"The packaging did not protect the tea from air causing oxidation and loss of flavor")</f>
        <v>The packaging did not protect the tea from air causing oxidation and loss of flavor</v>
      </c>
    </row>
    <row r="1980" spans="1:3" ht="15.75" customHeight="1" x14ac:dyDescent="0.25">
      <c r="A1980" s="2" t="s">
        <v>1982</v>
      </c>
      <c r="B1980" s="3" t="s">
        <v>4</v>
      </c>
      <c r="C1980" s="2" t="str">
        <f ca="1">IFERROR(__xludf.DUMMYFUNCTION("GOOGLETRANSLATE(A1980,""bn"",""en"")"),"It increases the durability of makeup")</f>
        <v>It increases the durability of makeup</v>
      </c>
    </row>
    <row r="1981" spans="1:3" ht="15.75" customHeight="1" x14ac:dyDescent="0.25">
      <c r="A1981" s="2" t="s">
        <v>1983</v>
      </c>
      <c r="B1981" s="3" t="s">
        <v>4</v>
      </c>
      <c r="C1981" s="2" t="str">
        <f ca="1">IFERROR(__xludf.DUMMYFUNCTION("GOOGLETRANSLATE(A1981,""bn"",""en"")"),"Very fast and easy to connect wifi and bluetooth connectivity is great")</f>
        <v>Very fast and easy to connect wifi and bluetooth connectivity is great</v>
      </c>
    </row>
    <row r="1982" spans="1:3" ht="15.75" customHeight="1" x14ac:dyDescent="0.25">
      <c r="A1982" s="2" t="s">
        <v>1984</v>
      </c>
      <c r="B1982" s="3" t="s">
        <v>6</v>
      </c>
      <c r="C1982" s="2" t="str">
        <f ca="1">IFERROR(__xludf.DUMMYFUNCTION("GOOGLETRANSLATE(A1982,""bn"",""en"")"),"GPS errors resulting in inaccurate navigation and location tracking")</f>
        <v>GPS errors resulting in inaccurate navigation and location tracking</v>
      </c>
    </row>
    <row r="1983" spans="1:3" ht="15.75" customHeight="1" x14ac:dyDescent="0.25">
      <c r="A1983" s="2" t="s">
        <v>1985</v>
      </c>
      <c r="B1983" s="3" t="s">
        <v>4</v>
      </c>
      <c r="C1983" s="2" t="str">
        <f ca="1">IFERROR(__xludf.DUMMYFUNCTION("GOOGLETRANSLATE(A1983,""bn"",""en"")"),"Additional charging ports are provided on bedside tables")</f>
        <v>Additional charging ports are provided on bedside tables</v>
      </c>
    </row>
    <row r="1984" spans="1:3" ht="15.75" customHeight="1" x14ac:dyDescent="0.25">
      <c r="A1984" s="2" t="s">
        <v>1986</v>
      </c>
      <c r="B1984" s="3" t="s">
        <v>2</v>
      </c>
      <c r="C1984" s="2" t="str">
        <f ca="1">IFERROR(__xludf.DUMMYFUNCTION("GOOGLETRANSLATE(A1984,""bn"",""en"")"),"Retains the taste of the food but penetrates the smell")</f>
        <v>Retains the taste of the food but penetrates the smell</v>
      </c>
    </row>
    <row r="1985" spans="1:3" ht="15.75" customHeight="1" x14ac:dyDescent="0.25">
      <c r="A1985" s="2" t="s">
        <v>1987</v>
      </c>
      <c r="B1985" s="3" t="s">
        <v>4</v>
      </c>
      <c r="C1985" s="2" t="str">
        <f ca="1">IFERROR(__xludf.DUMMYFUNCTION("GOOGLETRANSLATE(A1985,""bn"",""en"")"),"Great audio cord")</f>
        <v>Great audio cord</v>
      </c>
    </row>
    <row r="1986" spans="1:3" ht="15.75" customHeight="1" x14ac:dyDescent="0.25">
      <c r="A1986" s="2" t="s">
        <v>1988</v>
      </c>
      <c r="B1986" s="3" t="s">
        <v>2</v>
      </c>
      <c r="C1986" s="2" t="str">
        <f ca="1">IFERROR(__xludf.DUMMYFUNCTION("GOOGLETRANSLATE(A1986,""bn"",""en"")"),"Air does not dry")</f>
        <v>Air does not dry</v>
      </c>
    </row>
    <row r="1987" spans="1:3" ht="15.75" customHeight="1" x14ac:dyDescent="0.25">
      <c r="A1987" s="2" t="s">
        <v>1989</v>
      </c>
      <c r="B1987" s="3" t="s">
        <v>6</v>
      </c>
      <c r="C1987" s="2" t="str">
        <f ca="1">IFERROR(__xludf.DUMMYFUNCTION("GOOGLETRANSLATE(A1987,""bn"",""en"")"),"The menu interface is confusing and unintuitive making it difficult to quickly adjust settings")</f>
        <v>The menu interface is confusing and unintuitive making it difficult to quickly adjust settings</v>
      </c>
    </row>
    <row r="1988" spans="1:3" ht="15.75" customHeight="1" x14ac:dyDescent="0.25">
      <c r="A1988" s="2" t="s">
        <v>1990</v>
      </c>
      <c r="B1988" s="3" t="s">
        <v>4</v>
      </c>
      <c r="C1988" s="2" t="str">
        <f ca="1">IFERROR(__xludf.DUMMYFUNCTION("GOOGLETRANSLATE(A1988,""bn"",""en"")"),"Room window shades control light very nicely")</f>
        <v>Room window shades control light very nicely</v>
      </c>
    </row>
    <row r="1989" spans="1:3" ht="15.75" customHeight="1" x14ac:dyDescent="0.25">
      <c r="A1989" s="2" t="s">
        <v>1991</v>
      </c>
      <c r="B1989" s="3" t="s">
        <v>4</v>
      </c>
      <c r="C1989" s="2" t="str">
        <f ca="1">IFERROR(__xludf.DUMMYFUNCTION("GOOGLETRANSLATE(A1989,""bn"",""en"")"),"Matching throw pillows are provided with the sofa")</f>
        <v>Matching throw pillows are provided with the sofa</v>
      </c>
    </row>
    <row r="1990" spans="1:3" ht="15.75" customHeight="1" x14ac:dyDescent="0.25">
      <c r="A1990" s="2" t="s">
        <v>1992</v>
      </c>
      <c r="B1990" s="3" t="s">
        <v>6</v>
      </c>
      <c r="C1990" s="2" t="str">
        <f ca="1">IFERROR(__xludf.DUMMYFUNCTION("GOOGLETRANSLATE(A1990,""bn"",""en"")"),"Smart doorbell speaker cracking poor audio quality")</f>
        <v>Smart doorbell speaker cracking poor audio quality</v>
      </c>
    </row>
    <row r="1991" spans="1:3" ht="15.75" customHeight="1" x14ac:dyDescent="0.25">
      <c r="A1991" s="2" t="s">
        <v>1993</v>
      </c>
      <c r="B1991" s="3" t="s">
        <v>6</v>
      </c>
      <c r="C1991" s="2" t="str">
        <f ca="1">IFERROR(__xludf.DUMMYFUNCTION("GOOGLETRANSLATE(A1991,""bn"",""en"")"),"Paint on interior walls easily chips away exposing the metal underneath")</f>
        <v>Paint on interior walls easily chips away exposing the metal underneath</v>
      </c>
    </row>
    <row r="1992" spans="1:3" ht="15.75" customHeight="1" x14ac:dyDescent="0.25">
      <c r="A1992" s="2" t="s">
        <v>1994</v>
      </c>
      <c r="B1992" s="3" t="s">
        <v>2</v>
      </c>
      <c r="C1992" s="2" t="str">
        <f ca="1">IFERROR(__xludf.DUMMYFUNCTION("GOOGLETRANSLATE(A1992,""bn"",""en"")"),"The quality of the fabric is fair but I doubt it will last long")</f>
        <v>The quality of the fabric is fair but I doubt it will last long</v>
      </c>
    </row>
    <row r="1993" spans="1:3" ht="15.75" customHeight="1" x14ac:dyDescent="0.25">
      <c r="A1993" s="2" t="s">
        <v>1995</v>
      </c>
      <c r="B1993" s="3" t="s">
        <v>6</v>
      </c>
      <c r="C1993" s="2" t="str">
        <f ca="1">IFERROR(__xludf.DUMMYFUNCTION("GOOGLETRANSLATE(A1993,""bn"",""en"")"),"Fit emphasizes flaws not flattering")</f>
        <v>Fit emphasizes flaws not flattering</v>
      </c>
    </row>
    <row r="1994" spans="1:3" ht="15.75" customHeight="1" x14ac:dyDescent="0.25">
      <c r="A1994" s="2" t="s">
        <v>1996</v>
      </c>
      <c r="B1994" s="3" t="s">
        <v>4</v>
      </c>
      <c r="C1994" s="2" t="str">
        <f ca="1">IFERROR(__xludf.DUMMYFUNCTION("GOOGLETRANSLATE(A1994,""bn"",""en"")"),"Overall this pencil is really awesome and best to use")</f>
        <v>Overall this pencil is really awesome and best to use</v>
      </c>
    </row>
    <row r="1995" spans="1:3" ht="15.75" customHeight="1" x14ac:dyDescent="0.25">
      <c r="A1995" s="2" t="s">
        <v>1997</v>
      </c>
      <c r="B1995" s="3" t="s">
        <v>2</v>
      </c>
      <c r="C1995" s="2" t="str">
        <f ca="1">IFERROR(__xludf.DUMMYFUNCTION("GOOGLETRANSLATE(A1995,""bn"",""en"")"),"The weight seems a bit high")</f>
        <v>The weight seems a bit high</v>
      </c>
    </row>
    <row r="1996" spans="1:3" ht="15.75" customHeight="1" x14ac:dyDescent="0.25">
      <c r="A1996" s="2" t="s">
        <v>1998</v>
      </c>
      <c r="B1996" s="3" t="s">
        <v>4</v>
      </c>
      <c r="C1996" s="2" t="str">
        <f ca="1">IFERROR(__xludf.DUMMYFUNCTION("GOOGLETRANSLATE(A1996,""bn"",""en"")"),"The upper part of the cupboard is perfect for storing extra things")</f>
        <v>The upper part of the cupboard is perfect for storing extra things</v>
      </c>
    </row>
    <row r="1997" spans="1:3" ht="15.75" customHeight="1" x14ac:dyDescent="0.25">
      <c r="A1997" s="2" t="s">
        <v>1999</v>
      </c>
      <c r="B1997" s="3" t="s">
        <v>4</v>
      </c>
      <c r="C1997" s="2" t="str">
        <f ca="1">IFERROR(__xludf.DUMMYFUNCTION("GOOGLETRANSLATE(A1997,""bn"",""en"")"),"The audio quality of the mobile is very good")</f>
        <v>The audio quality of the mobile is very good</v>
      </c>
    </row>
    <row r="1998" spans="1:3" ht="15.75" customHeight="1" x14ac:dyDescent="0.25">
      <c r="A1998" s="2" t="s">
        <v>2000</v>
      </c>
      <c r="B1998" s="3" t="s">
        <v>6</v>
      </c>
      <c r="C1998" s="2" t="str">
        <f ca="1">IFERROR(__xludf.DUMMYFUNCTION("GOOGLETRANSLATE(A1998,""bn"",""en"")"),"After the fog there was a strange smell which was unpleasant")</f>
        <v>After the fog there was a strange smell which was unpleasant</v>
      </c>
    </row>
    <row r="1999" spans="1:3" ht="15.75" customHeight="1" x14ac:dyDescent="0.25">
      <c r="A1999" s="2" t="s">
        <v>2001</v>
      </c>
      <c r="B1999" s="3" t="s">
        <v>2</v>
      </c>
      <c r="C1999" s="2" t="str">
        <f ca="1">IFERROR(__xludf.DUMMYFUNCTION("GOOGLETRANSLATE(A1999,""bn"",""en"")"),"A bit less sweet but the taste is ok")</f>
        <v>A bit less sweet but the taste is ok</v>
      </c>
    </row>
    <row r="2000" spans="1:3" ht="15.75" customHeight="1" x14ac:dyDescent="0.25">
      <c r="A2000" s="2" t="s">
        <v>2002</v>
      </c>
      <c r="B2000" s="3" t="s">
        <v>6</v>
      </c>
      <c r="C2000" s="2" t="str">
        <f ca="1">IFERROR(__xludf.DUMMYFUNCTION("GOOGLETRANSLATE(A2000,""bn"",""en"")"),"The lid seal degrades over time allowing air to enter")</f>
        <v>The lid seal degrades over time allowing air to enter</v>
      </c>
    </row>
    <row r="2001" spans="1:3" ht="15.75" customHeight="1" x14ac:dyDescent="0.25">
      <c r="A2001" s="2" t="s">
        <v>2003</v>
      </c>
      <c r="B2001" s="3" t="s">
        <v>2</v>
      </c>
      <c r="C2001" s="2" t="str">
        <f ca="1">IFERROR(__xludf.DUMMYFUNCTION("GOOGLETRANSLATE(A2001,""bn"",""en"")"),"Lightweight but feels temporary because of it")</f>
        <v>Lightweight but feels temporary because of it</v>
      </c>
    </row>
    <row r="2002" spans="1:3" ht="15.75" customHeight="1" x14ac:dyDescent="0.25">
      <c r="A2002" s="2" t="s">
        <v>2004</v>
      </c>
      <c r="B2002" s="3" t="s">
        <v>4</v>
      </c>
      <c r="C2002" s="2" t="str">
        <f ca="1">IFERROR(__xludf.DUMMYFUNCTION("GOOGLETRANSLATE(A2002,""bn"",""en"")"),"The food quality of the restaurant is excellent")</f>
        <v>The food quality of the restaurant is excellent</v>
      </c>
    </row>
    <row r="2003" spans="1:3" ht="15.75" customHeight="1" x14ac:dyDescent="0.25">
      <c r="A2003" s="2" t="s">
        <v>2005</v>
      </c>
      <c r="B2003" s="3" t="s">
        <v>2</v>
      </c>
      <c r="C2003" s="2" t="str">
        <f ca="1">IFERROR(__xludf.DUMMYFUNCTION("GOOGLETRANSLATE(A2003,""bn"",""en"")"),"There may be some doubts about buying it")</f>
        <v>There may be some doubts about buying it</v>
      </c>
    </row>
    <row r="2004" spans="1:3" ht="15.75" customHeight="1" x14ac:dyDescent="0.25">
      <c r="A2004" s="2" t="s">
        <v>2006</v>
      </c>
      <c r="B2004" s="3" t="s">
        <v>2</v>
      </c>
      <c r="C2004" s="2" t="str">
        <f ca="1">IFERROR(__xludf.DUMMYFUNCTION("GOOGLETRANSLATE(A2004,""bn"",""en"")"),"The ability to keep warm is fair")</f>
        <v>The ability to keep warm is fair</v>
      </c>
    </row>
    <row r="2005" spans="1:3" ht="15.75" customHeight="1" x14ac:dyDescent="0.25">
      <c r="A2005" s="2" t="s">
        <v>2007</v>
      </c>
      <c r="B2005" s="3" t="s">
        <v>4</v>
      </c>
      <c r="C2005" s="2" t="str">
        <f ca="1">IFERROR(__xludf.DUMMYFUNCTION("GOOGLETRANSLATE(A2005,""bn"",""en"")"),"The box is sturdy and durable to carry easily even during travel")</f>
        <v>The box is sturdy and durable to carry easily even during travel</v>
      </c>
    </row>
    <row r="2006" spans="1:3" ht="15.75" customHeight="1" x14ac:dyDescent="0.25">
      <c r="A2006" s="2" t="s">
        <v>2008</v>
      </c>
      <c r="B2006" s="3" t="s">
        <v>6</v>
      </c>
      <c r="C2006" s="2" t="str">
        <f ca="1">IFERROR(__xludf.DUMMYFUNCTION("GOOGLETRANSLATE(A2006,""bn"",""en"")"),"Hemming is done very poorly leading to fraying and unraveling")</f>
        <v>Hemming is done very poorly leading to fraying and unraveling</v>
      </c>
    </row>
    <row r="2007" spans="1:3" ht="15.75" customHeight="1" x14ac:dyDescent="0.25">
      <c r="A2007" s="2" t="s">
        <v>2009</v>
      </c>
      <c r="B2007" s="3" t="s">
        <v>4</v>
      </c>
      <c r="C2007" s="2" t="str">
        <f ca="1">IFERROR(__xludf.DUMMYFUNCTION("GOOGLETRANSLATE(A2007,""bn"",""en"")"),"Compatible with Pixel I use Pixel and this charger charges in minutes")</f>
        <v>Compatible with Pixel I use Pixel and this charger charges in minutes</v>
      </c>
    </row>
    <row r="2008" spans="1:3" ht="15.75" customHeight="1" x14ac:dyDescent="0.25">
      <c r="A2008" s="2" t="s">
        <v>2010</v>
      </c>
      <c r="B2008" s="3" t="s">
        <v>2</v>
      </c>
      <c r="C2008" s="2" t="str">
        <f ca="1">IFERROR(__xludf.DUMMYFUNCTION("GOOGLETRANSLATE(A2008,""bn"",""en"")"),"Slightly better than clear elastic string")</f>
        <v>Slightly better than clear elastic string</v>
      </c>
    </row>
    <row r="2009" spans="1:3" ht="15.75" customHeight="1" x14ac:dyDescent="0.25">
      <c r="A2009" s="2" t="s">
        <v>2011</v>
      </c>
      <c r="B2009" s="3" t="s">
        <v>6</v>
      </c>
      <c r="C2009" s="2" t="str">
        <f ca="1">IFERROR(__xludf.DUMMYFUNCTION("GOOGLETRANSLATE(A2009,""bn"",""en"")"),"Bath thermometer batteries die quickly and require frequent replacement")</f>
        <v>Bath thermometer batteries die quickly and require frequent replacement</v>
      </c>
    </row>
    <row r="2010" spans="1:3" ht="15.75" customHeight="1" x14ac:dyDescent="0.25">
      <c r="A2010" s="2" t="s">
        <v>2012</v>
      </c>
      <c r="B2010" s="3" t="s">
        <v>6</v>
      </c>
      <c r="C2010" s="2" t="str">
        <f ca="1">IFERROR(__xludf.DUMMYFUNCTION("GOOGLETRANSLATE(A2010,""bn"",""en"")"),"The material is prone to wrinkling making it look untidy")</f>
        <v>The material is prone to wrinkling making it look untidy</v>
      </c>
    </row>
    <row r="2011" spans="1:3" ht="15.75" customHeight="1" x14ac:dyDescent="0.25">
      <c r="A2011" s="2" t="s">
        <v>2013</v>
      </c>
      <c r="B2011" s="3" t="s">
        <v>6</v>
      </c>
      <c r="C2011" s="2" t="str">
        <f ca="1">IFERROR(__xludf.DUMMYFUNCTION("GOOGLETRANSLATE(A2011,""bn"",""en"")"),"Dead pixels and flickering screen subpar display quality")</f>
        <v>Dead pixels and flickering screen subpar display quality</v>
      </c>
    </row>
    <row r="2012" spans="1:3" ht="15.75" customHeight="1" x14ac:dyDescent="0.25">
      <c r="A2012" s="2" t="s">
        <v>2014</v>
      </c>
      <c r="B2012" s="3" t="s">
        <v>6</v>
      </c>
      <c r="C2012" s="2" t="str">
        <f ca="1">IFERROR(__xludf.DUMMYFUNCTION("GOOGLETRANSLATE(A2012,""bn"",""en"")"),"One is obtained with uneven dye distribution resulting in spotted patches and inconsistent color")</f>
        <v>One is obtained with uneven dye distribution resulting in spotted patches and inconsistent color</v>
      </c>
    </row>
    <row r="2013" spans="1:3" ht="15.75" customHeight="1" x14ac:dyDescent="0.25">
      <c r="A2013" s="2" t="s">
        <v>2015</v>
      </c>
      <c r="B2013" s="3" t="s">
        <v>2</v>
      </c>
      <c r="C2013" s="2" t="str">
        <f ca="1">IFERROR(__xludf.DUMMYFUNCTION("GOOGLETRANSLATE(A2013,""bn"",""en"")"),"Good design but heating can be a bit spotty")</f>
        <v>Good design but heating can be a bit spotty</v>
      </c>
    </row>
    <row r="2014" spans="1:3" ht="15.75" customHeight="1" x14ac:dyDescent="0.25">
      <c r="A2014" s="2" t="s">
        <v>2016</v>
      </c>
      <c r="B2014" s="3" t="s">
        <v>4</v>
      </c>
      <c r="C2014" s="2" t="str">
        <f ca="1">IFERROR(__xludf.DUMMYFUNCTION("GOOGLETRANSLATE(A2014,""bn"",""en"")"),"These speakers double our enjoyment while partying with friends")</f>
        <v>These speakers double our enjoyment while partying with friends</v>
      </c>
    </row>
    <row r="2015" spans="1:3" ht="15.75" customHeight="1" x14ac:dyDescent="0.25">
      <c r="A2015" s="2" t="s">
        <v>2017</v>
      </c>
      <c r="B2015" s="3" t="s">
        <v>4</v>
      </c>
      <c r="C2015" s="2" t="str">
        <f ca="1">IFERROR(__xludf.DUMMYFUNCTION("GOOGLETRANSLATE(A2015,""bn"",""en"")"),"It is suitable for everyone in the family")</f>
        <v>It is suitable for everyone in the family</v>
      </c>
    </row>
    <row r="2016" spans="1:3" ht="15.75" customHeight="1" x14ac:dyDescent="0.25">
      <c r="A2016" s="2" t="s">
        <v>2018</v>
      </c>
      <c r="B2016" s="3" t="s">
        <v>4</v>
      </c>
      <c r="C2016" s="2" t="str">
        <f ca="1">IFERROR(__xludf.DUMMYFUNCTION("GOOGLETRANSLATE(A2016,""bn"",""en"")"),"It gives a very comfortable feeling while lying in bed")</f>
        <v>It gives a very comfortable feeling while lying in bed</v>
      </c>
    </row>
    <row r="2017" spans="1:3" ht="15.75" customHeight="1" x14ac:dyDescent="0.25">
      <c r="A2017" s="2" t="s">
        <v>2019</v>
      </c>
      <c r="B2017" s="3" t="s">
        <v>6</v>
      </c>
      <c r="C2017" s="2" t="str">
        <f ca="1">IFERROR(__xludf.DUMMYFUNCTION("GOOGLETRANSLATE(A2017,""bn"",""en"")"),"Poor quality control obtained with noticeable defects")</f>
        <v>Poor quality control obtained with noticeable defects</v>
      </c>
    </row>
    <row r="2018" spans="1:3" ht="15.75" customHeight="1" x14ac:dyDescent="0.25">
      <c r="A2018" s="2" t="s">
        <v>2020</v>
      </c>
      <c r="B2018" s="3" t="s">
        <v>4</v>
      </c>
      <c r="C2018" s="2" t="str">
        <f ca="1">IFERROR(__xludf.DUMMYFUNCTION("GOOGLETRANSLATE(A2018,""bn"",""en"")"),"I have tables that are sturdy")</f>
        <v>I have tables that are sturdy</v>
      </c>
    </row>
    <row r="2019" spans="1:3" ht="15.75" customHeight="1" x14ac:dyDescent="0.25">
      <c r="A2019" s="2" t="s">
        <v>2021</v>
      </c>
      <c r="B2019" s="3" t="s">
        <v>6</v>
      </c>
      <c r="C2019" s="2" t="str">
        <f ca="1">IFERROR(__xludf.DUMMYFUNCTION("GOOGLETRANSLATE(A2019,""bn"",""en"")"),"The handle of the loofah broke unexpectedly making it unusable")</f>
        <v>The handle of the loofah broke unexpectedly making it unusable</v>
      </c>
    </row>
    <row r="2020" spans="1:3" ht="15.75" customHeight="1" x14ac:dyDescent="0.25">
      <c r="A2020" s="2" t="s">
        <v>2022</v>
      </c>
      <c r="B2020" s="3" t="s">
        <v>6</v>
      </c>
      <c r="C2020" s="2" t="str">
        <f ca="1">IFERROR(__xludf.DUMMYFUNCTION("GOOGLETRANSLATE(A2020,""bn"",""en"")"),"The saucers were mismatched in shape making them unstable")</f>
        <v>The saucers were mismatched in shape making them unstable</v>
      </c>
    </row>
    <row r="2021" spans="1:3" ht="15.75" customHeight="1" x14ac:dyDescent="0.25">
      <c r="A2021" s="2" t="s">
        <v>2023</v>
      </c>
      <c r="B2021" s="3" t="s">
        <v>2</v>
      </c>
      <c r="C2021" s="2" t="str">
        <f ca="1">IFERROR(__xludf.DUMMYFUNCTION("GOOGLETRANSLATE(A2021,""bn"",""en"")"),"At first it's hard to say very good or bad")</f>
        <v>At first it's hard to say very good or bad</v>
      </c>
    </row>
    <row r="2022" spans="1:3" ht="15.75" customHeight="1" x14ac:dyDescent="0.25">
      <c r="A2022" s="2" t="s">
        <v>2024</v>
      </c>
      <c r="B2022" s="3" t="s">
        <v>2</v>
      </c>
      <c r="C2022" s="2" t="str">
        <f ca="1">IFERROR(__xludf.DUMMYFUNCTION("GOOGLETRANSLATE(A2022,""bn"",""en"")"),"Great for the gym All activities need to be checked for fit")</f>
        <v>Great for the gym All activities need to be checked for fit</v>
      </c>
    </row>
    <row r="2023" spans="1:3" ht="15.75" customHeight="1" x14ac:dyDescent="0.25">
      <c r="A2023" s="2" t="s">
        <v>2025</v>
      </c>
      <c r="B2023" s="3" t="s">
        <v>4</v>
      </c>
      <c r="C2023" s="2" t="str">
        <f ca="1">IFERROR(__xludf.DUMMYFUNCTION("GOOGLETRANSLATE(A2023,""bn"",""en"")"),"The smooth surface of this dinner set does not affect the taste of the food which I like very much")</f>
        <v>The smooth surface of this dinner set does not affect the taste of the food which I like very much</v>
      </c>
    </row>
    <row r="2024" spans="1:3" ht="15.75" customHeight="1" x14ac:dyDescent="0.25">
      <c r="A2024" s="2" t="s">
        <v>2026</v>
      </c>
      <c r="B2024" s="3" t="s">
        <v>6</v>
      </c>
      <c r="C2024" s="2" t="str">
        <f ca="1">IFERROR(__xludf.DUMMYFUNCTION("GOOGLETRANSLATE(A2024,""bn"",""en"")")," The built-in speakers emit a buzzing sound at high volume")</f>
        <v xml:space="preserve"> The built-in speakers emit a buzzing sound at high volume</v>
      </c>
    </row>
    <row r="2025" spans="1:3" ht="15.75" customHeight="1" x14ac:dyDescent="0.25">
      <c r="A2025" s="2" t="s">
        <v>2027</v>
      </c>
      <c r="B2025" s="3" t="s">
        <v>6</v>
      </c>
      <c r="C2025" s="2" t="str">
        <f ca="1">IFERROR(__xludf.DUMMYFUNCTION("GOOGLETRANSLATE(A2025,""bn"",""en"")"),"The fabric of the bath towel was rough and scratchy which irritated my skin")</f>
        <v>The fabric of the bath towel was rough and scratchy which irritated my skin</v>
      </c>
    </row>
    <row r="2026" spans="1:3" ht="15.75" customHeight="1" x14ac:dyDescent="0.25">
      <c r="A2026" s="2" t="s">
        <v>2028</v>
      </c>
      <c r="B2026" s="3" t="s">
        <v>6</v>
      </c>
      <c r="C2026" s="2" t="str">
        <f ca="1">IFERROR(__xludf.DUMMYFUNCTION("GOOGLETRANSLATE(A2026,""bn"",""en"")"),"The volumizing shampoo didn't add any volume to my hair and left it limp")</f>
        <v>The volumizing shampoo didn't add any volume to my hair and left it limp</v>
      </c>
    </row>
    <row r="2027" spans="1:3" ht="15.75" customHeight="1" x14ac:dyDescent="0.25">
      <c r="A2027" s="2" t="s">
        <v>2029</v>
      </c>
      <c r="B2027" s="3" t="s">
        <v>4</v>
      </c>
      <c r="C2027" s="2" t="str">
        <f ca="1">IFERROR(__xludf.DUMMYFUNCTION("GOOGLETRANSLATE(A2027,""bn"",""en"")"),"Can be easily installed anywhere in the house")</f>
        <v>Can be easily installed anywhere in the house</v>
      </c>
    </row>
    <row r="2028" spans="1:3" ht="15.75" customHeight="1" x14ac:dyDescent="0.25">
      <c r="A2028" s="2" t="s">
        <v>2030</v>
      </c>
      <c r="B2028" s="3" t="s">
        <v>4</v>
      </c>
      <c r="C2028" s="2" t="str">
        <f ca="1">IFERROR(__xludf.DUMMYFUNCTION("GOOGLETRANSLATE(A2028,""bn"",""en"")"),"The shelf design is very compact")</f>
        <v>The shelf design is very compact</v>
      </c>
    </row>
    <row r="2029" spans="1:3" ht="15.75" customHeight="1" x14ac:dyDescent="0.25">
      <c r="A2029" s="2" t="s">
        <v>2031</v>
      </c>
      <c r="B2029" s="3" t="s">
        <v>6</v>
      </c>
      <c r="C2029" s="2" t="str">
        <f ca="1">IFERROR(__xludf.DUMMYFUNCTION("GOOGLETRANSLATE(A2029,""bn"",""en"")"),"Hiding the power cord spoils the aesthetics of a difficult kitchen")</f>
        <v>Hiding the power cord spoils the aesthetics of a difficult kitchen</v>
      </c>
    </row>
    <row r="2030" spans="1:3" ht="15.75" customHeight="1" x14ac:dyDescent="0.25">
      <c r="A2030" s="2" t="s">
        <v>2032</v>
      </c>
      <c r="B2030" s="3" t="s">
        <v>6</v>
      </c>
      <c r="C2030" s="2" t="str">
        <f ca="1">IFERROR(__xludf.DUMMYFUNCTION("GOOGLETRANSLATE(A2030,""bn"",""en"")"),"The brushes were prone to flimsy handles")</f>
        <v>The brushes were prone to flimsy handles</v>
      </c>
    </row>
    <row r="2031" spans="1:3" ht="15.75" customHeight="1" x14ac:dyDescent="0.25">
      <c r="A2031" s="2" t="s">
        <v>2033</v>
      </c>
      <c r="B2031" s="3" t="s">
        <v>6</v>
      </c>
      <c r="C2031" s="2" t="str">
        <f ca="1">IFERROR(__xludf.DUMMYFUNCTION("GOOGLETRANSLATE(A2031,""bn"",""en"")")," It had a peculiar smell that lingered after multiple washes indicating poor quality material")</f>
        <v xml:space="preserve"> It had a peculiar smell that lingered after multiple washes indicating poor quality material</v>
      </c>
    </row>
    <row r="2032" spans="1:3" ht="15.75" customHeight="1" x14ac:dyDescent="0.25">
      <c r="A2032" s="2" t="s">
        <v>2034</v>
      </c>
      <c r="B2032" s="3" t="s">
        <v>4</v>
      </c>
      <c r="C2032" s="2" t="str">
        <f ca="1">IFERROR(__xludf.DUMMYFUNCTION("GOOGLETRANSLATE(A2032,""bn"",""en"")"),"Solid performance")</f>
        <v>Solid performance</v>
      </c>
    </row>
    <row r="2033" spans="1:3" ht="15.75" customHeight="1" x14ac:dyDescent="0.25">
      <c r="A2033" s="2" t="s">
        <v>2035</v>
      </c>
      <c r="B2033" s="3" t="s">
        <v>6</v>
      </c>
      <c r="C2033" s="2" t="str">
        <f ca="1">IFERROR(__xludf.DUMMYFUNCTION("GOOGLETRANSLATE(A2033,""bn"",""en"")")," Condensation in the cooking chamber creates a breeding ground for mold")</f>
        <v xml:space="preserve"> Condensation in the cooking chamber creates a breeding ground for mold</v>
      </c>
    </row>
    <row r="2034" spans="1:3" ht="15.75" customHeight="1" x14ac:dyDescent="0.25">
      <c r="A2034" s="2" t="s">
        <v>2036</v>
      </c>
      <c r="B2034" s="3" t="s">
        <v>2</v>
      </c>
      <c r="C2034" s="2" t="str">
        <f ca="1">IFERROR(__xludf.DUMMYFUNCTION("GOOGLETRANSLATE(A2034,""bn"",""en"")"),"The step ladder helps to climb but is difficult to fold")</f>
        <v>The step ladder helps to climb but is difficult to fold</v>
      </c>
    </row>
    <row r="2035" spans="1:3" ht="15.75" customHeight="1" x14ac:dyDescent="0.25">
      <c r="A2035" s="2" t="s">
        <v>2037</v>
      </c>
      <c r="B2035" s="3" t="s">
        <v>6</v>
      </c>
      <c r="C2035" s="2" t="str">
        <f ca="1">IFERROR(__xludf.DUMMYFUNCTION("GOOGLETRANSLATE(A2035,""bn"",""en"")"),"The microwavable pizza pocket had a rubbery texture and tasted like cardboard")</f>
        <v>The microwavable pizza pocket had a rubbery texture and tasted like cardboard</v>
      </c>
    </row>
    <row r="2036" spans="1:3" ht="15.75" customHeight="1" x14ac:dyDescent="0.25">
      <c r="A2036" s="2" t="s">
        <v>2038</v>
      </c>
      <c r="B2036" s="3" t="s">
        <v>6</v>
      </c>
      <c r="C2036" s="2" t="str">
        <f ca="1">IFERROR(__xludf.DUMMYFUNCTION("GOOGLETRANSLATE(A2036,""bn"",""en"")"),"The painting set lacked detailed instructions for beginners")</f>
        <v>The painting set lacked detailed instructions for beginners</v>
      </c>
    </row>
    <row r="2037" spans="1:3" ht="15.75" customHeight="1" x14ac:dyDescent="0.25">
      <c r="A2037" s="2" t="s">
        <v>2039</v>
      </c>
      <c r="B2037" s="3" t="s">
        <v>2</v>
      </c>
      <c r="C2037" s="2" t="str">
        <f ca="1">IFERROR(__xludf.DUMMYFUNCTION("GOOGLETRANSLATE(A2037,""bn"",""en"")"),"The wireless ear wax camera examines the ear but the resolution is low")</f>
        <v>The wireless ear wax camera examines the ear but the resolution is low</v>
      </c>
    </row>
    <row r="2038" spans="1:3" ht="15.75" customHeight="1" x14ac:dyDescent="0.25">
      <c r="A2038" s="2" t="s">
        <v>2040</v>
      </c>
      <c r="B2038" s="3" t="s">
        <v>2</v>
      </c>
      <c r="C2038" s="2" t="str">
        <f ca="1">IFERROR(__xludf.DUMMYFUNCTION("GOOGLETRANSLATE(A2038,""bn"",""en"")"),"The product is of average quality")</f>
        <v>The product is of average quality</v>
      </c>
    </row>
    <row r="2039" spans="1:3" ht="15.75" customHeight="1" x14ac:dyDescent="0.25">
      <c r="A2039" s="2" t="s">
        <v>2041</v>
      </c>
      <c r="B2039" s="3" t="s">
        <v>4</v>
      </c>
      <c r="C2039" s="2" t="str">
        <f ca="1">IFERROR(__xludf.DUMMYFUNCTION("GOOGLETRANSLATE(A2039,""bn"",""en"")"),"Fast shipping and a great laptop")</f>
        <v>Fast shipping and a great laptop</v>
      </c>
    </row>
    <row r="2040" spans="1:3" ht="15.75" customHeight="1" x14ac:dyDescent="0.25">
      <c r="A2040" s="2" t="s">
        <v>2042</v>
      </c>
      <c r="B2040" s="3" t="s">
        <v>4</v>
      </c>
      <c r="C2040" s="2" t="str">
        <f ca="1">IFERROR(__xludf.DUMMYFUNCTION("GOOGLETRANSLATE(A2040,""bn"",""en"")"),"The design of the mobile is very attractive")</f>
        <v>The design of the mobile is very attractive</v>
      </c>
    </row>
    <row r="2041" spans="1:3" ht="15.75" customHeight="1" x14ac:dyDescent="0.25">
      <c r="A2041" s="2" t="s">
        <v>2043</v>
      </c>
      <c r="B2041" s="3" t="s">
        <v>4</v>
      </c>
      <c r="C2041" s="2" t="str">
        <f ca="1">IFERROR(__xludf.DUMMYFUNCTION("GOOGLETRANSLATE(A2041,""bn"",""en"")"),"We took the friend ")</f>
        <v xml:space="preserve">We took the friend </v>
      </c>
    </row>
    <row r="2042" spans="1:3" ht="15.75" customHeight="1" x14ac:dyDescent="0.25">
      <c r="A2042" s="2" t="s">
        <v>2044</v>
      </c>
      <c r="B2042" s="3" t="s">
        <v>4</v>
      </c>
      <c r="C2042" s="2" t="str">
        <f ca="1">IFERROR(__xludf.DUMMYFUNCTION("GOOGLETRANSLATE(A2042,""bn"",""en"")"),"The stitching of the garment is very strong")</f>
        <v>The stitching of the garment is very strong</v>
      </c>
    </row>
    <row r="2043" spans="1:3" ht="15.75" customHeight="1" x14ac:dyDescent="0.25">
      <c r="A2043" s="2" t="s">
        <v>2045</v>
      </c>
      <c r="B2043" s="3" t="s">
        <v>2</v>
      </c>
      <c r="C2043" s="2" t="str">
        <f ca="1">IFERROR(__xludf.DUMMYFUNCTION("GOOGLETRANSLATE(A2043,""bn"",""en"")"),"A slightly better item")</f>
        <v>A slightly better item</v>
      </c>
    </row>
    <row r="2044" spans="1:3" ht="15.75" customHeight="1" x14ac:dyDescent="0.25">
      <c r="A2044" s="2" t="s">
        <v>2046</v>
      </c>
      <c r="B2044" s="3" t="s">
        <v>4</v>
      </c>
      <c r="C2044" s="2" t="str">
        <f ca="1">IFERROR(__xludf.DUMMYFUNCTION("GOOGLETRANSLATE(A2044,""bn"",""en"")"),"Each scene is beautifully described")</f>
        <v>Each scene is beautifully described</v>
      </c>
    </row>
    <row r="2045" spans="1:3" ht="15.75" customHeight="1" x14ac:dyDescent="0.25">
      <c r="A2045" s="2" t="s">
        <v>2047</v>
      </c>
      <c r="B2045" s="3" t="s">
        <v>2</v>
      </c>
      <c r="C2045" s="2" t="str">
        <f ca="1">IFERROR(__xludf.DUMMYFUNCTION("GOOGLETRANSLATE(A2045,""bn"",""en"")"),"Does not break if dropped but scratches easily")</f>
        <v>Does not break if dropped but scratches easily</v>
      </c>
    </row>
    <row r="2046" spans="1:3" ht="15.75" customHeight="1" x14ac:dyDescent="0.25">
      <c r="A2046" s="2" t="s">
        <v>2048</v>
      </c>
      <c r="B2046" s="3" t="s">
        <v>2</v>
      </c>
      <c r="C2046" s="2" t="str">
        <f ca="1">IFERROR(__xludf.DUMMYFUNCTION("GOOGLETRANSLATE(A2046,""bn"",""en"")"),"The tracing pad is good but could have been better")</f>
        <v>The tracing pad is good but could have been better</v>
      </c>
    </row>
    <row r="2047" spans="1:3" ht="15.75" customHeight="1" x14ac:dyDescent="0.25">
      <c r="A2047" s="2" t="s">
        <v>2049</v>
      </c>
      <c r="B2047" s="3" t="s">
        <v>2</v>
      </c>
      <c r="C2047" s="2" t="str">
        <f ca="1">IFERROR(__xludf.DUMMYFUNCTION("GOOGLETRANSLATE(A2047,""bn"",""en"")"),"Be careful while cleaning")</f>
        <v>Be careful while cleaning</v>
      </c>
    </row>
    <row r="2048" spans="1:3" ht="15.75" customHeight="1" x14ac:dyDescent="0.25">
      <c r="A2048" s="2" t="s">
        <v>2050</v>
      </c>
      <c r="B2048" s="3" t="s">
        <v>4</v>
      </c>
      <c r="C2048" s="2" t="str">
        <f ca="1">IFERROR(__xludf.DUMMYFUNCTION("GOOGLETRANSLATE(A2048,""bn"",""en"")"),"When listening to acoustic music, it seems as if the artist is sitting in front of the music")</f>
        <v>When listening to acoustic music, it seems as if the artist is sitting in front of the music</v>
      </c>
    </row>
    <row r="2049" spans="1:3" ht="15.75" customHeight="1" x14ac:dyDescent="0.25">
      <c r="A2049" s="2" t="s">
        <v>2051</v>
      </c>
      <c r="B2049" s="3" t="s">
        <v>4</v>
      </c>
      <c r="C2049" s="2" t="str">
        <f ca="1">IFERROR(__xludf.DUMMYFUNCTION("GOOGLETRANSLATE(A2049,""bn"",""en"")"),"The fragrance of this shampoo is really lovely")</f>
        <v>The fragrance of this shampoo is really lovely</v>
      </c>
    </row>
    <row r="2050" spans="1:3" ht="15.75" customHeight="1" x14ac:dyDescent="0.25">
      <c r="A2050" s="2" t="s">
        <v>2052</v>
      </c>
      <c r="B2050" s="3" t="s">
        <v>2</v>
      </c>
      <c r="C2050" s="2" t="str">
        <f ca="1">IFERROR(__xludf.DUMMYFUNCTION("GOOGLETRANSLATE(A2050,""bn"",""en"")"),"The beginner set is pretty good but has some flaws")</f>
        <v>The beginner set is pretty good but has some flaws</v>
      </c>
    </row>
    <row r="2051" spans="1:3" ht="15.75" customHeight="1" x14ac:dyDescent="0.25">
      <c r="A2051" s="2" t="s">
        <v>2053</v>
      </c>
      <c r="B2051" s="3" t="s">
        <v>2</v>
      </c>
      <c r="C2051" s="2" t="str">
        <f ca="1">IFERROR(__xludf.DUMMYFUNCTION("GOOGLETRANSLATE(A2051,""bn"",""en"")"),"Easy to wash but nothing special from other toys")</f>
        <v>Easy to wash but nothing special from other toys</v>
      </c>
    </row>
    <row r="2052" spans="1:3" ht="15.75" customHeight="1" x14ac:dyDescent="0.25">
      <c r="A2052" s="2" t="s">
        <v>2054</v>
      </c>
      <c r="B2052" s="3" t="s">
        <v>2</v>
      </c>
      <c r="C2052" s="2" t="str">
        <f ca="1">IFERROR(__xludf.DUMMYFUNCTION("GOOGLETRANSLATE(A2052,""bn"",""en"")"),"The dress is beautiful but the cut is problematic")</f>
        <v>The dress is beautiful but the cut is problematic</v>
      </c>
    </row>
    <row r="2053" spans="1:3" ht="15.75" customHeight="1" x14ac:dyDescent="0.25">
      <c r="A2053" s="2" t="s">
        <v>2055</v>
      </c>
      <c r="B2053" s="3" t="s">
        <v>4</v>
      </c>
      <c r="C2053" s="2" t="str">
        <f ca="1">IFERROR(__xludf.DUMMYFUNCTION("GOOGLETRANSLATE(A2053,""bn"",""en"")"),"It is helpful in reducing skin infections")</f>
        <v>It is helpful in reducing skin infections</v>
      </c>
    </row>
    <row r="2054" spans="1:3" ht="15.75" customHeight="1" x14ac:dyDescent="0.25">
      <c r="A2054" s="2" t="s">
        <v>2056</v>
      </c>
      <c r="B2054" s="3" t="s">
        <v>2</v>
      </c>
      <c r="C2054" s="2" t="str">
        <f ca="1">IFERROR(__xludf.DUMMYFUNCTION("GOOGLETRANSLATE(A2054,""bn"",""en"")"),"Delivery is completed on time")</f>
        <v>Delivery is completed on time</v>
      </c>
    </row>
    <row r="2055" spans="1:3" ht="15.75" customHeight="1" x14ac:dyDescent="0.25">
      <c r="A2055" s="2" t="s">
        <v>2057</v>
      </c>
      <c r="B2055" s="3" t="s">
        <v>2</v>
      </c>
      <c r="C2055" s="2" t="str">
        <f ca="1">IFERROR(__xludf.DUMMYFUNCTION("GOOGLETRANSLATE(A2055,""bn"",""en"")"),"It is expected to help with muscle pain")</f>
        <v>It is expected to help with muscle pain</v>
      </c>
    </row>
    <row r="2056" spans="1:3" ht="15.75" customHeight="1" x14ac:dyDescent="0.25">
      <c r="A2056" s="2" t="s">
        <v>2058</v>
      </c>
      <c r="B2056" s="3" t="s">
        <v>4</v>
      </c>
      <c r="C2056" s="2" t="str">
        <f ca="1">IFERROR(__xludf.DUMMYFUNCTION("GOOGLETRANSLATE(A2056,""bn"",""en"")"),"Suitable for daily use")</f>
        <v>Suitable for daily use</v>
      </c>
    </row>
    <row r="2057" spans="1:3" ht="15.75" customHeight="1" x14ac:dyDescent="0.25">
      <c r="A2057" s="2" t="s">
        <v>2059</v>
      </c>
      <c r="B2057" s="3" t="s">
        <v>2</v>
      </c>
      <c r="C2057" s="2" t="str">
        <f ca="1">IFERROR(__xludf.DUMMYFUNCTION("GOOGLETRANSLATE(A2057,""bn"",""en"")"),"Its usability raises the question of permanence")</f>
        <v>Its usability raises the question of permanence</v>
      </c>
    </row>
    <row r="2058" spans="1:3" ht="15.75" customHeight="1" x14ac:dyDescent="0.25">
      <c r="A2058" s="2" t="s">
        <v>2060</v>
      </c>
      <c r="B2058" s="3" t="s">
        <v>6</v>
      </c>
      <c r="C2058" s="2" t="str">
        <f ca="1">IFERROR(__xludf.DUMMYFUNCTION("GOOGLETRANSLATE(A2058,""bn"",""en"")"),"Fabric attracts lint and pet hair easily and requires constant maintenance and cleaning")</f>
        <v>Fabric attracts lint and pet hair easily and requires constant maintenance and cleaning</v>
      </c>
    </row>
    <row r="2059" spans="1:3" ht="15.75" customHeight="1" x14ac:dyDescent="0.25">
      <c r="A2059" s="2" t="s">
        <v>2061</v>
      </c>
      <c r="B2059" s="3" t="s">
        <v>6</v>
      </c>
      <c r="C2059" s="2" t="str">
        <f ca="1">IFERROR(__xludf.DUMMYFUNCTION("GOOGLETRANSLATE(A2059,""bn"",""en"")"),"Smart doorbell's camera lag misses important events")</f>
        <v>Smart doorbell's camera lag misses important events</v>
      </c>
    </row>
    <row r="2060" spans="1:3" ht="15.75" customHeight="1" x14ac:dyDescent="0.25">
      <c r="A2060" s="2" t="s">
        <v>2062</v>
      </c>
      <c r="B2060" s="3" t="s">
        <v>4</v>
      </c>
      <c r="C2060" s="2" t="str">
        <f ca="1">IFERROR(__xludf.DUMMYFUNCTION("GOOGLETRANSLATE(A2060,""bn"",""en"")"),"The package is attractive and easy to open")</f>
        <v>The package is attractive and easy to open</v>
      </c>
    </row>
    <row r="2061" spans="1:3" ht="15.75" customHeight="1" x14ac:dyDescent="0.25">
      <c r="A2061" s="2" t="s">
        <v>2063</v>
      </c>
      <c r="B2061" s="3" t="s">
        <v>2</v>
      </c>
      <c r="C2061" s="2" t="str">
        <f ca="1">IFERROR(__xludf.DUMMYFUNCTION("GOOGLETRANSLATE(A2061,""bn"",""en"")"),"The best arrangement for collection is missing some pieces")</f>
        <v>The best arrangement for collection is missing some pieces</v>
      </c>
    </row>
    <row r="2062" spans="1:3" ht="15.75" customHeight="1" x14ac:dyDescent="0.25">
      <c r="A2062" s="2" t="s">
        <v>2064</v>
      </c>
      <c r="B2062" s="3" t="s">
        <v>4</v>
      </c>
      <c r="C2062" s="2" t="str">
        <f ca="1">IFERROR(__xludf.DUMMYFUNCTION("GOOGLETRANSLATE(A2062,""bn"",""en"")"),"The girl won the prize in her dance competition")</f>
        <v>The girl won the prize in her dance competition</v>
      </c>
    </row>
    <row r="2063" spans="1:3" ht="15.75" customHeight="1" x14ac:dyDescent="0.25">
      <c r="A2063" s="2" t="s">
        <v>2065</v>
      </c>
      <c r="B2063" s="3" t="s">
        <v>6</v>
      </c>
      <c r="C2063" s="2" t="str">
        <f ca="1">IFERROR(__xludf.DUMMYFUNCTION("GOOGLETRANSLATE(A2063,""bn"",""en"")"),"The tea had a harsh bitterness that was unpleasant on the palate")</f>
        <v>The tea had a harsh bitterness that was unpleasant on the palate</v>
      </c>
    </row>
    <row r="2064" spans="1:3" ht="15.75" customHeight="1" x14ac:dyDescent="0.25">
      <c r="A2064" s="2" t="s">
        <v>2066</v>
      </c>
      <c r="B2064" s="3" t="s">
        <v>6</v>
      </c>
      <c r="C2064" s="2" t="str">
        <f ca="1">IFERROR(__xludf.DUMMYFUNCTION("GOOGLETRANSLATE(A2064,""bn"",""en"")"),"The coffee had a harsh acidity that was unpleasant to drink")</f>
        <v>The coffee had a harsh acidity that was unpleasant to drink</v>
      </c>
    </row>
    <row r="2065" spans="1:3" ht="15.75" customHeight="1" x14ac:dyDescent="0.25">
      <c r="A2065" s="2" t="s">
        <v>2067</v>
      </c>
      <c r="B2065" s="3" t="s">
        <v>4</v>
      </c>
      <c r="C2065" s="2" t="str">
        <f ca="1">IFERROR(__xludf.DUMMYFUNCTION("GOOGLETRANSLATE(A2065,""bn"",""en"")"),"This water bottle is easily portable")</f>
        <v>This water bottle is easily portable</v>
      </c>
    </row>
    <row r="2066" spans="1:3" ht="15.75" customHeight="1" x14ac:dyDescent="0.25">
      <c r="A2066" s="2" t="s">
        <v>2068</v>
      </c>
      <c r="B2066" s="3" t="s">
        <v>6</v>
      </c>
      <c r="C2066" s="2" t="str">
        <f ca="1">IFERROR(__xludf.DUMMYFUNCTION("GOOGLETRANSLATE(A2066,""bn"",""en"")"),"Complicated and I hate it")</f>
        <v>Complicated and I hate it</v>
      </c>
    </row>
    <row r="2067" spans="1:3" ht="15.75" customHeight="1" x14ac:dyDescent="0.25">
      <c r="A2067" s="2" t="s">
        <v>2069</v>
      </c>
      <c r="B2067" s="3" t="s">
        <v>6</v>
      </c>
      <c r="C2067" s="2" t="str">
        <f ca="1">IFERROR(__xludf.DUMMYFUNCTION("GOOGLETRANSLATE(A2067,""bn"",""en"")"),"The energy consumption of the fridge is higher than advertised which leads to higher electricity bills")</f>
        <v>The energy consumption of the fridge is higher than advertised which leads to higher electricity bills</v>
      </c>
    </row>
    <row r="2068" spans="1:3" ht="15.75" customHeight="1" x14ac:dyDescent="0.25">
      <c r="A2068" s="2" t="s">
        <v>2070</v>
      </c>
      <c r="B2068" s="3" t="s">
        <v>4</v>
      </c>
      <c r="C2068" s="2" t="str">
        <f ca="1">IFERROR(__xludf.DUMMYFUNCTION("GOOGLETRANSLATE(A2068,""bn"",""en"")")," It is easy to clean which is an added advantage for me")</f>
        <v xml:space="preserve"> It is easy to clean which is an added advantage for me</v>
      </c>
    </row>
    <row r="2069" spans="1:3" ht="15.75" customHeight="1" x14ac:dyDescent="0.25">
      <c r="A2069" s="2" t="s">
        <v>2071</v>
      </c>
      <c r="B2069" s="3" t="s">
        <v>4</v>
      </c>
      <c r="C2069" s="2" t="str">
        <f ca="1">IFERROR(__xludf.DUMMYFUNCTION("GOOGLETRANSLATE(A2069,""bn"",""en"")"),"It feels like a dreamlike bedsheet")</f>
        <v>It feels like a dreamlike bedsheet</v>
      </c>
    </row>
    <row r="2070" spans="1:3" ht="15.75" customHeight="1" x14ac:dyDescent="0.25">
      <c r="A2070" s="2" t="s">
        <v>2072</v>
      </c>
      <c r="B2070" s="3" t="s">
        <v>4</v>
      </c>
      <c r="C2070" s="2" t="str">
        <f ca="1">IFERROR(__xludf.DUMMYFUNCTION("GOOGLETRANSLATE(A2070,""bn"",""en"")"),"Very happy with daily use")</f>
        <v>Very happy with daily use</v>
      </c>
    </row>
    <row r="2071" spans="1:3" ht="15.75" customHeight="1" x14ac:dyDescent="0.25">
      <c r="A2071" s="2" t="s">
        <v>2073</v>
      </c>
      <c r="B2071" s="3" t="s">
        <v>2</v>
      </c>
      <c r="C2071" s="2" t="str">
        <f ca="1">IFERROR(__xludf.DUMMYFUNCTION("GOOGLETRANSLATE(A2071,""bn"",""en"")"),"Not going to get much use as a sheet is a bit disappointing")</f>
        <v>Not going to get much use as a sheet is a bit disappointing</v>
      </c>
    </row>
    <row r="2072" spans="1:3" ht="15.75" customHeight="1" x14ac:dyDescent="0.25">
      <c r="A2072" s="2" t="s">
        <v>2074</v>
      </c>
      <c r="B2072" s="3" t="s">
        <v>4</v>
      </c>
      <c r="C2072" s="2" t="str">
        <f ca="1">IFERROR(__xludf.DUMMYFUNCTION("GOOGLETRANSLATE(A2072,""bn"",""en"")"),"Keeps my airtag perfect so good great product perfect ")</f>
        <v xml:space="preserve">Keeps my airtag perfect so good great product perfect </v>
      </c>
    </row>
    <row r="2073" spans="1:3" ht="15.75" customHeight="1" x14ac:dyDescent="0.25">
      <c r="A2073" s="2" t="s">
        <v>2075</v>
      </c>
      <c r="B2073" s="3" t="s">
        <v>6</v>
      </c>
      <c r="C2073" s="2" t="str">
        <f ca="1">IFERROR(__xludf.DUMMYFUNCTION("GOOGLETRANSLATE(A2073,""bn"",""en"")"),"Disappointing results after extended use Hair felt no healthier or softer")</f>
        <v>Disappointing results after extended use Hair felt no healthier or softer</v>
      </c>
    </row>
    <row r="2074" spans="1:3" ht="15.75" customHeight="1" x14ac:dyDescent="0.25">
      <c r="A2074" s="2" t="s">
        <v>2076</v>
      </c>
      <c r="B2074" s="3" t="s">
        <v>6</v>
      </c>
      <c r="C2074" s="2" t="str">
        <f ca="1">IFERROR(__xludf.DUMMYFUNCTION("GOOGLETRANSLATE(A2074,""bn"",""en"")"),"The buttons on the control panel are sometimes unresponsive making it frustrating to use")</f>
        <v>The buttons on the control panel are sometimes unresponsive making it frustrating to use</v>
      </c>
    </row>
    <row r="2075" spans="1:3" ht="15.75" customHeight="1" x14ac:dyDescent="0.25">
      <c r="A2075" s="2" t="s">
        <v>2077</v>
      </c>
      <c r="B2075" s="3" t="s">
        <v>2</v>
      </c>
      <c r="C2075" s="2" t="str">
        <f ca="1">IFERROR(__xludf.DUMMYFUNCTION("GOOGLETRANSLATE(A2075,""bn"",""en"")"),"Not exactly what I needed but close enough")</f>
        <v>Not exactly what I needed but close enough</v>
      </c>
    </row>
    <row r="2076" spans="1:3" ht="15.75" customHeight="1" x14ac:dyDescent="0.25">
      <c r="A2076" s="2" t="s">
        <v>2078</v>
      </c>
      <c r="B2076" s="3" t="s">
        <v>2</v>
      </c>
      <c r="C2076" s="2" t="str">
        <f ca="1">IFERROR(__xludf.DUMMYFUNCTION("GOOGLETRANSLATE(A2076,""bn"",""en"")"),"There are various functions but not all of them work")</f>
        <v>There are various functions but not all of them work</v>
      </c>
    </row>
    <row r="2077" spans="1:3" ht="15.75" customHeight="1" x14ac:dyDescent="0.25">
      <c r="A2077" s="2" t="s">
        <v>2079</v>
      </c>
      <c r="B2077" s="3" t="s">
        <v>2</v>
      </c>
      <c r="C2077" s="2" t="str">
        <f ca="1">IFERROR(__xludf.DUMMYFUNCTION("GOOGLETRANSLATE(A2077,""bn"",""en"")"),"Perfect for those looking for a medium quality toothpaste and brush")</f>
        <v>Perfect for those looking for a medium quality toothpaste and brush</v>
      </c>
    </row>
    <row r="2078" spans="1:3" ht="15.75" customHeight="1" x14ac:dyDescent="0.25">
      <c r="A2078" s="2" t="s">
        <v>2080</v>
      </c>
      <c r="B2078" s="3" t="s">
        <v>2</v>
      </c>
      <c r="C2078" s="2" t="str">
        <f ca="1">IFERROR(__xludf.DUMMYFUNCTION("GOOGLETRANSLATE(A2078,""bn"",""en"")"),"The digital color mixer mixes colors but has a short battery life")</f>
        <v>The digital color mixer mixes colors but has a short battery life</v>
      </c>
    </row>
    <row r="2079" spans="1:3" ht="15.75" customHeight="1" x14ac:dyDescent="0.25">
      <c r="A2079" s="2" t="s">
        <v>2081</v>
      </c>
      <c r="B2079" s="3" t="s">
        <v>2</v>
      </c>
      <c r="C2079" s="2" t="str">
        <f ca="1">IFERROR(__xludf.DUMMYFUNCTION("GOOGLETRANSLATE(A2079,""bn"",""en"")"),"The color is right according to the season")</f>
        <v>The color is right according to the season</v>
      </c>
    </row>
    <row r="2080" spans="1:3" ht="15.75" customHeight="1" x14ac:dyDescent="0.25">
      <c r="A2080" s="2" t="s">
        <v>2082</v>
      </c>
      <c r="B2080" s="3" t="s">
        <v>6</v>
      </c>
      <c r="C2080" s="2" t="str">
        <f ca="1">IFERROR(__xludf.DUMMYFUNCTION("GOOGLETRANSLATE(A2080,""bn"",""en"")")," The handles felt flimsy and insecure making me wary of carrying my expensive device around")</f>
        <v xml:space="preserve"> The handles felt flimsy and insecure making me wary of carrying my expensive device around</v>
      </c>
    </row>
    <row r="2081" spans="1:3" ht="15.75" customHeight="1" x14ac:dyDescent="0.25">
      <c r="A2081" s="2" t="s">
        <v>2083</v>
      </c>
      <c r="B2081" s="3" t="s">
        <v>4</v>
      </c>
      <c r="C2081" s="2" t="str">
        <f ca="1">IFERROR(__xludf.DUMMYFUNCTION("GOOGLETRANSLATE(A2081,""bn"",""en"")"),"The flower brightened up the dark corners of my room")</f>
        <v>The flower brightened up the dark corners of my room</v>
      </c>
    </row>
    <row r="2082" spans="1:3" ht="15.75" customHeight="1" x14ac:dyDescent="0.25">
      <c r="A2082" s="2" t="s">
        <v>2084</v>
      </c>
      <c r="B2082" s="3" t="s">
        <v>4</v>
      </c>
      <c r="C2082" s="2" t="str">
        <f ca="1">IFERROR(__xludf.DUMMYFUNCTION("GOOGLETRANSLATE(A2082,""bn"",""en"")"),"This body wash will leave you feeling refreshed")</f>
        <v>This body wash will leave you feeling refreshed</v>
      </c>
    </row>
    <row r="2083" spans="1:3" ht="15.75" customHeight="1" x14ac:dyDescent="0.25">
      <c r="A2083" s="2" t="s">
        <v>2085</v>
      </c>
      <c r="B2083" s="3" t="s">
        <v>6</v>
      </c>
      <c r="C2083" s="2" t="str">
        <f ca="1">IFERROR(__xludf.DUMMYFUNCTION("GOOGLETRANSLATE(A2083,""bn"",""en"")"),"The camera's autofocus is slow and often fails to take sharp pictures")</f>
        <v>The camera's autofocus is slow and often fails to take sharp pictures</v>
      </c>
    </row>
    <row r="2084" spans="1:3" ht="15.75" customHeight="1" x14ac:dyDescent="0.25">
      <c r="A2084" s="2" t="s">
        <v>2086</v>
      </c>
      <c r="B2084" s="3" t="s">
        <v>6</v>
      </c>
      <c r="C2084" s="2" t="str">
        <f ca="1">IFERROR(__xludf.DUMMYFUNCTION("GOOGLETRANSLATE(A2084,""bn"",""en"")"),"Unsatisfactory quality is not reliable")</f>
        <v>Unsatisfactory quality is not reliable</v>
      </c>
    </row>
    <row r="2085" spans="1:3" ht="15.75" customHeight="1" x14ac:dyDescent="0.25">
      <c r="A2085" s="2" t="s">
        <v>2087</v>
      </c>
      <c r="B2085" s="3" t="s">
        <v>2</v>
      </c>
      <c r="C2085" s="2" t="str">
        <f ca="1">IFERROR(__xludf.DUMMYFUNCTION("GOOGLETRANSLATE(A2085,""bn"",""en"")"),"The ingredients are good but not exceptional for the price")</f>
        <v>The ingredients are good but not exceptional for the price</v>
      </c>
    </row>
    <row r="2086" spans="1:3" ht="15.75" customHeight="1" x14ac:dyDescent="0.25">
      <c r="A2086" s="2" t="s">
        <v>2088</v>
      </c>
      <c r="B2086" s="3" t="s">
        <v>6</v>
      </c>
      <c r="C2086" s="2" t="str">
        <f ca="1">IFERROR(__xludf.DUMMYFUNCTION("GOOGLETRANSLATE(A2086,""bn"",""en"")"),"Arriving without any protective seal poses a risk of contamination")</f>
        <v>Arriving without any protective seal poses a risk of contamination</v>
      </c>
    </row>
    <row r="2087" spans="1:3" ht="15.75" customHeight="1" x14ac:dyDescent="0.25">
      <c r="A2087" s="2" t="s">
        <v>2089</v>
      </c>
      <c r="B2087" s="3" t="s">
        <v>2</v>
      </c>
      <c r="C2087" s="2" t="str">
        <f ca="1">IFERROR(__xludf.DUMMYFUNCTION("GOOGLETRANSLATE(A2087,""bn"",""en"")"),"Not as expected but no big deal")</f>
        <v>Not as expected but no big deal</v>
      </c>
    </row>
    <row r="2088" spans="1:3" ht="15.75" customHeight="1" x14ac:dyDescent="0.25">
      <c r="A2088" s="2" t="s">
        <v>2090</v>
      </c>
      <c r="B2088" s="3" t="s">
        <v>6</v>
      </c>
      <c r="C2088" s="2" t="str">
        <f ca="1">IFERROR(__xludf.DUMMYFUNCTION("GOOGLETRANSLATE(A2088,""bn"",""en"")"),"The scent of the bubble bath was very cloying and gave me a headache")</f>
        <v>The scent of the bubble bath was very cloying and gave me a headache</v>
      </c>
    </row>
    <row r="2089" spans="1:3" ht="15.75" customHeight="1" x14ac:dyDescent="0.25">
      <c r="A2089" s="2" t="s">
        <v>2091</v>
      </c>
      <c r="B2089" s="3" t="s">
        <v>6</v>
      </c>
      <c r="C2089" s="2" t="str">
        <f ca="1">IFERROR(__xludf.DUMMYFUNCTION("GOOGLETRANSLATE(A2089,""bn"",""en"")"),"Baby humidifier tank leaks causing water damage to furniture")</f>
        <v>Baby humidifier tank leaks causing water damage to furniture</v>
      </c>
    </row>
    <row r="2090" spans="1:3" ht="15.75" customHeight="1" x14ac:dyDescent="0.25">
      <c r="A2090" s="2" t="s">
        <v>2092</v>
      </c>
      <c r="B2090" s="3" t="s">
        <v>4</v>
      </c>
      <c r="C2090" s="2" t="str">
        <f ca="1">IFERROR(__xludf.DUMMYFUNCTION("GOOGLETRANSLATE(A2090,""bn"",""en"")"),"If it works well then if it breaks I will buy the same again")</f>
        <v>If it works well then if it breaks I will buy the same again</v>
      </c>
    </row>
    <row r="2091" spans="1:3" ht="15.75" customHeight="1" x14ac:dyDescent="0.25">
      <c r="A2091" s="2" t="s">
        <v>2093</v>
      </c>
      <c r="B2091" s="3" t="s">
        <v>6</v>
      </c>
      <c r="C2091" s="2" t="str">
        <f ca="1">IFERROR(__xludf.DUMMYFUNCTION("GOOGLETRANSLATE(A2091,""bn"",""en"")"),"Bleeding due to stiffness in legs so avoid using it")</f>
        <v>Bleeding due to stiffness in legs so avoid using it</v>
      </c>
    </row>
    <row r="2092" spans="1:3" ht="15.75" customHeight="1" x14ac:dyDescent="0.25">
      <c r="A2092" s="2" t="s">
        <v>2094</v>
      </c>
      <c r="B2092" s="3" t="s">
        <v>4</v>
      </c>
      <c r="C2092" s="2" t="str">
        <f ca="1">IFERROR(__xludf.DUMMYFUNCTION("GOOGLETRANSLATE(A2092,""bn"",""en"")"),"The handle is fairly long")</f>
        <v>The handle is fairly long</v>
      </c>
    </row>
    <row r="2093" spans="1:3" ht="15.75" customHeight="1" x14ac:dyDescent="0.25">
      <c r="A2093" s="2" t="s">
        <v>2095</v>
      </c>
      <c r="B2093" s="3" t="s">
        <v>4</v>
      </c>
      <c r="C2093" s="2" t="str">
        <f ca="1">IFERROR(__xludf.DUMMYFUNCTION("GOOGLETRANSLATE(A2093,""bn"",""en"")"),"I don't feel when it ends when I eat")</f>
        <v>I don't feel when it ends when I eat</v>
      </c>
    </row>
    <row r="2094" spans="1:3" ht="15.75" customHeight="1" x14ac:dyDescent="0.25">
      <c r="A2094" s="2" t="s">
        <v>2096</v>
      </c>
      <c r="B2094" s="3" t="s">
        <v>6</v>
      </c>
      <c r="C2094" s="2" t="str">
        <f ca="1">IFERROR(__xludf.DUMMYFUNCTION("GOOGLETRANSLATE(A2094,""bn"",""en"")"),"The high price does not justify the subpar quality and design flaws")</f>
        <v>The high price does not justify the subpar quality and design flaws</v>
      </c>
    </row>
    <row r="2095" spans="1:3" ht="15.75" customHeight="1" x14ac:dyDescent="0.25">
      <c r="A2095" s="2" t="s">
        <v>2097</v>
      </c>
      <c r="B2095" s="3" t="s">
        <v>2</v>
      </c>
      <c r="C2095" s="2" t="str">
        <f ca="1">IFERROR(__xludf.DUMMYFUNCTION("GOOGLETRANSLATE(A2095,""bn"",""en"")")," Fairly satisfied but could do with some more improvements")</f>
        <v xml:space="preserve"> Fairly satisfied but could do with some more improvements</v>
      </c>
    </row>
    <row r="2096" spans="1:3" ht="15.75" customHeight="1" x14ac:dyDescent="0.25">
      <c r="A2096" s="2" t="s">
        <v>2098</v>
      </c>
      <c r="B2096" s="3" t="s">
        <v>2</v>
      </c>
      <c r="C2096" s="2" t="str">
        <f ca="1">IFERROR(__xludf.DUMMYFUNCTION("GOOGLETRANSLATE(A2096,""bn"",""en"")"),"Reflects light but is not very noticeable")</f>
        <v>Reflects light but is not very noticeable</v>
      </c>
    </row>
    <row r="2097" spans="1:3" ht="15.75" customHeight="1" x14ac:dyDescent="0.25">
      <c r="A2097" s="2" t="s">
        <v>2099</v>
      </c>
      <c r="B2097" s="3" t="s">
        <v>4</v>
      </c>
      <c r="C2097" s="2" t="str">
        <f ca="1">IFERROR(__xludf.DUMMYFUNCTION("GOOGLETRANSLATE(A2097,""bn"",""en"")"),"It runs very quietly and is very easy to use")</f>
        <v>It runs very quietly and is very easy to use</v>
      </c>
    </row>
    <row r="2098" spans="1:3" ht="15.75" customHeight="1" x14ac:dyDescent="0.25">
      <c r="A2098" s="2" t="s">
        <v>2100</v>
      </c>
      <c r="B2098" s="3" t="s">
        <v>6</v>
      </c>
      <c r="C2098" s="2" t="str">
        <f ca="1">IFERROR(__xludf.DUMMYFUNCTION("GOOGLETRANSLATE(A2098,""bn"",""en"")"),"Brittle plastic cracks easily under pressure")</f>
        <v>Brittle plastic cracks easily under pressure</v>
      </c>
    </row>
    <row r="2099" spans="1:3" ht="15.75" customHeight="1" x14ac:dyDescent="0.25">
      <c r="A2099" s="2" t="s">
        <v>2101</v>
      </c>
      <c r="B2099" s="3" t="s">
        <v>2</v>
      </c>
      <c r="C2099" s="2" t="str">
        <f ca="1">IFERROR(__xludf.DUMMYFUNCTION("GOOGLETRANSLATE(A2099,""bn"",""en"")"),"There is a remote control")</f>
        <v>There is a remote control</v>
      </c>
    </row>
    <row r="2100" spans="1:3" ht="15.75" customHeight="1" x14ac:dyDescent="0.25">
      <c r="A2100" s="2" t="s">
        <v>2102</v>
      </c>
      <c r="B2100" s="3" t="s">
        <v>2</v>
      </c>
      <c r="C2100" s="2" t="str">
        <f ca="1">IFERROR(__xludf.DUMMYFUNCTION("GOOGLETRANSLATE(A2100,""bn"",""en"")"),"The texture is okay but not exceptional")</f>
        <v>The texture is okay but not exceptional</v>
      </c>
    </row>
    <row r="2101" spans="1:3" ht="15.75" customHeight="1" x14ac:dyDescent="0.25">
      <c r="A2101" s="2" t="s">
        <v>2103</v>
      </c>
      <c r="B2101" s="3" t="s">
        <v>4</v>
      </c>
      <c r="C2101" s="2" t="str">
        <f ca="1">IFERROR(__xludf.DUMMYFUNCTION("GOOGLETRANSLATE(A2101,""bn"",""en"")"),"Makeup brushes are suitable for different skin types")</f>
        <v>Makeup brushes are suitable for different skin types</v>
      </c>
    </row>
    <row r="2102" spans="1:3" ht="15.75" customHeight="1" x14ac:dyDescent="0.25">
      <c r="A2102" s="2" t="s">
        <v>2104</v>
      </c>
      <c r="B2102" s="3" t="s">
        <v>4</v>
      </c>
      <c r="C2102" s="2" t="str">
        <f ca="1">IFERROR(__xludf.DUMMYFUNCTION("GOOGLETRANSLATE(A2102,""bn"",""en"")"),"The color and design of the saree is very nice")</f>
        <v>The color and design of the saree is very nice</v>
      </c>
    </row>
    <row r="2103" spans="1:3" ht="15.75" customHeight="1" x14ac:dyDescent="0.25">
      <c r="A2103" s="2" t="s">
        <v>2105</v>
      </c>
      <c r="B2103" s="3" t="s">
        <v>6</v>
      </c>
      <c r="C2103" s="2" t="str">
        <f ca="1">IFERROR(__xludf.DUMMYFUNCTION("GOOGLETRANSLATE(A2103,""bn"",""en"")"),"Disappointing experience arriving without protective seal")</f>
        <v>Disappointing experience arriving without protective seal</v>
      </c>
    </row>
    <row r="2104" spans="1:3" ht="15.75" customHeight="1" x14ac:dyDescent="0.25">
      <c r="A2104" s="2" t="s">
        <v>2106</v>
      </c>
      <c r="B2104" s="3" t="s">
        <v>6</v>
      </c>
      <c r="C2104" s="2" t="str">
        <f ca="1">IFERROR(__xludf.DUMMYFUNCTION("GOOGLETRANSLATE(A2104,""bn"",""en"")"),"Disappointed with the lack of durability")</f>
        <v>Disappointed with the lack of durability</v>
      </c>
    </row>
    <row r="2105" spans="1:3" ht="15.75" customHeight="1" x14ac:dyDescent="0.25">
      <c r="A2105" s="2" t="s">
        <v>2107</v>
      </c>
      <c r="B2105" s="3" t="s">
        <v>2</v>
      </c>
      <c r="C2105" s="2" t="str">
        <f ca="1">IFERROR(__xludf.DUMMYFUNCTION("GOOGLETRANSLATE(A2105,""bn"",""en"")"),"Usable but not great")</f>
        <v>Usable but not great</v>
      </c>
    </row>
    <row r="2106" spans="1:3" ht="15.75" customHeight="1" x14ac:dyDescent="0.25">
      <c r="A2106" s="2" t="s">
        <v>2108</v>
      </c>
      <c r="B2106" s="3" t="s">
        <v>2</v>
      </c>
      <c r="C2106" s="2" t="str">
        <f ca="1">IFERROR(__xludf.DUMMYFUNCTION("GOOGLETRANSLATE(A2106,""bn"",""en"")"),"JBL Tune BT Stylish Package Sound is average nothing special")</f>
        <v>JBL Tune BT Stylish Package Sound is average nothing special</v>
      </c>
    </row>
    <row r="2107" spans="1:3" ht="15.75" customHeight="1" x14ac:dyDescent="0.25">
      <c r="A2107" s="2" t="s">
        <v>2109</v>
      </c>
      <c r="B2107" s="3" t="s">
        <v>6</v>
      </c>
      <c r="C2107" s="2" t="str">
        <f ca="1">IFERROR(__xludf.DUMMYFUNCTION("GOOGLETRANSLATE(A2107,""bn"",""en"")"),"Monotonous lack of visual variety")</f>
        <v>Monotonous lack of visual variety</v>
      </c>
    </row>
    <row r="2108" spans="1:3" ht="15.75" customHeight="1" x14ac:dyDescent="0.25">
      <c r="A2108" s="2" t="s">
        <v>2110</v>
      </c>
      <c r="B2108" s="3" t="s">
        <v>2</v>
      </c>
      <c r="C2108" s="2" t="str">
        <f ca="1">IFERROR(__xludf.DUMMYFUNCTION("GOOGLETRANSLATE(A2108,""bn"",""en"")"),"Efficiency is fair")</f>
        <v>Efficiency is fair</v>
      </c>
    </row>
    <row r="2109" spans="1:3" ht="15.75" customHeight="1" x14ac:dyDescent="0.25">
      <c r="A2109" s="2" t="s">
        <v>2111</v>
      </c>
      <c r="B2109" s="3" t="s">
        <v>2</v>
      </c>
      <c r="C2109" s="2" t="str">
        <f ca="1">IFERROR(__xludf.DUMMYFUNCTION("GOOGLETRANSLATE(A2109,""bn"",""en"")"),"The packet is easy to open")</f>
        <v>The packet is easy to open</v>
      </c>
    </row>
    <row r="2110" spans="1:3" ht="15.75" customHeight="1" x14ac:dyDescent="0.25">
      <c r="A2110" s="2" t="s">
        <v>2112</v>
      </c>
      <c r="B2110" s="3" t="s">
        <v>4</v>
      </c>
      <c r="C2110" s="2" t="str">
        <f ca="1">IFERROR(__xludf.DUMMYFUNCTION("GOOGLETRANSLATE(A2110,""bn"",""en"")"),"Protects tooth enamel")</f>
        <v>Protects tooth enamel</v>
      </c>
    </row>
    <row r="2111" spans="1:3" ht="15.75" customHeight="1" x14ac:dyDescent="0.25">
      <c r="A2111" s="2" t="s">
        <v>2113</v>
      </c>
      <c r="B2111" s="3" t="s">
        <v>6</v>
      </c>
      <c r="C2111" s="2" t="str">
        <f ca="1">IFERROR(__xludf.DUMMYFUNCTION("GOOGLETRANSLATE(A2111,""bn"",""en"")"),"The suction cup of the bath pillow falls into the water when not in use")</f>
        <v>The suction cup of the bath pillow falls into the water when not in use</v>
      </c>
    </row>
    <row r="2112" spans="1:3" ht="15.75" customHeight="1" x14ac:dyDescent="0.25">
      <c r="A2112" s="2" t="s">
        <v>2114</v>
      </c>
      <c r="B2112" s="3" t="s">
        <v>4</v>
      </c>
      <c r="C2112" s="2" t="str">
        <f ca="1">IFERROR(__xludf.DUMMYFUNCTION("GOOGLETRANSLATE(A2112,""bn"",""en"")"),"ACT user manual is very straightforward and got a clear idea about all the features")</f>
        <v>ACT user manual is very straightforward and got a clear idea about all the features</v>
      </c>
    </row>
    <row r="2113" spans="1:3" ht="15.75" customHeight="1" x14ac:dyDescent="0.25">
      <c r="A2113" s="2" t="s">
        <v>2115</v>
      </c>
      <c r="B2113" s="3" t="s">
        <v>6</v>
      </c>
      <c r="C2113" s="2" t="str">
        <f ca="1">IFERROR(__xludf.DUMMYFUNCTION("GOOGLETRANSLATE(A2113,""bn"",""en"")"),"The coffee tasted burnt and bitter with no depth of flavor")</f>
        <v>The coffee tasted burnt and bitter with no depth of flavor</v>
      </c>
    </row>
    <row r="2114" spans="1:3" ht="15.75" customHeight="1" x14ac:dyDescent="0.25">
      <c r="A2114" s="2" t="s">
        <v>2116</v>
      </c>
      <c r="B2114" s="3" t="s">
        <v>6</v>
      </c>
      <c r="C2114" s="2" t="str">
        <f ca="1">IFERROR(__xludf.DUMMYFUNCTION("GOOGLETRANSLATE(A2114,""bn"",""en"")"),"Frozen dinners had an unappealing appearance and lacked the flavor freshness of processed foods.")</f>
        <v>Frozen dinners had an unappealing appearance and lacked the flavor freshness of processed foods.</v>
      </c>
    </row>
    <row r="2115" spans="1:3" ht="15.75" customHeight="1" x14ac:dyDescent="0.25">
      <c r="A2115" s="2" t="s">
        <v>2117</v>
      </c>
      <c r="B2115" s="3" t="s">
        <v>4</v>
      </c>
      <c r="C2115" s="2" t="str">
        <f ca="1">IFERROR(__xludf.DUMMYFUNCTION("GOOGLETRANSLATE(A2115,""bn"",""en"")"),"Impressive for hobby projects")</f>
        <v>Impressive for hobby projects</v>
      </c>
    </row>
    <row r="2116" spans="1:3" ht="15.75" customHeight="1" x14ac:dyDescent="0.25">
      <c r="A2116" s="2" t="s">
        <v>2118</v>
      </c>
      <c r="B2116" s="3" t="s">
        <v>6</v>
      </c>
      <c r="C2116" s="2" t="str">
        <f ca="1">IFERROR(__xludf.DUMMYFUNCTION("GOOGLETRANSLATE(A2116,""bn"",""en"")"),"The design of the tea set was outdated and unpleasant")</f>
        <v>The design of the tea set was outdated and unpleasant</v>
      </c>
    </row>
    <row r="2117" spans="1:3" ht="15.75" customHeight="1" x14ac:dyDescent="0.25">
      <c r="A2117" s="2" t="s">
        <v>2119</v>
      </c>
      <c r="B2117" s="3" t="s">
        <v>2</v>
      </c>
      <c r="C2117" s="2" t="str">
        <f ca="1">IFERROR(__xludf.DUMMYFUNCTION("GOOGLETRANSLATE(A2117,""bn"",""en"")"),"The guests noticed but did not comment particularly")</f>
        <v>The guests noticed but did not comment particularly</v>
      </c>
    </row>
    <row r="2118" spans="1:3" ht="15.75" customHeight="1" x14ac:dyDescent="0.25">
      <c r="A2118" s="2" t="s">
        <v>2120</v>
      </c>
      <c r="B2118" s="3" t="s">
        <v>4</v>
      </c>
      <c r="C2118" s="2" t="str">
        <f ca="1">IFERROR(__xludf.DUMMYFUNCTION("GOOGLETRANSLATE(A2118,""bn"",""en"")"),"The sound equalizer options are very effective to customize the sound to your liking")</f>
        <v>The sound equalizer options are very effective to customize the sound to your liking</v>
      </c>
    </row>
    <row r="2119" spans="1:3" ht="15.75" customHeight="1" x14ac:dyDescent="0.25">
      <c r="A2119" s="2" t="s">
        <v>2121</v>
      </c>
      <c r="B2119" s="3" t="s">
        <v>2</v>
      </c>
      <c r="C2119" s="2" t="str">
        <f ca="1">IFERROR(__xludf.DUMMYFUNCTION("GOOGLETRANSLATE(A2119,""bn"",""en"")"),"It was a bit harder than expected")</f>
        <v>It was a bit harder than expected</v>
      </c>
    </row>
    <row r="2120" spans="1:3" ht="15.75" customHeight="1" x14ac:dyDescent="0.25">
      <c r="A2120" s="2" t="s">
        <v>2122</v>
      </c>
      <c r="B2120" s="3" t="s">
        <v>2</v>
      </c>
      <c r="C2120" s="2" t="str">
        <f ca="1">IFERROR(__xludf.DUMMYFUNCTION("GOOGLETRANSLATE(A2120,""bn"",""en"")"),"Pocketsize fabric glue gun attaches fabric but glue dries quickly")</f>
        <v>Pocketsize fabric glue gun attaches fabric but glue dries quickly</v>
      </c>
    </row>
    <row r="2121" spans="1:3" ht="15.75" customHeight="1" x14ac:dyDescent="0.25">
      <c r="A2121" s="2" t="s">
        <v>2123</v>
      </c>
      <c r="B2121" s="3" t="s">
        <v>2</v>
      </c>
      <c r="C2121" s="2" t="str">
        <f ca="1">IFERROR(__xludf.DUMMYFUNCTION("GOOGLETRANSLATE(A2121,""bn"",""en"")"),"The taste of the chocolate is reasonable for the price")</f>
        <v>The taste of the chocolate is reasonable for the price</v>
      </c>
    </row>
    <row r="2122" spans="1:3" ht="15.75" customHeight="1" x14ac:dyDescent="0.25">
      <c r="A2122" s="2" t="s">
        <v>2124</v>
      </c>
      <c r="B2122" s="3" t="s">
        <v>4</v>
      </c>
      <c r="C2122" s="2" t="str">
        <f ca="1">IFERROR(__xludf.DUMMYFUNCTION("GOOGLETRANSLATE(A2122,""bn"",""en"")"),"This body wash increases skin hydration")</f>
        <v>This body wash increases skin hydration</v>
      </c>
    </row>
    <row r="2123" spans="1:3" ht="15.75" customHeight="1" x14ac:dyDescent="0.25">
      <c r="A2123" s="2" t="s">
        <v>2125</v>
      </c>
      <c r="B2123" s="3" t="s">
        <v>2</v>
      </c>
      <c r="C2123" s="2" t="str">
        <f ca="1">IFERROR(__xludf.DUMMYFUNCTION("GOOGLETRANSLATE(A2123,""bn"",""en"")"),"Good product but it lacks a bit of uniqueness")</f>
        <v>Good product but it lacks a bit of uniqueness</v>
      </c>
    </row>
    <row r="2124" spans="1:3" ht="15.75" customHeight="1" x14ac:dyDescent="0.25">
      <c r="A2124" s="2" t="s">
        <v>2126</v>
      </c>
      <c r="B2124" s="3" t="s">
        <v>6</v>
      </c>
      <c r="C2124" s="2" t="str">
        <f ca="1">IFERROR(__xludf.DUMMYFUNCTION("GOOGLETRANSLATE(A2124,""bn"",""en"")"),"Eyeshadow primer creases and fails to hold the eyeshadow in place leading to fading and smudging.")</f>
        <v>Eyeshadow primer creases and fails to hold the eyeshadow in place leading to fading and smudging.</v>
      </c>
    </row>
    <row r="2125" spans="1:3" ht="15.75" customHeight="1" x14ac:dyDescent="0.25">
      <c r="A2125" s="2" t="s">
        <v>2127</v>
      </c>
      <c r="B2125" s="3" t="s">
        <v>4</v>
      </c>
      <c r="C2125" s="2" t="str">
        <f ca="1">IFERROR(__xludf.DUMMYFUNCTION("GOOGLETRANSLATE(A2125,""bn"",""en"")"),"It does not cause any allergy")</f>
        <v>It does not cause any allergy</v>
      </c>
    </row>
    <row r="2126" spans="1:3" ht="15.75" customHeight="1" x14ac:dyDescent="0.25">
      <c r="A2126" s="2" t="s">
        <v>2128</v>
      </c>
      <c r="B2126" s="3" t="s">
        <v>2</v>
      </c>
      <c r="C2126" s="2" t="str">
        <f ca="1">IFERROR(__xludf.DUMMYFUNCTION("GOOGLETRANSLATE(A2126,""bn"",""en"")"),"Power consumption is moderate")</f>
        <v>Power consumption is moderate</v>
      </c>
    </row>
    <row r="2127" spans="1:3" ht="15.75" customHeight="1" x14ac:dyDescent="0.25">
      <c r="A2127" s="2" t="s">
        <v>2129</v>
      </c>
      <c r="B2127" s="3" t="s">
        <v>4</v>
      </c>
      <c r="C2127" s="2" t="str">
        <f ca="1">IFERROR(__xludf.DUMMYFUNCTION("GOOGLETRANSLATE(A2127,""bn"",""en"")"),"Since using this beauty soap, skin glow has increased a lot")</f>
        <v>Since using this beauty soap, skin glow has increased a lot</v>
      </c>
    </row>
    <row r="2128" spans="1:3" ht="15.75" customHeight="1" x14ac:dyDescent="0.25">
      <c r="A2128" s="2" t="s">
        <v>2130</v>
      </c>
      <c r="B2128" s="3" t="s">
        <v>4</v>
      </c>
      <c r="C2128" s="2" t="str">
        <f ca="1">IFERROR(__xludf.DUMMYFUNCTION("GOOGLETRANSLATE(A2128,""bn"",""en"")"),"The coffee cups that come with the set are perfect in size, hold just the right amount of coffee and are comfortable to hold")</f>
        <v>The coffee cups that come with the set are perfect in size, hold just the right amount of coffee and are comfortable to hold</v>
      </c>
    </row>
    <row r="2129" spans="1:3" ht="15.75" customHeight="1" x14ac:dyDescent="0.25">
      <c r="A2129" s="2" t="s">
        <v>2131</v>
      </c>
      <c r="B2129" s="3" t="s">
        <v>6</v>
      </c>
      <c r="C2129" s="2" t="str">
        <f ca="1">IFERROR(__xludf.DUMMYFUNCTION("GOOGLETRANSLATE(A2129,""bn"",""en"")"),"The exterior surface of the fridge is prone to fingerprints and smudges that require constant cleaning")</f>
        <v>The exterior surface of the fridge is prone to fingerprints and smudges that require constant cleaning</v>
      </c>
    </row>
    <row r="2130" spans="1:3" ht="15.75" customHeight="1" x14ac:dyDescent="0.25">
      <c r="A2130" s="2" t="s">
        <v>2132</v>
      </c>
      <c r="B2130" s="3" t="s">
        <v>2</v>
      </c>
      <c r="C2130" s="2" t="str">
        <f ca="1">IFERROR(__xludf.DUMMYFUNCTION("GOOGLETRANSLATE(A2130,""bn"",""en"")"),"The quality of the spoon and fork is average, nothing special")</f>
        <v>The quality of the spoon and fork is average, nothing special</v>
      </c>
    </row>
    <row r="2131" spans="1:3" ht="15.75" customHeight="1" x14ac:dyDescent="0.25">
      <c r="A2131" s="2" t="s">
        <v>2133</v>
      </c>
      <c r="B2131" s="3" t="s">
        <v>2</v>
      </c>
      <c r="C2131" s="2" t="str">
        <f ca="1">IFERROR(__xludf.DUMMYFUNCTION("GOOGLETRANSLATE(A2131,""bn"",""en"")"),"Values ​​are ok but not great")</f>
        <v>Values ​​are ok but not great</v>
      </c>
    </row>
    <row r="2132" spans="1:3" ht="15.75" customHeight="1" x14ac:dyDescent="0.25">
      <c r="A2132" s="2" t="s">
        <v>2134</v>
      </c>
      <c r="B2132" s="3" t="s">
        <v>6</v>
      </c>
      <c r="C2132" s="2" t="str">
        <f ca="1">IFERROR(__xludf.DUMMYFUNCTION("GOOGLETRANSLATE(A2132,""bn"",""en"")"),"No seal Doubts about product integrity")</f>
        <v>No seal Doubts about product integrity</v>
      </c>
    </row>
    <row r="2133" spans="1:3" ht="15.75" customHeight="1" x14ac:dyDescent="0.25">
      <c r="A2133" s="2" t="s">
        <v>2135</v>
      </c>
      <c r="B2133" s="3" t="s">
        <v>6</v>
      </c>
      <c r="C2133" s="2" t="str">
        <f ca="1">IFERROR(__xludf.DUMMYFUNCTION("GOOGLETRANSLATE(A2133,""bn"",""en"")"),"Makeup sponges absorb too much product, resulting in wastage")</f>
        <v>Makeup sponges absorb too much product, resulting in wastage</v>
      </c>
    </row>
    <row r="2134" spans="1:3" ht="15.75" customHeight="1" x14ac:dyDescent="0.25">
      <c r="A2134" s="2" t="s">
        <v>2136</v>
      </c>
      <c r="B2134" s="3" t="s">
        <v>4</v>
      </c>
      <c r="C2134" s="2" t="str">
        <f ca="1">IFERROR(__xludf.DUMMYFUNCTION("GOOGLETRANSLATE(A2134,""bn"",""en"")"),"The fabric does not tear easily")</f>
        <v>The fabric does not tear easily</v>
      </c>
    </row>
    <row r="2135" spans="1:3" ht="15.75" customHeight="1" x14ac:dyDescent="0.25">
      <c r="A2135" s="2" t="s">
        <v>2137</v>
      </c>
      <c r="B2135" s="3" t="s">
        <v>6</v>
      </c>
      <c r="C2135" s="2" t="str">
        <f ca="1">IFERROR(__xludf.DUMMYFUNCTION("GOOGLETRANSLATE(A2135,""bn"",""en"")"),"The smell was very strong and overwhelming overpowering the other nuances")</f>
        <v>The smell was very strong and overwhelming overpowering the other nuances</v>
      </c>
    </row>
    <row r="2136" spans="1:3" ht="15.75" customHeight="1" x14ac:dyDescent="0.25">
      <c r="A2136" s="2" t="s">
        <v>2138</v>
      </c>
      <c r="B2136" s="3" t="s">
        <v>6</v>
      </c>
      <c r="C2136" s="2" t="str">
        <f ca="1">IFERROR(__xludf.DUMMYFUNCTION("GOOGLETRANSLATE(A2136,""bn"",""en"")")," Preinstalled apps that cannot be uninstalled clutter the home screen and use up storage space")</f>
        <v xml:space="preserve"> Preinstalled apps that cannot be uninstalled clutter the home screen and use up storage space</v>
      </c>
    </row>
    <row r="2137" spans="1:3" ht="15.75" customHeight="1" x14ac:dyDescent="0.25">
      <c r="A2137" s="2" t="s">
        <v>2139</v>
      </c>
      <c r="B2137" s="3" t="s">
        <v>6</v>
      </c>
      <c r="C2137" s="2" t="str">
        <f ca="1">IFERROR(__xludf.DUMMYFUNCTION("GOOGLETRANSLATE(A2137,""bn"",""en"")"),"The tea had a bitter aftertaste indicating over-steeping")</f>
        <v>The tea had a bitter aftertaste indicating over-steeping</v>
      </c>
    </row>
    <row r="2138" spans="1:3" ht="15.75" customHeight="1" x14ac:dyDescent="0.25">
      <c r="A2138" s="2" t="s">
        <v>2140</v>
      </c>
      <c r="B2138" s="3" t="s">
        <v>4</v>
      </c>
      <c r="C2138" s="2" t="str">
        <f ca="1">IFERROR(__xludf.DUMMYFUNCTION("GOOGLETRANSLATE(A2138,""bn"",""en"")"),"This laptop is perfect for studying")</f>
        <v>This laptop is perfect for studying</v>
      </c>
    </row>
    <row r="2139" spans="1:3" ht="15.75" customHeight="1" x14ac:dyDescent="0.25">
      <c r="A2139" s="2" t="s">
        <v>2141</v>
      </c>
      <c r="B2139" s="3" t="s">
        <v>4</v>
      </c>
      <c r="C2139" s="2" t="str">
        <f ca="1">IFERROR(__xludf.DUMMYFUNCTION("GOOGLETRANSLATE(A2139,""bn"",""en"")"),"Terms of use are simple and understandable")</f>
        <v>Terms of use are simple and understandable</v>
      </c>
    </row>
    <row r="2140" spans="1:3" ht="15.75" customHeight="1" x14ac:dyDescent="0.25">
      <c r="A2140" s="2" t="s">
        <v>2142</v>
      </c>
      <c r="B2140" s="3" t="s">
        <v>4</v>
      </c>
      <c r="C2140" s="2" t="str">
        <f ca="1">IFERROR(__xludf.DUMMYFUNCTION("GOOGLETRANSLATE(A2140,""bn"",""en"")"),"I could not imagine that such high quality sound quality can be found at this price")</f>
        <v>I could not imagine that such high quality sound quality can be found at this price</v>
      </c>
    </row>
    <row r="2141" spans="1:3" ht="15.75" customHeight="1" x14ac:dyDescent="0.25">
      <c r="A2141" s="2" t="s">
        <v>2143</v>
      </c>
      <c r="B2141" s="3" t="s">
        <v>2</v>
      </c>
      <c r="C2141" s="2" t="str">
        <f ca="1">IFERROR(__xludf.DUMMYFUNCTION("GOOGLETRANSLATE(A2141,""bn"",""en"")"),"Soft and high quality could be better")</f>
        <v>Soft and high quality could be better</v>
      </c>
    </row>
    <row r="2142" spans="1:3" ht="15.75" customHeight="1" x14ac:dyDescent="0.25">
      <c r="A2142" s="2" t="s">
        <v>2144</v>
      </c>
      <c r="B2142" s="3" t="s">
        <v>2</v>
      </c>
      <c r="C2142" s="2" t="str">
        <f ca="1">IFERROR(__xludf.DUMMYFUNCTION("GOOGLETRANSLATE(A2142,""bn"",""en"")"),"The car phone mount holds the phone but moves on heavy phones")</f>
        <v>The car phone mount holds the phone but moves on heavy phones</v>
      </c>
    </row>
    <row r="2143" spans="1:3" ht="15.75" customHeight="1" x14ac:dyDescent="0.25">
      <c r="A2143" s="2" t="s">
        <v>2145</v>
      </c>
      <c r="B2143" s="3" t="s">
        <v>6</v>
      </c>
      <c r="C2143" s="2" t="str">
        <f ca="1">IFERROR(__xludf.DUMMYFUNCTION("GOOGLETRANSLATE(A2143,""bn"",""en"")"),"Not good at all")</f>
        <v>Not good at all</v>
      </c>
    </row>
    <row r="2144" spans="1:3" ht="15.75" customHeight="1" x14ac:dyDescent="0.25">
      <c r="A2144" s="2" t="s">
        <v>2146</v>
      </c>
      <c r="B2144" s="3" t="s">
        <v>4</v>
      </c>
      <c r="C2144" s="2" t="str">
        <f ca="1">IFERROR(__xludf.DUMMYFUNCTION("GOOGLETRANSLATE(A2144,""bn"",""en"")"),"The blanket is extremely comfortable and warm")</f>
        <v>The blanket is extremely comfortable and warm</v>
      </c>
    </row>
    <row r="2145" spans="1:3" ht="15.75" customHeight="1" x14ac:dyDescent="0.25">
      <c r="A2145" s="2" t="s">
        <v>2147</v>
      </c>
      <c r="B2145" s="3" t="s">
        <v>6</v>
      </c>
      <c r="C2145" s="2" t="str">
        <f ca="1">IFERROR(__xludf.DUMMYFUNCTION("GOOGLETRANSLATE(A2145,""bn"",""en"")"),"Wardrobe drawers often get stuck and are difficult to open and close smoothly")</f>
        <v>Wardrobe drawers often get stuck and are difficult to open and close smoothly</v>
      </c>
    </row>
    <row r="2146" spans="1:3" ht="15.75" customHeight="1" x14ac:dyDescent="0.25">
      <c r="A2146" s="2" t="s">
        <v>2148</v>
      </c>
      <c r="B2146" s="3" t="s">
        <v>6</v>
      </c>
      <c r="C2146" s="2" t="str">
        <f ca="1">IFERROR(__xludf.DUMMYFUNCTION("GOOGLETRANSLATE(A2146,""bn"",""en"")"),"Inadequate sealing allows insects to penetrate stored items")</f>
        <v>Inadequate sealing allows insects to penetrate stored items</v>
      </c>
    </row>
    <row r="2147" spans="1:3" ht="15.75" customHeight="1" x14ac:dyDescent="0.25">
      <c r="A2147" s="2" t="s">
        <v>2149</v>
      </c>
      <c r="B2147" s="3" t="s">
        <v>2</v>
      </c>
      <c r="C2147" s="2" t="str">
        <f ca="1">IFERROR(__xludf.DUMMYFUNCTION("GOOGLETRANSLATE(A2147,""bn"",""en"")"),"Brush average")</f>
        <v>Brush average</v>
      </c>
    </row>
    <row r="2148" spans="1:3" ht="15.75" customHeight="1" x14ac:dyDescent="0.25">
      <c r="A2148" s="2" t="s">
        <v>2150</v>
      </c>
      <c r="B2148" s="3" t="s">
        <v>4</v>
      </c>
      <c r="C2148" s="2" t="str">
        <f ca="1">IFERROR(__xludf.DUMMYFUNCTION("GOOGLETRANSLATE(A2148,""bn"",""en"")"),"Cupboard door glass is made of dust resistant coating")</f>
        <v>Cupboard door glass is made of dust resistant coating</v>
      </c>
    </row>
    <row r="2149" spans="1:3" ht="15.75" customHeight="1" x14ac:dyDescent="0.25">
      <c r="A2149" s="2" t="s">
        <v>2151</v>
      </c>
      <c r="B2149" s="3" t="s">
        <v>6</v>
      </c>
      <c r="C2149" s="2" t="str">
        <f ca="1">IFERROR(__xludf.DUMMYFUNCTION("GOOGLETRANSLATE(A2149,""bn"",""en"")")," Size limits its capacity for smaller meals than expected")</f>
        <v xml:space="preserve"> Size limits its capacity for smaller meals than expected</v>
      </c>
    </row>
    <row r="2150" spans="1:3" ht="15.75" customHeight="1" x14ac:dyDescent="0.25">
      <c r="A2150" s="2" t="s">
        <v>2152</v>
      </c>
      <c r="B2150" s="3" t="s">
        <v>4</v>
      </c>
      <c r="C2150" s="2" t="str">
        <f ca="1">IFERROR(__xludf.DUMMYFUNCTION("GOOGLETRANSLATE(A2150,""bn"",""en"")"),"Easy to fill with water and the tank is big")</f>
        <v>Easy to fill with water and the tank is big</v>
      </c>
    </row>
    <row r="2151" spans="1:3" ht="15.75" customHeight="1" x14ac:dyDescent="0.25">
      <c r="A2151" s="2" t="s">
        <v>2153</v>
      </c>
      <c r="B2151" s="3" t="s">
        <v>6</v>
      </c>
      <c r="C2151" s="2" t="str">
        <f ca="1">IFERROR(__xludf.DUMMYFUNCTION("GOOGLETRANSLATE(A2151,""bn"",""en"")"),"Poor dye retention in the fabric results in color fading and bleeding even after recommended care instructions are followed")</f>
        <v>Poor dye retention in the fabric results in color fading and bleeding even after recommended care instructions are followed</v>
      </c>
    </row>
    <row r="2152" spans="1:3" ht="15.75" customHeight="1" x14ac:dyDescent="0.25">
      <c r="A2152" s="2" t="s">
        <v>2154</v>
      </c>
      <c r="B2152" s="3" t="s">
        <v>6</v>
      </c>
      <c r="C2152" s="2" t="str">
        <f ca="1">IFERROR(__xludf.DUMMYFUNCTION("GOOGLETRANSLATE(A2152,""bn"",""en"")"),"The picture does not match the reality the dress looks very different")</f>
        <v>The picture does not match the reality the dress looks very different</v>
      </c>
    </row>
    <row r="2153" spans="1:3" ht="15.75" customHeight="1" x14ac:dyDescent="0.25">
      <c r="A2153" s="2" t="s">
        <v>2155</v>
      </c>
      <c r="B2153" s="3" t="s">
        <v>4</v>
      </c>
      <c r="C2153" s="2" t="str">
        <f ca="1">IFERROR(__xludf.DUMMYFUNCTION("GOOGLETRANSLATE(A2153,""bn"",""en"")"),"The performance of the laptop is very smooth")</f>
        <v>The performance of the laptop is very smooth</v>
      </c>
    </row>
    <row r="2154" spans="1:3" ht="15.75" customHeight="1" x14ac:dyDescent="0.25">
      <c r="A2154" s="2" t="s">
        <v>2156</v>
      </c>
      <c r="B2154" s="3" t="s">
        <v>2</v>
      </c>
      <c r="C2154" s="2" t="str">
        <f ca="1">IFERROR(__xludf.DUMMYFUNCTION("GOOGLETRANSLATE(A2154,""bn"",""en"")"),"The wine aerator can be used but is complicated to clean")</f>
        <v>The wine aerator can be used but is complicated to clean</v>
      </c>
    </row>
    <row r="2155" spans="1:3" ht="15.75" customHeight="1" x14ac:dyDescent="0.25">
      <c r="A2155" s="2" t="s">
        <v>2157</v>
      </c>
      <c r="B2155" s="3" t="s">
        <v>6</v>
      </c>
      <c r="C2155" s="2" t="str">
        <f ca="1">IFERROR(__xludf.DUMMYFUNCTION("GOOGLETRANSLATE(A2155,""bn"",""en"")"),"The power bank's charging ports make it difficult to maintain a loose, stable connection")</f>
        <v>The power bank's charging ports make it difficult to maintain a loose, stable connection</v>
      </c>
    </row>
    <row r="2156" spans="1:3" ht="15.75" customHeight="1" x14ac:dyDescent="0.25">
      <c r="A2156" s="2" t="s">
        <v>2158</v>
      </c>
      <c r="B2156" s="3" t="s">
        <v>6</v>
      </c>
      <c r="C2156" s="2" t="str">
        <f ca="1">IFERROR(__xludf.DUMMYFUNCTION("GOOGLETRANSLATE(A2156,""bn"",""en"")"),"The scent of the bath bomb was so subtle it was barely noticeable in the water")</f>
        <v>The scent of the bath bomb was so subtle it was barely noticeable in the water</v>
      </c>
    </row>
    <row r="2157" spans="1:3" ht="15.75" customHeight="1" x14ac:dyDescent="0.25">
      <c r="A2157" s="2" t="s">
        <v>2159</v>
      </c>
      <c r="B2157" s="3" t="s">
        <v>4</v>
      </c>
      <c r="C2157" s="2" t="str">
        <f ca="1">IFERROR(__xludf.DUMMYFUNCTION("GOOGLETRANSLATE(A2157,""bn"",""en"")"),"It is very cool and comfortable")</f>
        <v>It is very cool and comfortable</v>
      </c>
    </row>
    <row r="2158" spans="1:3" ht="15.75" customHeight="1" x14ac:dyDescent="0.25">
      <c r="A2158" s="2" t="s">
        <v>2160</v>
      </c>
      <c r="B2158" s="3" t="s">
        <v>4</v>
      </c>
      <c r="C2158" s="2" t="str">
        <f ca="1">IFERROR(__xludf.DUMMYFUNCTION("GOOGLETRANSLATE(A2158,""bn"",""en"")"),"This car has very good mileage and is eco-friendly")</f>
        <v>This car has very good mileage and is eco-friendly</v>
      </c>
    </row>
    <row r="2159" spans="1:3" ht="15.75" customHeight="1" x14ac:dyDescent="0.25">
      <c r="A2159" s="2" t="s">
        <v>2161</v>
      </c>
      <c r="B2159" s="3" t="s">
        <v>6</v>
      </c>
      <c r="C2159" s="2" t="str">
        <f ca="1">IFERROR(__xludf.DUMMYFUNCTION("GOOGLETRANSLATE(A2159,""bn"",""en"")"),"The lid of the electric kettle does not open easily making it inconvenient to pour water")</f>
        <v>The lid of the electric kettle does not open easily making it inconvenient to pour water</v>
      </c>
    </row>
    <row r="2160" spans="1:3" ht="15.75" customHeight="1" x14ac:dyDescent="0.25">
      <c r="A2160" s="2" t="s">
        <v>2162</v>
      </c>
      <c r="B2160" s="3" t="s">
        <v>6</v>
      </c>
      <c r="C2160" s="2" t="str">
        <f ca="1">IFERROR(__xludf.DUMMYFUNCTION("GOOGLETRANSLATE(A2160,""bn"",""en"")"),"The color of the set is different from the picture to mislead the buyers")</f>
        <v>The color of the set is different from the picture to mislead the buyers</v>
      </c>
    </row>
    <row r="2161" spans="1:3" ht="15.75" customHeight="1" x14ac:dyDescent="0.25">
      <c r="A2161" s="2" t="s">
        <v>2163</v>
      </c>
      <c r="B2161" s="3" t="s">
        <v>6</v>
      </c>
      <c r="C2161" s="2" t="str">
        <f ca="1">IFERROR(__xludf.DUMMYFUNCTION("GOOGLETRANSLATE(A2161,""bn"",""en"")"),"Fabric is not perfect for bags or quilts")</f>
        <v>Fabric is not perfect for bags or quilts</v>
      </c>
    </row>
    <row r="2162" spans="1:3" ht="15.75" customHeight="1" x14ac:dyDescent="0.25">
      <c r="A2162" s="2" t="s">
        <v>2164</v>
      </c>
      <c r="B2162" s="3" t="s">
        <v>4</v>
      </c>
      <c r="C2162" s="2" t="str">
        <f ca="1">IFERROR(__xludf.DUMMYFUNCTION("GOOGLETRANSLATE(A2162,""bn"",""en"")"),"Excellent drone")</f>
        <v>Excellent drone</v>
      </c>
    </row>
    <row r="2163" spans="1:3" ht="15.75" customHeight="1" x14ac:dyDescent="0.25">
      <c r="A2163" s="2" t="s">
        <v>2165</v>
      </c>
      <c r="B2163" s="3" t="s">
        <v>6</v>
      </c>
      <c r="C2163" s="2" t="str">
        <f ca="1">IFERROR(__xludf.DUMMYFUNCTION("GOOGLETRANSLATE(A2163,""bn"",""en"")"),"Prepackaged salads have dry lettuce and wet vegetables that are not good freshness")</f>
        <v>Prepackaged salads have dry lettuce and wet vegetables that are not good freshness</v>
      </c>
    </row>
    <row r="2164" spans="1:3" ht="15.75" customHeight="1" x14ac:dyDescent="0.25">
      <c r="A2164" s="2" t="s">
        <v>2166</v>
      </c>
      <c r="B2164" s="3" t="s">
        <v>6</v>
      </c>
      <c r="C2164" s="2" t="str">
        <f ca="1">IFERROR(__xludf.DUMMYFUNCTION("GOOGLETRANSLATE(A2164,""bn"",""en"")"),"Wardrobe doors are difficult to align properly resulting in uneven gaps and an unsightly appearance")</f>
        <v>Wardrobe doors are difficult to align properly resulting in uneven gaps and an unsightly appearance</v>
      </c>
    </row>
    <row r="2165" spans="1:3" ht="15.75" customHeight="1" x14ac:dyDescent="0.25">
      <c r="A2165" s="2" t="s">
        <v>2167</v>
      </c>
      <c r="B2165" s="3" t="s">
        <v>4</v>
      </c>
      <c r="C2165" s="2" t="str">
        <f ca="1">IFERROR(__xludf.DUMMYFUNCTION("GOOGLETRANSLATE(A2165,""bn"",""en"")"),"The quality of the tea indicates that it has been ethically harvested")</f>
        <v>The quality of the tea indicates that it has been ethically harvested</v>
      </c>
    </row>
    <row r="2166" spans="1:3" ht="15.75" customHeight="1" x14ac:dyDescent="0.25">
      <c r="A2166" s="2" t="s">
        <v>2168</v>
      </c>
      <c r="B2166" s="3" t="s">
        <v>6</v>
      </c>
      <c r="C2166" s="2" t="str">
        <f ca="1">IFERROR(__xludf.DUMMYFUNCTION("GOOGLETRANSLATE(A2166,""bn"",""en"")")," Despite expectations based on online images, the color of the dress in real life was significantly different and disappointing")</f>
        <v xml:space="preserve"> Despite expectations based on online images, the color of the dress in real life was significantly different and disappointing</v>
      </c>
    </row>
    <row r="2167" spans="1:3" ht="15.75" customHeight="1" x14ac:dyDescent="0.25">
      <c r="A2167" s="2" t="s">
        <v>2169</v>
      </c>
      <c r="B2167" s="3" t="s">
        <v>6</v>
      </c>
      <c r="C2167" s="2" t="str">
        <f ca="1">IFERROR(__xludf.DUMMYFUNCTION("GOOGLETRANSLATE(A2167,""bn"",""en"")"),"Not much variety disappointing for the price")</f>
        <v>Not much variety disappointing for the price</v>
      </c>
    </row>
    <row r="2168" spans="1:3" ht="15.75" customHeight="1" x14ac:dyDescent="0.25">
      <c r="A2168" s="2" t="s">
        <v>2170</v>
      </c>
      <c r="B2168" s="3" t="s">
        <v>6</v>
      </c>
      <c r="C2168" s="2" t="str">
        <f ca="1">IFERROR(__xludf.DUMMYFUNCTION("GOOGLETRANSLATE(A2168,""bn"",""en"")"),"Frequent errors disappoint reliability")</f>
        <v>Frequent errors disappoint reliability</v>
      </c>
    </row>
    <row r="2169" spans="1:3" ht="15.75" customHeight="1" x14ac:dyDescent="0.25">
      <c r="A2169" s="2" t="s">
        <v>2171</v>
      </c>
      <c r="B2169" s="3" t="s">
        <v>4</v>
      </c>
      <c r="C2169" s="2" t="str">
        <f ca="1">IFERROR(__xludf.DUMMYFUNCTION("GOOGLETRANSLATE(A2169,""bn"",""en"")"),"The new phone's camera is perfect for taking pictures")</f>
        <v>The new phone's camera is perfect for taking pictures</v>
      </c>
    </row>
    <row r="2170" spans="1:3" ht="15.75" customHeight="1" x14ac:dyDescent="0.25">
      <c r="A2170" s="2" t="s">
        <v>2172</v>
      </c>
      <c r="B2170" s="3" t="s">
        <v>6</v>
      </c>
      <c r="C2170" s="2" t="str">
        <f ca="1">IFERROR(__xludf.DUMMYFUNCTION("GOOGLETRANSLATE(A2170,""bn"",""en"")")," The bag's shoulder strap digs into my skin uncomfortably, causing pain and discomfort during my daily commute.")</f>
        <v xml:space="preserve"> The bag's shoulder strap digs into my skin uncomfortably, causing pain and discomfort during my daily commute.</v>
      </c>
    </row>
    <row r="2171" spans="1:3" ht="15.75" customHeight="1" x14ac:dyDescent="0.25">
      <c r="A2171" s="2" t="s">
        <v>2173</v>
      </c>
      <c r="B2171" s="3" t="s">
        <v>6</v>
      </c>
      <c r="C2171" s="2" t="str">
        <f ca="1">IFERROR(__xludf.DUMMYFUNCTION("GOOGLETRANSLATE(A2171,""bn"",""en"")")," The power cord was prone to tangling which created a safety hazard")</f>
        <v xml:space="preserve"> The power cord was prone to tangling which created a safety hazard</v>
      </c>
    </row>
    <row r="2172" spans="1:3" ht="15.75" customHeight="1" x14ac:dyDescent="0.25">
      <c r="A2172" s="2" t="s">
        <v>2174</v>
      </c>
      <c r="B2172" s="3" t="s">
        <v>2</v>
      </c>
      <c r="C2172" s="2" t="str">
        <f ca="1">IFERROR(__xludf.DUMMYFUNCTION("GOOGLETRANSLATE(A2172,""bn"",""en"")"),"Different foods have shapes but are exaggerated")</f>
        <v>Different foods have shapes but are exaggerated</v>
      </c>
    </row>
    <row r="2173" spans="1:3" ht="15.75" customHeight="1" x14ac:dyDescent="0.25">
      <c r="A2173" s="2" t="s">
        <v>2175</v>
      </c>
      <c r="B2173" s="3" t="s">
        <v>2</v>
      </c>
      <c r="C2173" s="2" t="str">
        <f ca="1">IFERROR(__xludf.DUMMYFUNCTION("GOOGLETRANSLATE(A2173,""bn"",""en"")"),"Pleasantly surprised but not perfect")</f>
        <v>Pleasantly surprised but not perfect</v>
      </c>
    </row>
    <row r="2174" spans="1:3" ht="15.75" customHeight="1" x14ac:dyDescent="0.25">
      <c r="A2174" s="2" t="s">
        <v>2176</v>
      </c>
      <c r="B2174" s="3" t="s">
        <v>6</v>
      </c>
      <c r="C2174" s="2" t="str">
        <f ca="1">IFERROR(__xludf.DUMMYFUNCTION("GOOGLETRANSLATE(A2174,""bn"",""en"")"),"The microphone picks up loud background noise during calls making it difficult to hear the conversation")</f>
        <v>The microphone picks up loud background noise during calls making it difficult to hear the conversation</v>
      </c>
    </row>
    <row r="2175" spans="1:3" ht="15.75" customHeight="1" x14ac:dyDescent="0.25">
      <c r="A2175" s="2" t="s">
        <v>2177</v>
      </c>
      <c r="B2175" s="3" t="s">
        <v>6</v>
      </c>
      <c r="C2175" s="2" t="str">
        <f ca="1">IFERROR(__xludf.DUMMYFUNCTION("GOOGLETRANSLATE(A2175,""bn"",""en"")"),"The headboard of the bed is flimsy and wobbles easily making it unreliable for leaning on while sitting in bed.")</f>
        <v>The headboard of the bed is flimsy and wobbles easily making it unreliable for leaning on while sitting in bed.</v>
      </c>
    </row>
    <row r="2176" spans="1:3" ht="15.75" customHeight="1" x14ac:dyDescent="0.25">
      <c r="A2176" s="2" t="s">
        <v>2178</v>
      </c>
      <c r="B2176" s="3" t="s">
        <v>2</v>
      </c>
      <c r="C2176" s="2" t="str">
        <f ca="1">IFERROR(__xludf.DUMMYFUNCTION("GOOGLETRANSLATE(A2176,""bn"",""en"")"),"This is an average product")</f>
        <v>This is an average product</v>
      </c>
    </row>
    <row r="2177" spans="1:3" ht="15.75" customHeight="1" x14ac:dyDescent="0.25">
      <c r="A2177" s="2" t="s">
        <v>2179</v>
      </c>
      <c r="B2177" s="3" t="s">
        <v>4</v>
      </c>
      <c r="C2177" s="2" t="str">
        <f ca="1">IFERROR(__xludf.DUMMYFUNCTION("GOOGLETRANSLATE(A2177,""bn"",""en"")"),"I enjoyed reading the book")</f>
        <v>I enjoyed reading the book</v>
      </c>
    </row>
    <row r="2178" spans="1:3" ht="15.75" customHeight="1" x14ac:dyDescent="0.25">
      <c r="A2178" s="2" t="s">
        <v>2180</v>
      </c>
      <c r="B2178" s="3" t="s">
        <v>2</v>
      </c>
      <c r="C2178" s="2" t="str">
        <f ca="1">IFERROR(__xludf.DUMMYFUNCTION("GOOGLETRANSLATE(A2178,""bn"",""en"")"),"Can be pulled with a rope but there is a possibility of the rope tearing")</f>
        <v>Can be pulled with a rope but there is a possibility of the rope tearing</v>
      </c>
    </row>
    <row r="2179" spans="1:3" ht="15.75" customHeight="1" x14ac:dyDescent="0.25">
      <c r="A2179" s="2" t="s">
        <v>2181</v>
      </c>
      <c r="B2179" s="3" t="s">
        <v>6</v>
      </c>
      <c r="C2179" s="2" t="str">
        <f ca="1">IFERROR(__xludf.DUMMYFUNCTION("GOOGLETRANSLATE(A2179,""bn"",""en"")"),"     Drawers are shallow and poorly designed resulting in wasted space and inefficient storage")</f>
        <v xml:space="preserve">     Drawers are shallow and poorly designed resulting in wasted space and inefficient storage</v>
      </c>
    </row>
    <row r="2180" spans="1:3" ht="15.75" customHeight="1" x14ac:dyDescent="0.25">
      <c r="A2180" s="2" t="s">
        <v>2182</v>
      </c>
      <c r="B2180" s="3" t="s">
        <v>6</v>
      </c>
      <c r="C2180" s="2" t="str">
        <f ca="1">IFERROR(__xludf.DUMMYFUNCTION("GOOGLETRANSLATE(A2180,""bn"",""en"")"),"The hair oil makes my hair feel greasy and unwashed")</f>
        <v>The hair oil makes my hair feel greasy and unwashed</v>
      </c>
    </row>
    <row r="2181" spans="1:3" ht="15.75" customHeight="1" x14ac:dyDescent="0.25">
      <c r="A2181" s="2" t="s">
        <v>2183</v>
      </c>
      <c r="B2181" s="3" t="s">
        <v>4</v>
      </c>
      <c r="C2181" s="2" t="str">
        <f ca="1">IFERROR(__xludf.DUMMYFUNCTION("GOOGLETRANSLATE(A2181,""bn"",""en"")"),"Each product in the kit blends well with the skin")</f>
        <v>Each product in the kit blends well with the skin</v>
      </c>
    </row>
    <row r="2182" spans="1:3" ht="15.75" customHeight="1" x14ac:dyDescent="0.25">
      <c r="A2182" s="2" t="s">
        <v>2184</v>
      </c>
      <c r="B2182" s="3" t="s">
        <v>2</v>
      </c>
      <c r="C2182" s="2" t="str">
        <f ca="1">IFERROR(__xludf.DUMMYFUNCTION("GOOGLETRANSLATE(A2182,""bn"",""en"")"),"The clothes are comfortable but expensive")</f>
        <v>The clothes are comfortable but expensive</v>
      </c>
    </row>
    <row r="2183" spans="1:3" ht="15.75" customHeight="1" x14ac:dyDescent="0.25">
      <c r="A2183" s="2" t="s">
        <v>2185</v>
      </c>
      <c r="B2183" s="3" t="s">
        <v>2</v>
      </c>
      <c r="C2183" s="2" t="str">
        <f ca="1">IFERROR(__xludf.DUMMYFUNCTION("GOOGLETRANSLATE(A2183,""bn"",""en"")"),"The watercolor brush design could have been more interesting")</f>
        <v>The watercolor brush design could have been more interesting</v>
      </c>
    </row>
    <row r="2184" spans="1:3" ht="15.75" customHeight="1" x14ac:dyDescent="0.25">
      <c r="A2184" s="2" t="s">
        <v>2186</v>
      </c>
      <c r="B2184" s="3" t="s">
        <v>4</v>
      </c>
      <c r="C2184" s="2" t="str">
        <f ca="1">IFERROR(__xludf.DUMMYFUNCTION("GOOGLETRANSLATE(A2184,""bn"",""en"")"),"It is very durable and easy to use")</f>
        <v>It is very durable and easy to use</v>
      </c>
    </row>
    <row r="2185" spans="1:3" ht="15.75" customHeight="1" x14ac:dyDescent="0.25">
      <c r="A2185" s="2" t="s">
        <v>2187</v>
      </c>
      <c r="B2185" s="3" t="s">
        <v>4</v>
      </c>
      <c r="C2185" s="2" t="str">
        <f ca="1">IFERROR(__xludf.DUMMYFUNCTION("GOOGLETRANSLATE(A2185,""bn"",""en"")"),"The fitting and design of the dress is very attractive")</f>
        <v>The fitting and design of the dress is very attractive</v>
      </c>
    </row>
    <row r="2186" spans="1:3" ht="15.75" customHeight="1" x14ac:dyDescent="0.25">
      <c r="A2186" s="2" t="s">
        <v>2188</v>
      </c>
      <c r="B2186" s="3" t="s">
        <v>6</v>
      </c>
      <c r="C2186" s="2" t="str">
        <f ca="1">IFERROR(__xludf.DUMMYFUNCTION("GOOGLETRANSLATE(A2186,""bn"",""en"")"),"Images with blueout highlights look overexposed even in moderate lighting conditions")</f>
        <v>Images with blueout highlights look overexposed even in moderate lighting conditions</v>
      </c>
    </row>
    <row r="2187" spans="1:3" ht="15.75" customHeight="1" x14ac:dyDescent="0.25">
      <c r="A2187" s="2" t="s">
        <v>2189</v>
      </c>
      <c r="B2187" s="3" t="s">
        <v>6</v>
      </c>
      <c r="C2187" s="2" t="str">
        <f ca="1">IFERROR(__xludf.DUMMYFUNCTION("GOOGLETRANSLATE(A2187,""bn"",""en"")"),"Limited warranty coverage does not inspire confidence")</f>
        <v>Limited warranty coverage does not inspire confidence</v>
      </c>
    </row>
    <row r="2188" spans="1:3" ht="15.75" customHeight="1" x14ac:dyDescent="0.25">
      <c r="A2188" s="2" t="s">
        <v>2190</v>
      </c>
      <c r="B2188" s="3" t="s">
        <v>2</v>
      </c>
      <c r="C2188" s="2" t="str">
        <f ca="1">IFERROR(__xludf.DUMMYFUNCTION("GOOGLETRANSLATE(A2188,""bn"",""en"")"),"A hair dryer dries hair but makes more noise")</f>
        <v>A hair dryer dries hair but makes more noise</v>
      </c>
    </row>
    <row r="2189" spans="1:3" ht="15.75" customHeight="1" x14ac:dyDescent="0.25">
      <c r="A2189" s="2" t="s">
        <v>2191</v>
      </c>
      <c r="B2189" s="3" t="s">
        <v>4</v>
      </c>
      <c r="C2189" s="2" t="str">
        <f ca="1">IFERROR(__xludf.DUMMYFUNCTION("GOOGLETRANSLATE(A2189,""bn"",""en"")"),"There was no problem while charging the phone")</f>
        <v>There was no problem while charging the phone</v>
      </c>
    </row>
    <row r="2190" spans="1:3" ht="15.75" customHeight="1" x14ac:dyDescent="0.25">
      <c r="A2190" s="2" t="s">
        <v>2192</v>
      </c>
      <c r="B2190" s="3" t="s">
        <v>6</v>
      </c>
      <c r="C2190" s="2" t="str">
        <f ca="1">IFERROR(__xludf.DUMMYFUNCTION("GOOGLETRANSLATE(A2190,""bn"",""en"")"),"Reduced volume on the corresponding left earbud")</f>
        <v>Reduced volume on the corresponding left earbud</v>
      </c>
    </row>
    <row r="2191" spans="1:3" ht="15.75" customHeight="1" x14ac:dyDescent="0.25">
      <c r="A2191" s="2" t="s">
        <v>2193</v>
      </c>
      <c r="B2191" s="3" t="s">
        <v>6</v>
      </c>
      <c r="C2191" s="2" t="str">
        <f ca="1">IFERROR(__xludf.DUMMYFUNCTION("GOOGLETRANSLATE(A2191,""bn"",""en"")"),"The fitness tracker's heart rate monitor gave incorrect readings during workouts")</f>
        <v>The fitness tracker's heart rate monitor gave incorrect readings during workouts</v>
      </c>
    </row>
    <row r="2192" spans="1:3" ht="15.75" customHeight="1" x14ac:dyDescent="0.25">
      <c r="A2192" s="2" t="s">
        <v>2194</v>
      </c>
      <c r="B2192" s="3" t="s">
        <v>6</v>
      </c>
      <c r="C2192" s="2" t="str">
        <f ca="1">IFERROR(__xludf.DUMMYFUNCTION("GOOGLETRANSLATE(A2192,""bn"",""en"")"),"The paint smudges easily and ruins the artwork")</f>
        <v>The paint smudges easily and ruins the artwork</v>
      </c>
    </row>
    <row r="2193" spans="1:3" ht="15.75" customHeight="1" x14ac:dyDescent="0.25">
      <c r="A2193" s="2" t="s">
        <v>2195</v>
      </c>
      <c r="B2193" s="3" t="s">
        <v>4</v>
      </c>
      <c r="C2193" s="2" t="str">
        <f ca="1">IFERROR(__xludf.DUMMYFUNCTION("GOOGLETRANSLATE(A2193,""bn"",""en"")"),"The build material of the mobile is very high quality")</f>
        <v>The build material of the mobile is very high quality</v>
      </c>
    </row>
    <row r="2194" spans="1:3" ht="15.75" customHeight="1" x14ac:dyDescent="0.25">
      <c r="A2194" s="2" t="s">
        <v>2196</v>
      </c>
      <c r="B2194" s="3" t="s">
        <v>2</v>
      </c>
      <c r="C2194" s="2" t="str">
        <f ca="1">IFERROR(__xludf.DUMMYFUNCTION("GOOGLETRANSLATE(A2194,""bn"",""en"")"),"Charge backup is average")</f>
        <v>Charge backup is average</v>
      </c>
    </row>
    <row r="2195" spans="1:3" ht="15.75" customHeight="1" x14ac:dyDescent="0.25">
      <c r="A2195" s="2" t="s">
        <v>2197</v>
      </c>
      <c r="B2195" s="3" t="s">
        <v>6</v>
      </c>
      <c r="C2195" s="2" t="str">
        <f ca="1">IFERROR(__xludf.DUMMYFUNCTION("GOOGLETRANSLATE(A2195,""bn"",""en"")")," The cooking chamber has sharp edges that pose a risk of injury during cleaning")</f>
        <v xml:space="preserve"> The cooking chamber has sharp edges that pose a risk of injury during cleaning</v>
      </c>
    </row>
    <row r="2196" spans="1:3" ht="15.75" customHeight="1" x14ac:dyDescent="0.25">
      <c r="A2196" s="2" t="s">
        <v>2198</v>
      </c>
      <c r="B2196" s="3" t="s">
        <v>2</v>
      </c>
      <c r="C2196" s="2" t="str">
        <f ca="1">IFERROR(__xludf.DUMMYFUNCTION("GOOGLETRANSLATE(A2196,""bn"",""en"")"),"The quality is quite good")</f>
        <v>The quality is quite good</v>
      </c>
    </row>
    <row r="2197" spans="1:3" ht="15.75" customHeight="1" x14ac:dyDescent="0.25">
      <c r="A2197" s="2" t="s">
        <v>2199</v>
      </c>
      <c r="B2197" s="3" t="s">
        <v>6</v>
      </c>
      <c r="C2197" s="2" t="str">
        <f ca="1">IFERROR(__xludf.DUMMYFUNCTION("GOOGLETRANSLATE(A2197,""bn"",""en"")"),"The volumizing shampoo didn't add any volume to my hair and left it looking gross and lifeless")</f>
        <v>The volumizing shampoo didn't add any volume to my hair and left it looking gross and lifeless</v>
      </c>
    </row>
    <row r="2198" spans="1:3" ht="15.75" customHeight="1" x14ac:dyDescent="0.25">
      <c r="A2198" s="2" t="s">
        <v>2200</v>
      </c>
      <c r="B2198" s="3" t="s">
        <v>6</v>
      </c>
      <c r="C2198" s="2" t="str">
        <f ca="1">IFERROR(__xludf.DUMMYFUNCTION("GOOGLETRANSLATE(A2198,""bn"",""en"")"),"A used one with visible wear and tear is completely unacceptable")</f>
        <v>A used one with visible wear and tear is completely unacceptable</v>
      </c>
    </row>
    <row r="2199" spans="1:3" ht="15.75" customHeight="1" x14ac:dyDescent="0.25">
      <c r="A2199" s="2" t="s">
        <v>2201</v>
      </c>
      <c r="B2199" s="3" t="s">
        <v>4</v>
      </c>
      <c r="C2199" s="2" t="str">
        <f ca="1">IFERROR(__xludf.DUMMYFUNCTION("GOOGLETRANSLATE(A2199,""bn"",""en"")"),"The sofa armrests are at the perfect height to rest your hands while sitting")</f>
        <v>The sofa armrests are at the perfect height to rest your hands while sitting</v>
      </c>
    </row>
    <row r="2200" spans="1:3" ht="15.75" customHeight="1" x14ac:dyDescent="0.25">
      <c r="A2200" s="2" t="s">
        <v>2202</v>
      </c>
      <c r="B2200" s="3" t="s">
        <v>6</v>
      </c>
      <c r="C2200" s="2" t="str">
        <f ca="1">IFERROR(__xludf.DUMMYFUNCTION("GOOGLETRANSLATE(A2200,""bn"",""en"")"),"It becomes more of a decorative piece than a useful tool")</f>
        <v>It becomes more of a decorative piece than a useful tool</v>
      </c>
    </row>
    <row r="2201" spans="1:3" ht="15.75" customHeight="1" x14ac:dyDescent="0.25">
      <c r="A2201" s="2" t="s">
        <v>2203</v>
      </c>
      <c r="B2201" s="3" t="s">
        <v>6</v>
      </c>
      <c r="C2201" s="2" t="str">
        <f ca="1">IFERROR(__xludf.DUMMYFUNCTION("GOOGLETRANSLATE(A2201,""bn"",""en"")"),"Small size big disappointment barely the size of my palm")</f>
        <v>Small size big disappointment barely the size of my palm</v>
      </c>
    </row>
    <row r="2202" spans="1:3" ht="15.75" customHeight="1" x14ac:dyDescent="0.25">
      <c r="A2202" s="2" t="s">
        <v>2204</v>
      </c>
      <c r="B2202" s="3" t="s">
        <v>4</v>
      </c>
      <c r="C2202" s="2" t="str">
        <f ca="1">IFERROR(__xludf.DUMMYFUNCTION("GOOGLETRANSLATE(A2202,""bn"",""en"")"),"Charges so fast and no need to go to the office to find a charger")</f>
        <v>Charges so fast and no need to go to the office to find a charger</v>
      </c>
    </row>
    <row r="2203" spans="1:3" ht="15.75" customHeight="1" x14ac:dyDescent="0.25">
      <c r="A2203" s="2" t="s">
        <v>2205</v>
      </c>
      <c r="B2203" s="3" t="s">
        <v>4</v>
      </c>
      <c r="C2203" s="2" t="str">
        <f ca="1">IFERROR(__xludf.DUMMYFUNCTION("GOOGLETRANSLATE(A2203,""bn"",""en"")")," Its durability seems good let's see what happens")</f>
        <v xml:space="preserve"> Its durability seems good let's see what happens</v>
      </c>
    </row>
    <row r="2204" spans="1:3" ht="15.75" customHeight="1" x14ac:dyDescent="0.25">
      <c r="A2204" s="2" t="s">
        <v>2206</v>
      </c>
      <c r="B2204" s="3" t="s">
        <v>6</v>
      </c>
      <c r="C2204" s="2" t="str">
        <f ca="1">IFERROR(__xludf.DUMMYFUNCTION("GOOGLETRANSLATE(A2204,""bn"",""en"")"),"Lip plumpers give a burning sensation and chapped lips instead of a fuller look")</f>
        <v>Lip plumpers give a burning sensation and chapped lips instead of a fuller look</v>
      </c>
    </row>
    <row r="2205" spans="1:3" ht="15.75" customHeight="1" x14ac:dyDescent="0.25">
      <c r="A2205" s="2" t="s">
        <v>2207</v>
      </c>
      <c r="B2205" s="3" t="s">
        <v>4</v>
      </c>
      <c r="C2205" s="2" t="str">
        <f ca="1">IFERROR(__xludf.DUMMYFUNCTION("GOOGLETRANSLATE(A2205,""bn"",""en"")")," A very good quality charger that everyone can easily take")</f>
        <v xml:space="preserve"> A very good quality charger that everyone can easily take</v>
      </c>
    </row>
    <row r="2206" spans="1:3" ht="15.75" customHeight="1" x14ac:dyDescent="0.25">
      <c r="A2206" s="2" t="s">
        <v>2208</v>
      </c>
      <c r="B2206" s="3" t="s">
        <v>4</v>
      </c>
      <c r="C2206" s="2" t="str">
        <f ca="1">IFERROR(__xludf.DUMMYFUNCTION("GOOGLETRANSLATE(A2206,""bn"",""en"")"),"Charges very quickly and efficiently")</f>
        <v>Charges very quickly and efficiently</v>
      </c>
    </row>
    <row r="2207" spans="1:3" ht="15.75" customHeight="1" x14ac:dyDescent="0.25">
      <c r="A2207" s="2" t="s">
        <v>2209</v>
      </c>
      <c r="B2207" s="3" t="s">
        <v>6</v>
      </c>
      <c r="C2207" s="2" t="str">
        <f ca="1">IFERROR(__xludf.DUMMYFUNCTION("GOOGLETRANSLATE(A2207,""bn"",""en"")"),"The placement of the fingerprint sensor is awkward as users have to stretch their fingers to reach it")</f>
        <v>The placement of the fingerprint sensor is awkward as users have to stretch their fingers to reach it</v>
      </c>
    </row>
    <row r="2208" spans="1:3" ht="15.75" customHeight="1" x14ac:dyDescent="0.25">
      <c r="A2208" s="2" t="s">
        <v>2210</v>
      </c>
      <c r="B2208" s="3" t="s">
        <v>4</v>
      </c>
      <c r="C2208" s="2" t="str">
        <f ca="1">IFERROR(__xludf.DUMMYFUNCTION("GOOGLETRANSLATE(A2208,""bn"",""en"")"),"Good shape is fun for kids")</f>
        <v>Good shape is fun for kids</v>
      </c>
    </row>
    <row r="2209" spans="1:3" ht="15.75" customHeight="1" x14ac:dyDescent="0.25">
      <c r="A2209" s="2" t="s">
        <v>2211</v>
      </c>
      <c r="B2209" s="3" t="s">
        <v>4</v>
      </c>
      <c r="C2209" s="2" t="str">
        <f ca="1">IFERROR(__xludf.DUMMYFUNCTION("GOOGLETRANSLATE(A2209,""bn"",""en"")"),"Its taste reminds me of cozy winter evenings")</f>
        <v>Its taste reminds me of cozy winter evenings</v>
      </c>
    </row>
    <row r="2210" spans="1:3" ht="15.75" customHeight="1" x14ac:dyDescent="0.25">
      <c r="A2210" s="2" t="s">
        <v>2212</v>
      </c>
      <c r="B2210" s="3" t="s">
        <v>6</v>
      </c>
      <c r="C2210" s="2" t="str">
        <f ca="1">IFERROR(__xludf.DUMMYFUNCTION("GOOGLETRANSLATE(A2210,""bn"",""en"")"),"A cheaply built disappointing purchase")</f>
        <v>A cheaply built disappointing purchase</v>
      </c>
    </row>
    <row r="2211" spans="1:3" ht="15.75" customHeight="1" x14ac:dyDescent="0.25">
      <c r="A2211" s="2" t="s">
        <v>2213</v>
      </c>
      <c r="B2211" s="3" t="s">
        <v>4</v>
      </c>
      <c r="C2211" s="2" t="str">
        <f ca="1">IFERROR(__xludf.DUMMYFUNCTION("GOOGLETRANSLATE(A2211,""bn"",""en"")"),"I feel its high quality with every kiss")</f>
        <v>I feel its high quality with every kiss</v>
      </c>
    </row>
    <row r="2212" spans="1:3" ht="15.75" customHeight="1" x14ac:dyDescent="0.25">
      <c r="A2212" s="2" t="s">
        <v>2214</v>
      </c>
      <c r="B2212" s="3" t="s">
        <v>6</v>
      </c>
      <c r="C2212" s="2" t="str">
        <f ca="1">IFERROR(__xludf.DUMMYFUNCTION("GOOGLETRANSLATE(A2212,""bn"",""en"")"),"The shutter lag of the camera is significant resulting in a delay in capturing the decisive moments")</f>
        <v>The shutter lag of the camera is significant resulting in a delay in capturing the decisive moments</v>
      </c>
    </row>
    <row r="2213" spans="1:3" ht="15.75" customHeight="1" x14ac:dyDescent="0.25">
      <c r="A2213" s="2" t="s">
        <v>2215</v>
      </c>
      <c r="B2213" s="3" t="s">
        <v>4</v>
      </c>
      <c r="C2213" s="2" t="str">
        <f ca="1">IFERROR(__xludf.DUMMYFUNCTION("GOOGLETRANSLATE(A2213,""bn"",""en"")"),"The picture quality of the DVD player is very good")</f>
        <v>The picture quality of the DVD player is very good</v>
      </c>
    </row>
    <row r="2214" spans="1:3" ht="15.75" customHeight="1" x14ac:dyDescent="0.25">
      <c r="A2214" s="2" t="s">
        <v>2216</v>
      </c>
      <c r="B2214" s="3" t="s">
        <v>2</v>
      </c>
      <c r="C2214" s="2" t="str">
        <f ca="1">IFERROR(__xludf.DUMMYFUNCTION("GOOGLETRANSLATE(A2214,""bn"",""en"")"),"It makes noise while playing but the same noise over and over again")</f>
        <v>It makes noise while playing but the same noise over and over again</v>
      </c>
    </row>
    <row r="2215" spans="1:3" ht="15.75" customHeight="1" x14ac:dyDescent="0.25">
      <c r="A2215" s="2" t="s">
        <v>2217</v>
      </c>
      <c r="B2215" s="3" t="s">
        <v>6</v>
      </c>
      <c r="C2215" s="2" t="str">
        <f ca="1">IFERROR(__xludf.DUMMYFUNCTION("GOOGLETRANSLATE(A2215,""bn"",""en"")"),"Overheating issues during extended shooting sessions disrupt the workflow")</f>
        <v>Overheating issues during extended shooting sessions disrupt the workflow</v>
      </c>
    </row>
    <row r="2216" spans="1:3" ht="15.75" customHeight="1" x14ac:dyDescent="0.25">
      <c r="A2216" s="2" t="s">
        <v>2218</v>
      </c>
      <c r="B2216" s="3" t="s">
        <v>4</v>
      </c>
      <c r="C2216" s="2" t="str">
        <f ca="1">IFERROR(__xludf.DUMMYFUNCTION("GOOGLETRANSLATE(A2216,""bn"",""en"")"),"The fabric is breathable which provides a comfortable and cool feeling while sleeping")</f>
        <v>The fabric is breathable which provides a comfortable and cool feeling while sleeping</v>
      </c>
    </row>
    <row r="2217" spans="1:3" ht="15.75" customHeight="1" x14ac:dyDescent="0.25">
      <c r="A2217" s="2" t="s">
        <v>2219</v>
      </c>
      <c r="B2217" s="3" t="s">
        <v>2</v>
      </c>
      <c r="C2217" s="2" t="str">
        <f ca="1">IFERROR(__xludf.DUMMYFUNCTION("GOOGLETRANSLATE(A2217,""bn"",""en"")"),"The thick part of the paper is cotton")</f>
        <v>The thick part of the paper is cotton</v>
      </c>
    </row>
    <row r="2218" spans="1:3" ht="15.75" customHeight="1" x14ac:dyDescent="0.25">
      <c r="A2218" s="2" t="s">
        <v>2220</v>
      </c>
      <c r="B2218" s="3" t="s">
        <v>2</v>
      </c>
      <c r="C2218" s="2" t="str">
        <f ca="1">IFERROR(__xludf.DUMMYFUNCTION("GOOGLETRANSLATE(A2218,""bn"",""en"")"),"Usable but no special attraction")</f>
        <v>Usable but no special attraction</v>
      </c>
    </row>
    <row r="2219" spans="1:3" ht="15.75" customHeight="1" x14ac:dyDescent="0.25">
      <c r="A2219" s="2" t="s">
        <v>2221</v>
      </c>
      <c r="B2219" s="3" t="s">
        <v>2</v>
      </c>
      <c r="C2219" s="2" t="str">
        <f ca="1">IFERROR(__xludf.DUMMYFUNCTION("GOOGLETRANSLATE(A2219,""bn"",""en"")"),"Finishing is good but fabric quality is not that good")</f>
        <v>Finishing is good but fabric quality is not that good</v>
      </c>
    </row>
    <row r="2220" spans="1:3" ht="15.75" customHeight="1" x14ac:dyDescent="0.25">
      <c r="A2220" s="2" t="s">
        <v>2222</v>
      </c>
      <c r="B2220" s="3" t="s">
        <v>4</v>
      </c>
      <c r="C2220" s="2" t="str">
        <f ca="1">IFERROR(__xludf.DUMMYFUNCTION("GOOGLETRANSLATE(A2220,""bn"",""en"")"),"So happy with the earrings that I bought my sister a pair too")</f>
        <v>So happy with the earrings that I bought my sister a pair too</v>
      </c>
    </row>
    <row r="2221" spans="1:3" ht="15.75" customHeight="1" x14ac:dyDescent="0.25">
      <c r="A2221" s="2" t="s">
        <v>2223</v>
      </c>
      <c r="B2221" s="3" t="s">
        <v>2</v>
      </c>
      <c r="C2221" s="2" t="str">
        <f ca="1">IFERROR(__xludf.DUMMYFUNCTION("GOOGLETRANSLATE(A2221,""bn"",""en"")"),"The plot of the story is interesting but the narration needed to be shortened")</f>
        <v>The plot of the story is interesting but the narration needed to be shortened</v>
      </c>
    </row>
    <row r="2222" spans="1:3" ht="15.75" customHeight="1" x14ac:dyDescent="0.25">
      <c r="A2222" s="2" t="s">
        <v>2224</v>
      </c>
      <c r="B2222" s="3" t="s">
        <v>6</v>
      </c>
      <c r="C2222" s="2" t="str">
        <f ca="1">IFERROR(__xludf.DUMMYFUNCTION("GOOGLETRANSLATE(A2222,""bn"",""en"")"),"Poor presentation is not the same as advertised")</f>
        <v>Poor presentation is not the same as advertised</v>
      </c>
    </row>
    <row r="2223" spans="1:3" ht="15.75" customHeight="1" x14ac:dyDescent="0.25">
      <c r="A2223" s="2" t="s">
        <v>2225</v>
      </c>
      <c r="B2223" s="3" t="s">
        <v>4</v>
      </c>
      <c r="C2223" s="2" t="str">
        <f ca="1">IFERROR(__xludf.DUMMYFUNCTION("GOOGLETRANSLATE(A2223,""bn"",""en"")"),"I am very happy wearing these earrings they are really nice and comfortable")</f>
        <v>I am very happy wearing these earrings they are really nice and comfortable</v>
      </c>
    </row>
    <row r="2224" spans="1:3" ht="15.75" customHeight="1" x14ac:dyDescent="0.25">
      <c r="A2224" s="2" t="s">
        <v>2226</v>
      </c>
      <c r="B2224" s="3" t="s">
        <v>6</v>
      </c>
      <c r="C2224" s="2" t="str">
        <f ca="1">IFERROR(__xludf.DUMMYFUNCTION("GOOGLETRANSLATE(A2224,""bn"",""en"")"),"Poor construction showed visible defects")</f>
        <v>Poor construction showed visible defects</v>
      </c>
    </row>
    <row r="2225" spans="1:3" ht="15.75" customHeight="1" x14ac:dyDescent="0.25">
      <c r="A2225" s="2" t="s">
        <v>2227</v>
      </c>
      <c r="B2225" s="3" t="s">
        <v>4</v>
      </c>
      <c r="C2225" s="2" t="str">
        <f ca="1">IFERROR(__xludf.DUMMYFUNCTION("GOOGLETRANSLATE(A2225,""bn"",""en"")")," Good brands are as reliable as good quality advertising")</f>
        <v xml:space="preserve"> Good brands are as reliable as good quality advertising</v>
      </c>
    </row>
    <row r="2226" spans="1:3" ht="15.75" customHeight="1" x14ac:dyDescent="0.25">
      <c r="A2226" s="2" t="s">
        <v>2228</v>
      </c>
      <c r="B2226" s="3" t="s">
        <v>6</v>
      </c>
      <c r="C2226" s="2" t="str">
        <f ca="1">IFERROR(__xludf.DUMMYFUNCTION("GOOGLETRANSLATE(A2226,""bn"",""en"")"),"The item lacked durability and broke down quickly")</f>
        <v>The item lacked durability and broke down quickly</v>
      </c>
    </row>
    <row r="2227" spans="1:3" ht="15.75" customHeight="1" x14ac:dyDescent="0.25">
      <c r="A2227" s="2" t="s">
        <v>2229</v>
      </c>
      <c r="B2227" s="3" t="s">
        <v>4</v>
      </c>
      <c r="C2227" s="2" t="str">
        <f ca="1">IFERROR(__xludf.DUMMYFUNCTION("GOOGLETRANSLATE(A2227,""bn"",""en"")"),"Everyone can buy very good clothes quality according to the price")</f>
        <v>Everyone can buy very good clothes quality according to the price</v>
      </c>
    </row>
    <row r="2228" spans="1:3" ht="15.75" customHeight="1" x14ac:dyDescent="0.25">
      <c r="A2228" s="2" t="s">
        <v>2230</v>
      </c>
      <c r="B2228" s="3" t="s">
        <v>2</v>
      </c>
      <c r="C2228" s="2" t="str">
        <f ca="1">IFERROR(__xludf.DUMMYFUNCTION("GOOGLETRANSLATE(A2228,""bn"",""en"")"),"Should be completely emptied after use")</f>
        <v>Should be completely emptied after use</v>
      </c>
    </row>
    <row r="2229" spans="1:3" ht="15.75" customHeight="1" x14ac:dyDescent="0.25">
      <c r="A2229" s="2" t="s">
        <v>2231</v>
      </c>
      <c r="B2229" s="3" t="s">
        <v>4</v>
      </c>
      <c r="C2229" s="2" t="str">
        <f ca="1">IFERROR(__xludf.DUMMYFUNCTION("GOOGLETRANSLATE(A2229,""bn"",""en"")"),"Our team has achieved success in the competition")</f>
        <v>Our team has achieved success in the competition</v>
      </c>
    </row>
    <row r="2230" spans="1:3" ht="15.75" customHeight="1" x14ac:dyDescent="0.25">
      <c r="A2230" s="2" t="s">
        <v>2232</v>
      </c>
      <c r="B2230" s="3" t="s">
        <v>2</v>
      </c>
      <c r="C2230" s="2" t="str">
        <f ca="1">IFERROR(__xludf.DUMMYFUNCTION("GOOGLETRANSLATE(A2230,""bn"",""en"")"),"The electric mosquito racquet can kill mosquitoes but the charge is low")</f>
        <v>The electric mosquito racquet can kill mosquitoes but the charge is low</v>
      </c>
    </row>
    <row r="2231" spans="1:3" ht="15.75" customHeight="1" x14ac:dyDescent="0.25">
      <c r="A2231" s="2" t="s">
        <v>2233</v>
      </c>
      <c r="B2231" s="3" t="s">
        <v>2</v>
      </c>
      <c r="C2231" s="2" t="str">
        <f ca="1">IFERROR(__xludf.DUMMYFUNCTION("GOOGLETRANSLATE(A2231,""bn"",""en"")"),"Product ingredients are a blend of beans from different countries rather than a single source")</f>
        <v>Product ingredients are a blend of beans from different countries rather than a single source</v>
      </c>
    </row>
    <row r="2232" spans="1:3" ht="15.75" customHeight="1" x14ac:dyDescent="0.25">
      <c r="A2232" s="2" t="s">
        <v>2234</v>
      </c>
      <c r="B2232" s="3" t="s">
        <v>6</v>
      </c>
      <c r="C2232" s="2" t="str">
        <f ca="1">IFERROR(__xludf.DUMMYFUNCTION("GOOGLETRANSLATE(A2232,""bn"",""en"")"),"The sharp edge of the lid poses a risk of injury")</f>
        <v>The sharp edge of the lid poses a risk of injury</v>
      </c>
    </row>
    <row r="2233" spans="1:3" ht="15.75" customHeight="1" x14ac:dyDescent="0.25">
      <c r="A2233" s="2" t="s">
        <v>2235</v>
      </c>
      <c r="B2233" s="3" t="s">
        <v>6</v>
      </c>
      <c r="C2233" s="2" t="str">
        <f ca="1">IFERROR(__xludf.DUMMYFUNCTION("GOOGLETRANSLATE(A2233,""bn"",""en"")"),"Not sure if the container is safe to use")</f>
        <v>Not sure if the container is safe to use</v>
      </c>
    </row>
    <row r="2234" spans="1:3" ht="15.75" customHeight="1" x14ac:dyDescent="0.25">
      <c r="A2234" s="2" t="s">
        <v>2236</v>
      </c>
      <c r="B2234" s="3" t="s">
        <v>2</v>
      </c>
      <c r="C2234" s="2" t="str">
        <f ca="1">IFERROR(__xludf.DUMMYFUNCTION("GOOGLETRANSLATE(A2234,""bn"",""en"")"),"It can help boost morale")</f>
        <v>It can help boost morale</v>
      </c>
    </row>
    <row r="2235" spans="1:3" ht="15.75" customHeight="1" x14ac:dyDescent="0.25">
      <c r="A2235" s="2" t="s">
        <v>2237</v>
      </c>
      <c r="B2235" s="3" t="s">
        <v>4</v>
      </c>
      <c r="C2235" s="2" t="str">
        <f ca="1">IFERROR(__xludf.DUMMYFUNCTION("GOOGLETRANSLATE(A2235,""bn"",""en"")"),"Each product in the kit keeps makeup in place for a long time")</f>
        <v>Each product in the kit keeps makeup in place for a long time</v>
      </c>
    </row>
    <row r="2236" spans="1:3" ht="15.75" customHeight="1" x14ac:dyDescent="0.25">
      <c r="A2236" s="2" t="s">
        <v>2238</v>
      </c>
      <c r="B2236" s="3" t="s">
        <v>6</v>
      </c>
      <c r="C2236" s="2" t="str">
        <f ca="1">IFERROR(__xludf.DUMMYFUNCTION("GOOGLETRANSLATE(A2236,""bn"",""en"")"),"Avoid these overpriced low quality IMs")</f>
        <v>Avoid these overpriced low quality IMs</v>
      </c>
    </row>
    <row r="2237" spans="1:3" ht="15.75" customHeight="1" x14ac:dyDescent="0.25">
      <c r="A2237" s="2" t="s">
        <v>2239</v>
      </c>
      <c r="B2237" s="3" t="s">
        <v>4</v>
      </c>
      <c r="C2237" s="2" t="str">
        <f ca="1">IFERROR(__xludf.DUMMYFUNCTION("GOOGLETRANSLATE(A2237,""bn"",""en"")"),"Bedside tables are functional and beautiful")</f>
        <v>Bedside tables are functional and beautiful</v>
      </c>
    </row>
    <row r="2238" spans="1:3" ht="15.75" customHeight="1" x14ac:dyDescent="0.25">
      <c r="A2238" s="2" t="s">
        <v>2240</v>
      </c>
      <c r="B2238" s="3" t="s">
        <v>6</v>
      </c>
      <c r="C2238" s="2" t="str">
        <f ca="1">IFERROR(__xludf.DUMMYFUNCTION("GOOGLETRANSLATE(A2238,""bn"",""en"")"),"The mask dried out my skin instead of moisturizing it")</f>
        <v>The mask dried out my skin instead of moisturizing it</v>
      </c>
    </row>
    <row r="2239" spans="1:3" ht="15.75" customHeight="1" x14ac:dyDescent="0.25">
      <c r="A2239" s="2" t="s">
        <v>2241</v>
      </c>
      <c r="B2239" s="3" t="s">
        <v>2</v>
      </c>
      <c r="C2239" s="2" t="str">
        <f ca="1">IFERROR(__xludf.DUMMYFUNCTION("GOOGLETRANSLATE(A2239,""bn"",""en"")"),"Fabric quality is fair")</f>
        <v>Fabric quality is fair</v>
      </c>
    </row>
    <row r="2240" spans="1:3" ht="15.75" customHeight="1" x14ac:dyDescent="0.25">
      <c r="A2240" s="2" t="s">
        <v>2242</v>
      </c>
      <c r="B2240" s="3" t="s">
        <v>6</v>
      </c>
      <c r="C2240" s="2" t="str">
        <f ca="1">IFERROR(__xludf.DUMMYFUNCTION("GOOGLETRANSLATE(A2240,""bn"",""en"")"),"Got one with a faulty zipper that jammed and stuck making it hard to get on and off")</f>
        <v>Got one with a faulty zipper that jammed and stuck making it hard to get on and off</v>
      </c>
    </row>
    <row r="2241" spans="1:3" ht="15.75" customHeight="1" x14ac:dyDescent="0.25">
      <c r="A2241" s="2" t="s">
        <v>2243</v>
      </c>
      <c r="B2241" s="3" t="s">
        <v>6</v>
      </c>
      <c r="C2241" s="2" t="str">
        <f ca="1">IFERROR(__xludf.DUMMYFUNCTION("GOOGLETRANSLATE(A2241,""bn"",""en"")")," Preset cooking functions often overcook food, ruining flavor and texture")</f>
        <v xml:space="preserve"> Preset cooking functions often overcook food, ruining flavor and texture</v>
      </c>
    </row>
    <row r="2242" spans="1:3" ht="15.75" customHeight="1" x14ac:dyDescent="0.25">
      <c r="A2242" s="2" t="s">
        <v>2244</v>
      </c>
      <c r="B2242" s="3" t="s">
        <v>2</v>
      </c>
      <c r="C2242" s="2" t="str">
        <f ca="1">IFERROR(__xludf.DUMMYFUNCTION("GOOGLETRANSLATE(A2242,""bn"",""en"")"),"All in all it is a quality product but some areas can be improved")</f>
        <v>All in all it is a quality product but some areas can be improved</v>
      </c>
    </row>
    <row r="2243" spans="1:3" ht="15.75" customHeight="1" x14ac:dyDescent="0.25">
      <c r="A2243" s="2" t="s">
        <v>2245</v>
      </c>
      <c r="B2243" s="3" t="s">
        <v>2</v>
      </c>
      <c r="C2243" s="2" t="str">
        <f ca="1">IFERROR(__xludf.DUMMYFUNCTION("GOOGLETRANSLATE(A2243,""bn"",""en"")"),"The digital caliper takes measurements but the battery drains quickly")</f>
        <v>The digital caliper takes measurements but the battery drains quickly</v>
      </c>
    </row>
    <row r="2244" spans="1:3" ht="15.75" customHeight="1" x14ac:dyDescent="0.25">
      <c r="A2244" s="2" t="s">
        <v>2246</v>
      </c>
      <c r="B2244" s="3" t="s">
        <v>2</v>
      </c>
      <c r="C2244" s="2" t="str">
        <f ca="1">IFERROR(__xludf.DUMMYFUNCTION("GOOGLETRANSLATE(A2244,""bn"",""en"")"),"Although the yield was slightly better, the performance of the fertilizer was not quite as expected")</f>
        <v>Although the yield was slightly better, the performance of the fertilizer was not quite as expected</v>
      </c>
    </row>
    <row r="2245" spans="1:3" ht="15.75" customHeight="1" x14ac:dyDescent="0.25">
      <c r="A2245" s="2" t="s">
        <v>2247</v>
      </c>
      <c r="B2245" s="3" t="s">
        <v>6</v>
      </c>
      <c r="C2245" s="2" t="str">
        <f ca="1">IFERROR(__xludf.DUMMYFUNCTION("GOOGLETRANSLATE(A2245,""bn"",""en"")"),"Inadequate insulation fails to keep contents fresh")</f>
        <v>Inadequate insulation fails to keep contents fresh</v>
      </c>
    </row>
    <row r="2246" spans="1:3" ht="15.75" customHeight="1" x14ac:dyDescent="0.25">
      <c r="A2246" s="2" t="s">
        <v>2248</v>
      </c>
      <c r="B2246" s="3" t="s">
        <v>6</v>
      </c>
      <c r="C2246" s="2" t="str">
        <f ca="1">IFERROR(__xludf.DUMMYFUNCTION("GOOGLETRANSLATE(A2246,""bn"",""en"")"),"The paint colors were dull and muted")</f>
        <v>The paint colors were dull and muted</v>
      </c>
    </row>
    <row r="2247" spans="1:3" ht="15.75" customHeight="1" x14ac:dyDescent="0.25">
      <c r="A2247" s="2" t="s">
        <v>2249</v>
      </c>
      <c r="B2247" s="3" t="s">
        <v>6</v>
      </c>
      <c r="C2247" s="2" t="str">
        <f ca="1">IFERROR(__xludf.DUMMYFUNCTION("GOOGLETRANSLATE(A2247,""bn"",""en"")"),"The high price tag fails to justify the exceptional quality")</f>
        <v>The high price tag fails to justify the exceptional quality</v>
      </c>
    </row>
    <row r="2248" spans="1:3" ht="15.75" customHeight="1" x14ac:dyDescent="0.25">
      <c r="A2248" s="2" t="s">
        <v>2250</v>
      </c>
      <c r="B2248" s="3" t="s">
        <v>6</v>
      </c>
      <c r="C2248" s="2" t="str">
        <f ca="1">IFERROR(__xludf.DUMMYFUNCTION("GOOGLETRANSLATE(A2248,""bn"",""en"")"),"Uncomfortable and not functional")</f>
        <v>Uncomfortable and not functional</v>
      </c>
    </row>
    <row r="2249" spans="1:3" ht="15.75" customHeight="1" x14ac:dyDescent="0.25">
      <c r="A2249" s="2" t="s">
        <v>2251</v>
      </c>
      <c r="B2249" s="3" t="s">
        <v>4</v>
      </c>
      <c r="C2249" s="2" t="str">
        <f ca="1">IFERROR(__xludf.DUMMYFUNCTION("GOOGLETRANSLATE(A2249,""bn"",""en"")"),"The lamp diffuses the light in the room beautifully")</f>
        <v>The lamp diffuses the light in the room beautifully</v>
      </c>
    </row>
    <row r="2250" spans="1:3" ht="15.75" customHeight="1" x14ac:dyDescent="0.25">
      <c r="A2250" s="2" t="s">
        <v>2252</v>
      </c>
      <c r="B2250" s="3" t="s">
        <v>6</v>
      </c>
      <c r="C2250" s="2" t="str">
        <f ca="1">IFERROR(__xludf.DUMMYFUNCTION("GOOGLETRANSLATE(A2250,""bn"",""en"")"),"The hair serum left my hair feeling heavy and heavy")</f>
        <v>The hair serum left my hair feeling heavy and heavy</v>
      </c>
    </row>
    <row r="2251" spans="1:3" ht="15.75" customHeight="1" x14ac:dyDescent="0.25">
      <c r="A2251" s="2" t="s">
        <v>2253</v>
      </c>
      <c r="B2251" s="3" t="s">
        <v>4</v>
      </c>
      <c r="C2251" s="2" t="str">
        <f ca="1">IFERROR(__xludf.DUMMYFUNCTION("GOOGLETRANSLATE(A2251,""bn"",""en"")"),"The packaging was pretty good")</f>
        <v>The packaging was pretty good</v>
      </c>
    </row>
    <row r="2252" spans="1:3" ht="15.75" customHeight="1" x14ac:dyDescent="0.25">
      <c r="A2252" s="2" t="s">
        <v>2254</v>
      </c>
      <c r="B2252" s="3" t="s">
        <v>6</v>
      </c>
      <c r="C2252" s="2" t="str">
        <f ca="1">IFERROR(__xludf.DUMMYFUNCTION("GOOGLETRANSLATE(A2252,""bn"",""en"")"),"Hair left brittle and dry instead of moisturized")</f>
        <v>Hair left brittle and dry instead of moisturized</v>
      </c>
    </row>
    <row r="2253" spans="1:3" ht="15.75" customHeight="1" x14ac:dyDescent="0.25">
      <c r="A2253" s="2" t="s">
        <v>2255</v>
      </c>
      <c r="B2253" s="3" t="s">
        <v>6</v>
      </c>
      <c r="C2253" s="2" t="str">
        <f ca="1">IFERROR(__xludf.DUMMYFUNCTION("GOOGLETRANSLATE(A2253,""bn"",""en"")"),"Cheap fillers fall out")</f>
        <v>Cheap fillers fall out</v>
      </c>
    </row>
    <row r="2254" spans="1:3" ht="15.75" customHeight="1" x14ac:dyDescent="0.25">
      <c r="A2254" s="2" t="s">
        <v>2256</v>
      </c>
      <c r="B2254" s="3" t="s">
        <v>6</v>
      </c>
      <c r="C2254" s="2" t="str">
        <f ca="1">IFERROR(__xludf.DUMMYFUNCTION("GOOGLETRANSLATE(A2254,""bn"",""en"")"),"Heat protectant sprays weigh down hair and make it feel greasy rather than sleek and smooth")</f>
        <v>Heat protectant sprays weigh down hair and make it feel greasy rather than sleek and smooth</v>
      </c>
    </row>
    <row r="2255" spans="1:3" ht="15.75" customHeight="1" x14ac:dyDescent="0.25">
      <c r="A2255" s="2" t="s">
        <v>2257</v>
      </c>
      <c r="B2255" s="3" t="s">
        <v>2</v>
      </c>
      <c r="C2255" s="2" t="str">
        <f ca="1">IFERROR(__xludf.DUMMYFUNCTION("GOOGLETRANSLATE(A2255,""bn"",""en"")"),"The digital piano plays but the keys are not sensitive")</f>
        <v>The digital piano plays but the keys are not sensitive</v>
      </c>
    </row>
    <row r="2256" spans="1:3" ht="15.75" customHeight="1" x14ac:dyDescent="0.25">
      <c r="A2256" s="2" t="s">
        <v>2258</v>
      </c>
      <c r="B2256" s="3" t="s">
        <v>6</v>
      </c>
      <c r="C2256" s="2" t="str">
        <f ca="1">IFERROR(__xludf.DUMMYFUNCTION("GOOGLETRANSLATE(A2256,""bn"",""en"")"),"Solar powered fountain pumps are very weak and rarely spray water")</f>
        <v>Solar powered fountain pumps are very weak and rarely spray water</v>
      </c>
    </row>
    <row r="2257" spans="1:3" ht="15.75" customHeight="1" x14ac:dyDescent="0.25">
      <c r="A2257" s="2" t="s">
        <v>2259</v>
      </c>
      <c r="B2257" s="3" t="s">
        <v>2</v>
      </c>
      <c r="C2257" s="2" t="str">
        <f ca="1">IFERROR(__xludf.DUMMYFUNCTION("GOOGLETRANSLATE(A2257,""bn"",""en"")"),"Affordable but not very good quality doesn't work as expected")</f>
        <v>Affordable but not very good quality doesn't work as expected</v>
      </c>
    </row>
    <row r="2258" spans="1:3" ht="15.75" customHeight="1" x14ac:dyDescent="0.25">
      <c r="A2258" s="2" t="s">
        <v>2260</v>
      </c>
      <c r="B2258" s="3" t="s">
        <v>4</v>
      </c>
      <c r="C2258" s="2" t="str">
        <f ca="1">IFERROR(__xludf.DUMMYFUNCTION("GOOGLETRANSLATE(A2258,""bn"",""en"")"),"ANC works")</f>
        <v>ANC works</v>
      </c>
    </row>
    <row r="2259" spans="1:3" ht="15.75" customHeight="1" x14ac:dyDescent="0.25">
      <c r="A2259" s="2" t="s">
        <v>2261</v>
      </c>
      <c r="B2259" s="3" t="s">
        <v>6</v>
      </c>
      <c r="C2259" s="2" t="str">
        <f ca="1">IFERROR(__xludf.DUMMYFUNCTION("GOOGLETRANSLATE(A2259,""bn"",""en"")"),"The material of the toy had a strong smell probably from chemicals")</f>
        <v>The material of the toy had a strong smell probably from chemicals</v>
      </c>
    </row>
    <row r="2260" spans="1:3" ht="15.75" customHeight="1" x14ac:dyDescent="0.25">
      <c r="A2260" s="2" t="s">
        <v>2262</v>
      </c>
      <c r="B2260" s="3" t="s">
        <v>6</v>
      </c>
      <c r="C2260" s="2" t="str">
        <f ca="1">IFERROR(__xludf.DUMMYFUNCTION("GOOGLETRANSLATE(A2260,""bn"",""en"")"),"Behind one of the best performances")</f>
        <v>Behind one of the best performances</v>
      </c>
    </row>
    <row r="2261" spans="1:3" ht="15.75" customHeight="1" x14ac:dyDescent="0.25">
      <c r="A2261" s="2" t="s">
        <v>2263</v>
      </c>
      <c r="B2261" s="3" t="s">
        <v>2</v>
      </c>
      <c r="C2261" s="2" t="str">
        <f ca="1">IFERROR(__xludf.DUMMYFUNCTION("GOOGLETRANSLATE(A2261,""bn"",""en"")"),"The cap has a carry loop which is good for convenient cold water but not suitable for hot water")</f>
        <v>The cap has a carry loop which is good for convenient cold water but not suitable for hot water</v>
      </c>
    </row>
    <row r="2262" spans="1:3" ht="15.75" customHeight="1" x14ac:dyDescent="0.25">
      <c r="A2262" s="2" t="s">
        <v>2264</v>
      </c>
      <c r="B2262" s="3" t="s">
        <v>6</v>
      </c>
      <c r="C2262" s="2" t="str">
        <f ca="1">IFERROR(__xludf.DUMMYFUNCTION("GOOGLETRANSLATE(A2262,""bn"",""en"")"),"The teapot drips incessantly creating a mess")</f>
        <v>The teapot drips incessantly creating a mess</v>
      </c>
    </row>
    <row r="2263" spans="1:3" ht="15.75" customHeight="1" x14ac:dyDescent="0.25">
      <c r="A2263" s="2" t="s">
        <v>2265</v>
      </c>
      <c r="B2263" s="3" t="s">
        <v>2</v>
      </c>
      <c r="C2263" s="2" t="str">
        <f ca="1">IFERROR(__xludf.DUMMYFUNCTION("GOOGLETRANSLATE(A2263,""bn"",""en"")"),"I recently bought this umbrella and my experience after using it is pretty good")</f>
        <v>I recently bought this umbrella and my experience after using it is pretty good</v>
      </c>
    </row>
    <row r="2264" spans="1:3" ht="15.75" customHeight="1" x14ac:dyDescent="0.25">
      <c r="A2264" s="2" t="s">
        <v>2266</v>
      </c>
      <c r="B2264" s="3" t="s">
        <v>4</v>
      </c>
      <c r="C2264" s="2" t="str">
        <f ca="1">IFERROR(__xludf.DUMMYFUNCTION("GOOGLETRANSLATE(A2264,""bn"",""en"")"),"The packaging of the makeup kit is very nice")</f>
        <v>The packaging of the makeup kit is very nice</v>
      </c>
    </row>
    <row r="2265" spans="1:3" ht="15.75" customHeight="1" x14ac:dyDescent="0.25">
      <c r="A2265" s="2" t="s">
        <v>2267</v>
      </c>
      <c r="B2265" s="3" t="s">
        <v>4</v>
      </c>
      <c r="C2265" s="2" t="str">
        <f ca="1">IFERROR(__xludf.DUMMYFUNCTION("GOOGLETRANSLATE(A2265,""bn"",""en"")"),"The fan is very good product for my afternoon relaxation")</f>
        <v>The fan is very good product for my afternoon relaxation</v>
      </c>
    </row>
    <row r="2266" spans="1:3" ht="15.75" customHeight="1" x14ac:dyDescent="0.25">
      <c r="A2266" s="2" t="s">
        <v>2268</v>
      </c>
      <c r="B2266" s="3" t="s">
        <v>2</v>
      </c>
      <c r="C2266" s="2" t="str">
        <f ca="1">IFERROR(__xludf.DUMMYFUNCTION("GOOGLETRANSLATE(A2266,""bn"",""en"")"),"Easy to store but takes up space")</f>
        <v>Easy to store but takes up space</v>
      </c>
    </row>
    <row r="2267" spans="1:3" ht="15.75" customHeight="1" x14ac:dyDescent="0.25">
      <c r="A2267" s="2" t="s">
        <v>2269</v>
      </c>
      <c r="B2267" s="3" t="s">
        <v>4</v>
      </c>
      <c r="C2267" s="2" t="str">
        <f ca="1">IFERROR(__xludf.DUMMYFUNCTION("GOOGLETRANSLATE(A2267,""bn"",""en"")"),"Can also be shared with friends")</f>
        <v>Can also be shared with friends</v>
      </c>
    </row>
    <row r="2268" spans="1:3" ht="15.75" customHeight="1" x14ac:dyDescent="0.25">
      <c r="A2268" s="2" t="s">
        <v>2270</v>
      </c>
      <c r="B2268" s="3" t="s">
        <v>6</v>
      </c>
      <c r="C2268" s="2" t="str">
        <f ca="1">IFERROR(__xludf.DUMMYFUNCTION("GOOGLETRANSLATE(A2268,""bn"",""en"")"),"Unreliable connections are frustrating experiences")</f>
        <v>Unreliable connections are frustrating experiences</v>
      </c>
    </row>
    <row r="2269" spans="1:3" ht="15.75" customHeight="1" x14ac:dyDescent="0.25">
      <c r="A2269" s="2" t="s">
        <v>2271</v>
      </c>
      <c r="B2269" s="3" t="s">
        <v>4</v>
      </c>
      <c r="C2269" s="2" t="str">
        <f ca="1">IFERROR(__xludf.DUMMYFUNCTION("GOOGLETRANSLATE(A2269,""bn"",""en"")"),"The aroma of coffee is so appealing that I think about it all day")</f>
        <v>The aroma of coffee is so appealing that I think about it all day</v>
      </c>
    </row>
    <row r="2270" spans="1:3" ht="15.75" customHeight="1" x14ac:dyDescent="0.25">
      <c r="A2270" s="2" t="s">
        <v>2272</v>
      </c>
      <c r="B2270" s="3" t="s">
        <v>4</v>
      </c>
      <c r="C2270" s="2" t="str">
        <f ca="1">IFERROR(__xludf.DUMMYFUNCTION("GOOGLETRANSLATE(A2270,""bn"",""en"")"),"Hair becomes very silky with the use of shampoo")</f>
        <v>Hair becomes very silky with the use of shampoo</v>
      </c>
    </row>
    <row r="2271" spans="1:3" ht="15.75" customHeight="1" x14ac:dyDescent="0.25">
      <c r="A2271" s="2" t="s">
        <v>2273</v>
      </c>
      <c r="B2271" s="3" t="s">
        <v>6</v>
      </c>
      <c r="C2271" s="2" t="str">
        <f ca="1">IFERROR(__xludf.DUMMYFUNCTION("GOOGLETRANSLATE(A2271,""bn"",""en"")"),"The Leavein conditioner weighed my hair down and made it look limp")</f>
        <v>The Leavein conditioner weighed my hair down and made it look limp</v>
      </c>
    </row>
    <row r="2272" spans="1:3" ht="15.75" customHeight="1" x14ac:dyDescent="0.25">
      <c r="A2272" s="2" t="s">
        <v>2274</v>
      </c>
      <c r="B2272" s="3" t="s">
        <v>6</v>
      </c>
      <c r="C2272" s="2" t="str">
        <f ca="1">IFERROR(__xludf.DUMMYFUNCTION("GOOGLETRANSLATE(A2272,""bn"",""en"")"),"Hair oil makes my hair look greasy and attracts dust and lint")</f>
        <v>Hair oil makes my hair look greasy and attracts dust and lint</v>
      </c>
    </row>
    <row r="2273" spans="1:3" ht="15.75" customHeight="1" x14ac:dyDescent="0.25">
      <c r="A2273" s="2" t="s">
        <v>2275</v>
      </c>
      <c r="B2273" s="3" t="s">
        <v>4</v>
      </c>
      <c r="C2273" s="2" t="str">
        <f ca="1">IFERROR(__xludf.DUMMYFUNCTION("GOOGLETRANSLATE(A2273,""bn"",""en"")"),"I noticed that these pillows quickly bounced back to their full size when I woke up in the morning")</f>
        <v>I noticed that these pillows quickly bounced back to their full size when I woke up in the morning</v>
      </c>
    </row>
    <row r="2274" spans="1:3" ht="15.75" customHeight="1" x14ac:dyDescent="0.25">
      <c r="A2274" s="2" t="s">
        <v>2276</v>
      </c>
      <c r="B2274" s="3" t="s">
        <v>2</v>
      </c>
      <c r="C2274" s="2" t="str">
        <f ca="1">IFERROR(__xludf.DUMMYFUNCTION("GOOGLETRANSLATE(A2274,""bn"",""en"")"),"Too sweet but the amount is just right")</f>
        <v>Too sweet but the amount is just right</v>
      </c>
    </row>
    <row r="2275" spans="1:3" ht="15.75" customHeight="1" x14ac:dyDescent="0.25">
      <c r="A2275" s="2" t="s">
        <v>2277</v>
      </c>
      <c r="B2275" s="3" t="s">
        <v>4</v>
      </c>
      <c r="C2275" s="2" t="str">
        <f ca="1">IFERROR(__xludf.DUMMYFUNCTION("GOOGLETRANSLATE(A2275,""bn"",""en"")"),"This body wash keeps skin youthful")</f>
        <v>This body wash keeps skin youthful</v>
      </c>
    </row>
    <row r="2276" spans="1:3" ht="15.75" customHeight="1" x14ac:dyDescent="0.25">
      <c r="A2276" s="2" t="s">
        <v>2278</v>
      </c>
      <c r="B2276" s="3" t="s">
        <v>2</v>
      </c>
      <c r="C2276" s="2" t="str">
        <f ca="1">IFERROR(__xludf.DUMMYFUNCTION("GOOGLETRANSLATE(A2276,""bn"",""en"")"),"Wrong size color is good")</f>
        <v>Wrong size color is good</v>
      </c>
    </row>
    <row r="2277" spans="1:3" ht="15.75" customHeight="1" x14ac:dyDescent="0.25">
      <c r="A2277" s="2" t="s">
        <v>2279</v>
      </c>
      <c r="B2277" s="3" t="s">
        <v>6</v>
      </c>
      <c r="C2277" s="2" t="str">
        <f ca="1">IFERROR(__xludf.DUMMYFUNCTION("GOOGLETRANSLATE(A2277,""bn"",""en"")"),"Unsatisfactory receiving damaged product")</f>
        <v>Unsatisfactory receiving damaged product</v>
      </c>
    </row>
    <row r="2278" spans="1:3" ht="15.75" customHeight="1" x14ac:dyDescent="0.25">
      <c r="A2278" s="2" t="s">
        <v>2280</v>
      </c>
      <c r="B2278" s="3" t="s">
        <v>4</v>
      </c>
      <c r="C2278" s="2" t="str">
        <f ca="1">IFERROR(__xludf.DUMMYFUNCTION("GOOGLETRANSLATE(A2278,""bn"",""en"")"),"The audio quality of this soundbar is amazing")</f>
        <v>The audio quality of this soundbar is amazing</v>
      </c>
    </row>
    <row r="2279" spans="1:3" ht="15.75" customHeight="1" x14ac:dyDescent="0.25">
      <c r="A2279" s="2" t="s">
        <v>2281</v>
      </c>
      <c r="B2279" s="3" t="s">
        <v>2</v>
      </c>
      <c r="C2279" s="2" t="str">
        <f ca="1">IFERROR(__xludf.DUMMYFUNCTION("GOOGLETRANSLATE(A2279,""bn"",""en"")"),"The suit fits just right at a reasonable price and the material is decent but nothing special")</f>
        <v>The suit fits just right at a reasonable price and the material is decent but nothing special</v>
      </c>
    </row>
    <row r="2280" spans="1:3" ht="15.75" customHeight="1" x14ac:dyDescent="0.25">
      <c r="A2280" s="2" t="s">
        <v>2282</v>
      </c>
      <c r="B2280" s="3" t="s">
        <v>2</v>
      </c>
      <c r="C2280" s="2" t="str">
        <f ca="1">IFERROR(__xludf.DUMMYFUNCTION("GOOGLETRANSLATE(A2280,""bn"",""en"")"),"It takes some time to warm up")</f>
        <v>It takes some time to warm up</v>
      </c>
    </row>
    <row r="2281" spans="1:3" ht="15.75" customHeight="1" x14ac:dyDescent="0.25">
      <c r="A2281" s="2" t="s">
        <v>2283</v>
      </c>
      <c r="B2281" s="3" t="s">
        <v>6</v>
      </c>
      <c r="C2281" s="2" t="str">
        <f ca="1">IFERROR(__xludf.DUMMYFUNCTION("GOOGLETRANSLATE(A2281,""bn"",""en"")")," The set pieces were too big taking up too much space on the table")</f>
        <v xml:space="preserve"> The set pieces were too big taking up too much space on the table</v>
      </c>
    </row>
    <row r="2282" spans="1:3" ht="15.75" customHeight="1" x14ac:dyDescent="0.25">
      <c r="A2282" s="2" t="s">
        <v>2284</v>
      </c>
      <c r="B2282" s="3" t="s">
        <v>2</v>
      </c>
      <c r="C2282" s="2" t="str">
        <f ca="1">IFERROR(__xludf.DUMMYFUNCTION("GOOGLETRANSLATE(A2282,""bn"",""en"")"),"The size is fine but the design lacks innovation")</f>
        <v>The size is fine but the design lacks innovation</v>
      </c>
    </row>
    <row r="2283" spans="1:3" ht="15.75" customHeight="1" x14ac:dyDescent="0.25">
      <c r="A2283" s="2" t="s">
        <v>2285</v>
      </c>
      <c r="B2283" s="3" t="s">
        <v>6</v>
      </c>
      <c r="C2283" s="2" t="str">
        <f ca="1">IFERROR(__xludf.DUMMYFUNCTION("GOOGLETRANSLATE(A2283,""bn"",""en"")"),"The loud spin cycle of the washing machine disturbs the peace of the family")</f>
        <v>The loud spin cycle of the washing machine disturbs the peace of the family</v>
      </c>
    </row>
    <row r="2284" spans="1:3" ht="15.75" customHeight="1" x14ac:dyDescent="0.25">
      <c r="A2284" s="2" t="s">
        <v>2286</v>
      </c>
      <c r="B2284" s="3" t="s">
        <v>6</v>
      </c>
      <c r="C2284" s="2" t="str">
        <f ca="1">IFERROR(__xludf.DUMMYFUNCTION("GOOGLETRANSLATE(A2284,""bn"",""en"")")," The plug becomes hot to the touch during use indicating a possible overheating problem")</f>
        <v xml:space="preserve"> The plug becomes hot to the touch during use indicating a possible overheating problem</v>
      </c>
    </row>
    <row r="2285" spans="1:3" ht="15.75" customHeight="1" x14ac:dyDescent="0.25">
      <c r="A2285" s="2" t="s">
        <v>2287</v>
      </c>
      <c r="B2285" s="3" t="s">
        <v>4</v>
      </c>
      <c r="C2285" s="2" t="str">
        <f ca="1">IFERROR(__xludf.DUMMYFUNCTION("GOOGLETRANSLATE(A2285,""bn"",""en"")"),"The RAM management of the mobile is very efficient")</f>
        <v>The RAM management of the mobile is very efficient</v>
      </c>
    </row>
    <row r="2286" spans="1:3" ht="15.75" customHeight="1" x14ac:dyDescent="0.25">
      <c r="A2286" s="2" t="s">
        <v>2288</v>
      </c>
      <c r="B2286" s="3" t="s">
        <v>2</v>
      </c>
      <c r="C2286" s="2" t="str">
        <f ca="1">IFERROR(__xludf.DUMMYFUNCTION("GOOGLETRANSLATE(A2286,""bn"",""en"")"),"The drink is good but the taste is not right")</f>
        <v>The drink is good but the taste is not right</v>
      </c>
    </row>
    <row r="2287" spans="1:3" ht="15.75" customHeight="1" x14ac:dyDescent="0.25">
      <c r="A2287" s="2" t="s">
        <v>2289</v>
      </c>
      <c r="B2287" s="3" t="s">
        <v>2</v>
      </c>
      <c r="C2287" s="2" t="str">
        <f ca="1">IFERROR(__xludf.DUMMYFUNCTION("GOOGLETRANSLATE(A2287,""bn"",""en"")"),"The design is simple")</f>
        <v>The design is simple</v>
      </c>
    </row>
    <row r="2288" spans="1:3" ht="15.75" customHeight="1" x14ac:dyDescent="0.25">
      <c r="A2288" s="2" t="s">
        <v>2290</v>
      </c>
      <c r="B2288" s="3" t="s">
        <v>4</v>
      </c>
      <c r="C2288" s="2" t="str">
        <f ca="1">IFERROR(__xludf.DUMMYFUNCTION("GOOGLETRANSLATE(A2288,""bn"",""en"")"),"The taste of this tea is very pleasant")</f>
        <v>The taste of this tea is very pleasant</v>
      </c>
    </row>
    <row r="2289" spans="1:3" ht="15.75" customHeight="1" x14ac:dyDescent="0.25">
      <c r="A2289" s="2" t="s">
        <v>2291</v>
      </c>
      <c r="B2289" s="3" t="s">
        <v>6</v>
      </c>
      <c r="C2289" s="2" t="str">
        <f ca="1">IFERROR(__xludf.DUMMYFUNCTION("GOOGLETRANSLATE(A2289,""bn"",""en"")"),"The compound has broken down making the product unusable")</f>
        <v>The compound has broken down making the product unusable</v>
      </c>
    </row>
    <row r="2290" spans="1:3" ht="15.75" customHeight="1" x14ac:dyDescent="0.25">
      <c r="A2290" s="2" t="s">
        <v>2292</v>
      </c>
      <c r="B2290" s="3" t="s">
        <v>2</v>
      </c>
      <c r="C2290" s="2" t="str">
        <f ca="1">IFERROR(__xludf.DUMMYFUNCTION("GOOGLETRANSLATE(A2290,""bn"",""en"")"),"The brush feels soft")</f>
        <v>The brush feels soft</v>
      </c>
    </row>
    <row r="2291" spans="1:3" ht="15.75" customHeight="1" x14ac:dyDescent="0.25">
      <c r="A2291" s="2" t="s">
        <v>2293</v>
      </c>
      <c r="B2291" s="3" t="s">
        <v>6</v>
      </c>
      <c r="C2291" s="2" t="str">
        <f ca="1">IFERROR(__xludf.DUMMYFUNCTION("GOOGLETRANSLATE(A2291,""bn"",""en"")"),"Unsatisfactory experience brought open bottle")</f>
        <v>Unsatisfactory experience brought open bottle</v>
      </c>
    </row>
    <row r="2292" spans="1:3" ht="15.75" customHeight="1" x14ac:dyDescent="0.25">
      <c r="A2292" s="2" t="s">
        <v>2294</v>
      </c>
      <c r="B2292" s="3" t="s">
        <v>6</v>
      </c>
      <c r="C2292" s="2" t="str">
        <f ca="1">IFERROR(__xludf.DUMMYFUNCTION("GOOGLETRANSLATE(A2292,""bn"",""en"")"),"Laptop keyboard keys sometimes get stuck which affects typing speed")</f>
        <v>Laptop keyboard keys sometimes get stuck which affects typing speed</v>
      </c>
    </row>
    <row r="2293" spans="1:3" ht="15.75" customHeight="1" x14ac:dyDescent="0.25">
      <c r="A2293" s="2" t="s">
        <v>2295</v>
      </c>
      <c r="B2293" s="3" t="s">
        <v>6</v>
      </c>
      <c r="C2293" s="2" t="str">
        <f ca="1">IFERROR(__xludf.DUMMYFUNCTION("GOOGLETRANSLATE(A2293,""bn"",""en"")"),"It is marginally effective")</f>
        <v>It is marginally effective</v>
      </c>
    </row>
    <row r="2294" spans="1:3" ht="15.75" customHeight="1" x14ac:dyDescent="0.25">
      <c r="A2294" s="2" t="s">
        <v>2296</v>
      </c>
      <c r="B2294" s="3" t="s">
        <v>2</v>
      </c>
      <c r="C2294" s="2" t="str">
        <f ca="1">IFERROR(__xludf.DUMMYFUNCTION("GOOGLETRANSLATE(A2294,""bn"",""en"")"),"Just replaced the sofa, nothing special")</f>
        <v>Just replaced the sofa, nothing special</v>
      </c>
    </row>
    <row r="2295" spans="1:3" ht="15.75" customHeight="1" x14ac:dyDescent="0.25">
      <c r="A2295" s="2" t="s">
        <v>2297</v>
      </c>
      <c r="B2295" s="3" t="s">
        <v>2</v>
      </c>
      <c r="C2295" s="2" t="str">
        <f ca="1">IFERROR(__xludf.DUMMYFUNCTION("GOOGLETRANSLATE(A2295,""bn"",""en"")"),"The wireless endoscope camera shows hard-to-reach places but the resolution is not high")</f>
        <v>The wireless endoscope camera shows hard-to-reach places but the resolution is not high</v>
      </c>
    </row>
    <row r="2296" spans="1:3" ht="15.75" customHeight="1" x14ac:dyDescent="0.25">
      <c r="A2296" s="2" t="s">
        <v>2298</v>
      </c>
      <c r="B2296" s="3" t="s">
        <v>2</v>
      </c>
      <c r="C2296" s="2" t="str">
        <f ca="1">IFERROR(__xludf.DUMMYFUNCTION("GOOGLETRANSLATE(A2296,""bn"",""en"")"),"The brush is of simple design")</f>
        <v>The brush is of simple design</v>
      </c>
    </row>
    <row r="2297" spans="1:3" ht="15.75" customHeight="1" x14ac:dyDescent="0.25">
      <c r="A2297" s="2" t="s">
        <v>2299</v>
      </c>
      <c r="B2297" s="3" t="s">
        <v>6</v>
      </c>
      <c r="C2297" s="2" t="str">
        <f ca="1">IFERROR(__xludf.DUMMYFUNCTION("GOOGLETRANSLATE(A2297,""bn"",""en"")"),"The charging performance of the power bank decreases in cold temperatures which affects its performance outdoors")</f>
        <v>The charging performance of the power bank decreases in cold temperatures which affects its performance outdoors</v>
      </c>
    </row>
    <row r="2298" spans="1:3" ht="15.75" customHeight="1" x14ac:dyDescent="0.25">
      <c r="A2298" s="2" t="s">
        <v>2300</v>
      </c>
      <c r="B2298" s="3" t="s">
        <v>2</v>
      </c>
      <c r="C2298" s="2" t="str">
        <f ca="1">IFERROR(__xludf.DUMMYFUNCTION("GOOGLETRANSLATE(A2298,""bn"",""en"")"),"The handle is comfortable to hold but heavy")</f>
        <v>The handle is comfortable to hold but heavy</v>
      </c>
    </row>
    <row r="2299" spans="1:3" ht="15.75" customHeight="1" x14ac:dyDescent="0.25">
      <c r="A2299" s="2" t="s">
        <v>2301</v>
      </c>
      <c r="B2299" s="3" t="s">
        <v>4</v>
      </c>
      <c r="C2299" s="2" t="str">
        <f ca="1">IFERROR(__xludf.DUMMYFUNCTION("GOOGLETRANSLATE(A2299,""bn"",""en"")"),"Its performance is very good and high")</f>
        <v>Its performance is very good and high</v>
      </c>
    </row>
    <row r="2300" spans="1:3" ht="15.75" customHeight="1" x14ac:dyDescent="0.25">
      <c r="A2300" s="2" t="s">
        <v>2302</v>
      </c>
      <c r="B2300" s="3" t="s">
        <v>4</v>
      </c>
      <c r="C2300" s="2" t="str">
        <f ca="1">IFERROR(__xludf.DUMMYFUNCTION("GOOGLETRANSLATE(A2300,""bn"",""en"")"),"Each product in the kit is waterproof")</f>
        <v>Each product in the kit is waterproof</v>
      </c>
    </row>
    <row r="2301" spans="1:3" ht="15.75" customHeight="1" x14ac:dyDescent="0.25">
      <c r="A2301" s="2" t="s">
        <v>2303</v>
      </c>
      <c r="B2301" s="3" t="s">
        <v>2</v>
      </c>
      <c r="C2301" s="2" t="str">
        <f ca="1">IFERROR(__xludf.DUMMYFUNCTION("GOOGLETRANSLATE(A2301,""bn"",""en"")"),"Pretty good but a bit too much of intense sweetness")</f>
        <v>Pretty good but a bit too much of intense sweetness</v>
      </c>
    </row>
    <row r="2302" spans="1:3" ht="15.75" customHeight="1" x14ac:dyDescent="0.25">
      <c r="A2302" s="2" t="s">
        <v>2304</v>
      </c>
      <c r="B2302" s="3" t="s">
        <v>2</v>
      </c>
      <c r="C2302" s="2" t="str">
        <f ca="1">IFERROR(__xludf.DUMMYFUNCTION("GOOGLETRANSLATE(A2302,""bn"",""en"")"),"Comfortable to wear not very stylish")</f>
        <v>Comfortable to wear not very stylish</v>
      </c>
    </row>
    <row r="2303" spans="1:3" ht="15.75" customHeight="1" x14ac:dyDescent="0.25">
      <c r="A2303" s="2" t="s">
        <v>2305</v>
      </c>
      <c r="B2303" s="3" t="s">
        <v>4</v>
      </c>
      <c r="C2303" s="2" t="str">
        <f ca="1">IFERROR(__xludf.DUMMYFUNCTION("GOOGLETRANSLATE(A2303,""bn"",""en"")"),"All in all I am very satisfied with this biscuit purchase ")</f>
        <v xml:space="preserve">All in all I am very satisfied with this biscuit purchase </v>
      </c>
    </row>
    <row r="2304" spans="1:3" ht="15.75" customHeight="1" x14ac:dyDescent="0.25">
      <c r="A2304" s="2" t="s">
        <v>2306</v>
      </c>
      <c r="B2304" s="3" t="s">
        <v>6</v>
      </c>
      <c r="C2304" s="2" t="str">
        <f ca="1">IFERROR(__xludf.DUMMYFUNCTION("GOOGLETRANSLATE(A2304,""bn"",""en"")"),"Canned chili had a bland taste and lacked depth of flavor far removed from the homemade recipe")</f>
        <v>Canned chili had a bland taste and lacked depth of flavor far removed from the homemade recipe</v>
      </c>
    </row>
    <row r="2305" spans="1:3" ht="15.75" customHeight="1" x14ac:dyDescent="0.25">
      <c r="A2305" s="2" t="s">
        <v>2307</v>
      </c>
      <c r="B2305" s="3" t="s">
        <v>4</v>
      </c>
      <c r="C2305" s="2" t="str">
        <f ca="1">IFERROR(__xludf.DUMMYFUNCTION("GOOGLETRANSLATE(A2305,""bn"",""en"")"),"It displays extremely fast")</f>
        <v>It displays extremely fast</v>
      </c>
    </row>
    <row r="2306" spans="1:3" ht="15.75" customHeight="1" x14ac:dyDescent="0.25">
      <c r="A2306" s="2" t="s">
        <v>2308</v>
      </c>
      <c r="B2306" s="3" t="s">
        <v>2</v>
      </c>
      <c r="C2306" s="2" t="str">
        <f ca="1">IFERROR(__xludf.DUMMYFUNCTION("GOOGLETRANSLATE(A2306,""bn"",""en"")"),"It looks a bit surprising in terms of quality")</f>
        <v>It looks a bit surprising in terms of quality</v>
      </c>
    </row>
    <row r="2307" spans="1:3" ht="15.75" customHeight="1" x14ac:dyDescent="0.25">
      <c r="A2307" s="2" t="s">
        <v>2309</v>
      </c>
      <c r="B2307" s="3" t="s">
        <v>6</v>
      </c>
      <c r="C2307" s="2" t="str">
        <f ca="1">IFERROR(__xludf.DUMMYFUNCTION("GOOGLETRANSLATE(A2307,""bn"",""en"")"),"Sizes are inconsistent across different colors")</f>
        <v>Sizes are inconsistent across different colors</v>
      </c>
    </row>
    <row r="2308" spans="1:3" ht="15.75" customHeight="1" x14ac:dyDescent="0.25">
      <c r="A2308" s="2" t="s">
        <v>2310</v>
      </c>
      <c r="B2308" s="3" t="s">
        <v>2</v>
      </c>
      <c r="C2308" s="2" t="str">
        <f ca="1">IFERROR(__xludf.DUMMYFUNCTION("GOOGLETRANSLATE(A2308,""bn"",""en"")"),"Good but some pieces are not suitable")</f>
        <v>Good but some pieces are not suitable</v>
      </c>
    </row>
    <row r="2309" spans="1:3" ht="15.75" customHeight="1" x14ac:dyDescent="0.25">
      <c r="A2309" s="2" t="s">
        <v>2311</v>
      </c>
      <c r="B2309" s="3" t="s">
        <v>6</v>
      </c>
      <c r="C2309" s="2" t="str">
        <f ca="1">IFERROR(__xludf.DUMMYFUNCTION("GOOGLETRANSLATE(A2309,""bn"",""en"")"),"The charger emits a high-pitched screech when plugged in that can be annoyingly heard even from a distance")</f>
        <v>The charger emits a high-pitched screech when plugged in that can be annoyingly heard even from a distance</v>
      </c>
    </row>
    <row r="2310" spans="1:3" ht="15.75" customHeight="1" x14ac:dyDescent="0.25">
      <c r="A2310" s="2" t="s">
        <v>2312</v>
      </c>
      <c r="B2310" s="3" t="s">
        <v>6</v>
      </c>
      <c r="C2310" s="2" t="str">
        <f ca="1">IFERROR(__xludf.DUMMYFUNCTION("GOOGLETRANSLATE(A2310,""bn"",""en"")"),"The packaging was excessive using more material than necessary")</f>
        <v>The packaging was excessive using more material than necessary</v>
      </c>
    </row>
    <row r="2311" spans="1:3" ht="15.75" customHeight="1" x14ac:dyDescent="0.25">
      <c r="A2311" s="2" t="s">
        <v>2313</v>
      </c>
      <c r="B2311" s="3" t="s">
        <v>6</v>
      </c>
      <c r="C2311" s="2" t="str">
        <f ca="1">IFERROR(__xludf.DUMMYFUNCTION("GOOGLETRANSLATE(A2311,""bn"",""en"")"),"Not much better than other ring sizers")</f>
        <v>Not much better than other ring sizers</v>
      </c>
    </row>
    <row r="2312" spans="1:3" ht="15.75" customHeight="1" x14ac:dyDescent="0.25">
      <c r="A2312" s="2" t="s">
        <v>2314</v>
      </c>
      <c r="B2312" s="3" t="s">
        <v>6</v>
      </c>
      <c r="C2312" s="2" t="str">
        <f ca="1">IFERROR(__xludf.DUMMYFUNCTION("GOOGLETRANSLATE(A2312,""bn"",""en"")"),"The brushes were poorly constructed with loose ferrules")</f>
        <v>The brushes were poorly constructed with loose ferrules</v>
      </c>
    </row>
    <row r="2313" spans="1:3" ht="15.75" customHeight="1" x14ac:dyDescent="0.25">
      <c r="A2313" s="2" t="s">
        <v>2315</v>
      </c>
      <c r="B2313" s="3" t="s">
        <v>4</v>
      </c>
      <c r="C2313" s="2" t="str">
        <f ca="1">IFERROR(__xludf.DUMMYFUNCTION("GOOGLETRANSLATE(A2313,""bn"",""en"")"),"The quality of the wood of the cupboard is so good that it will last for generations to come")</f>
        <v>The quality of the wood of the cupboard is so good that it will last for generations to come</v>
      </c>
    </row>
    <row r="2314" spans="1:3" ht="15.75" customHeight="1" x14ac:dyDescent="0.25">
      <c r="A2314" s="2" t="s">
        <v>2316</v>
      </c>
      <c r="B2314" s="3" t="s">
        <v>2</v>
      </c>
      <c r="C2314" s="2" t="str">
        <f ca="1">IFERROR(__xludf.DUMMYFUNCTION("GOOGLETRANSLATE(A2314,""bn"",""en"")"),"Each bag contains gram tea")</f>
        <v>Each bag contains gram tea</v>
      </c>
    </row>
    <row r="2315" spans="1:3" ht="15.75" customHeight="1" x14ac:dyDescent="0.25">
      <c r="A2315" s="2" t="s">
        <v>2317</v>
      </c>
      <c r="B2315" s="3" t="s">
        <v>6</v>
      </c>
      <c r="C2315" s="2" t="str">
        <f ca="1">IFERROR(__xludf.DUMMYFUNCTION("GOOGLETRANSLATE(A2315,""bn"",""en"")"),"Color bleeds in the wash, stains other clothes and spoils the overall load of laundry")</f>
        <v>Color bleeds in the wash, stains other clothes and spoils the overall load of laundry</v>
      </c>
    </row>
    <row r="2316" spans="1:3" ht="15.75" customHeight="1" x14ac:dyDescent="0.25">
      <c r="A2316" s="2" t="s">
        <v>2318</v>
      </c>
      <c r="B2316" s="3" t="s">
        <v>2</v>
      </c>
      <c r="C2316" s="2" t="str">
        <f ca="1">IFERROR(__xludf.DUMMYFUNCTION("GOOGLETRANSLATE(A2316,""bn"",""en"")"),"It keeps the food cold but for a limited time")</f>
        <v>It keeps the food cold but for a limited time</v>
      </c>
    </row>
    <row r="2317" spans="1:3" ht="15.75" customHeight="1" x14ac:dyDescent="0.25">
      <c r="A2317" s="2" t="s">
        <v>2319</v>
      </c>
      <c r="B2317" s="3" t="s">
        <v>4</v>
      </c>
      <c r="C2317" s="2" t="str">
        <f ca="1">IFERROR(__xludf.DUMMYFUNCTION("GOOGLETRANSLATE(A2317,""bn"",""en"")")," This day my father liked it a lot ")</f>
        <v xml:space="preserve"> This day my father liked it a lot </v>
      </c>
    </row>
    <row r="2318" spans="1:3" ht="15.75" customHeight="1" x14ac:dyDescent="0.25">
      <c r="A2318" s="2" t="s">
        <v>2320</v>
      </c>
      <c r="B2318" s="3" t="s">
        <v>4</v>
      </c>
      <c r="C2318" s="2" t="str">
        <f ca="1">IFERROR(__xludf.DUMMYFUNCTION("GOOGLETRANSLATE(A2318,""bn"",""en"")"),"Your skin will be nourished by using this body wash")</f>
        <v>Your skin will be nourished by using this body wash</v>
      </c>
    </row>
    <row r="2319" spans="1:3" ht="15.75" customHeight="1" x14ac:dyDescent="0.25">
      <c r="A2319" s="2" t="s">
        <v>2321</v>
      </c>
      <c r="B2319" s="3" t="s">
        <v>6</v>
      </c>
      <c r="C2319" s="2" t="str">
        <f ca="1">IFERROR(__xludf.DUMMYFUNCTION("GOOGLETRANSLATE(A2319,""bn"",""en"")"),"Avoid product fails to deliver")</f>
        <v>Avoid product fails to deliver</v>
      </c>
    </row>
    <row r="2320" spans="1:3" ht="15.75" customHeight="1" x14ac:dyDescent="0.25">
      <c r="A2320" s="2" t="s">
        <v>2322</v>
      </c>
      <c r="B2320" s="3" t="s">
        <v>6</v>
      </c>
      <c r="C2320" s="2" t="str">
        <f ca="1">IFERROR(__xludf.DUMMYFUNCTION("GOOGLETRANSLATE(A2320,""bn"",""en"")"),"Missing buttons or off")</f>
        <v>Missing buttons or off</v>
      </c>
    </row>
    <row r="2321" spans="1:3" ht="15.75" customHeight="1" x14ac:dyDescent="0.25">
      <c r="A2321" s="2" t="s">
        <v>2323</v>
      </c>
      <c r="B2321" s="3" t="s">
        <v>4</v>
      </c>
      <c r="C2321" s="2" t="str">
        <f ca="1">IFERROR(__xludf.DUMMYFUNCTION("GOOGLETRANSLATE(A2321,""bn"",""en"")"),"Good for phone conversations or listening to music while standing still or taking an easy walk")</f>
        <v>Good for phone conversations or listening to music while standing still or taking an easy walk</v>
      </c>
    </row>
    <row r="2322" spans="1:3" ht="15.75" customHeight="1" x14ac:dyDescent="0.25">
      <c r="A2322" s="2" t="s">
        <v>2324</v>
      </c>
      <c r="B2322" s="3" t="s">
        <v>4</v>
      </c>
      <c r="C2322" s="2" t="str">
        <f ca="1">IFERROR(__xludf.DUMMYFUNCTION("GOOGLETRANSLATE(A2322,""bn"",""en"")"),"Its color is very beautiful")</f>
        <v>Its color is very beautiful</v>
      </c>
    </row>
    <row r="2323" spans="1:3" ht="15.75" customHeight="1" x14ac:dyDescent="0.25">
      <c r="A2323" s="2" t="s">
        <v>2325</v>
      </c>
      <c r="B2323" s="3" t="s">
        <v>2</v>
      </c>
      <c r="C2323" s="2" t="str">
        <f ca="1">IFERROR(__xludf.DUMMYFUNCTION("GOOGLETRANSLATE(A2323,""bn"",""en"")"),"The sharpener has not changed in the last fifty years")</f>
        <v>The sharpener has not changed in the last fifty years</v>
      </c>
    </row>
    <row r="2324" spans="1:3" ht="15.75" customHeight="1" x14ac:dyDescent="0.25">
      <c r="A2324" s="2" t="s">
        <v>2326</v>
      </c>
      <c r="B2324" s="3" t="s">
        <v>4</v>
      </c>
      <c r="C2324" s="2" t="str">
        <f ca="1">IFERROR(__xludf.DUMMYFUNCTION("GOOGLETRANSLATE(A2324,""bn"",""en"")"),"The mop cleans the floor")</f>
        <v>The mop cleans the floor</v>
      </c>
    </row>
    <row r="2325" spans="1:3" ht="15.75" customHeight="1" x14ac:dyDescent="0.25">
      <c r="A2325" s="2" t="s">
        <v>2327</v>
      </c>
      <c r="B2325" s="3" t="s">
        <v>4</v>
      </c>
      <c r="C2325" s="2" t="str">
        <f ca="1">IFERROR(__xludf.DUMMYFUNCTION("GOOGLETRANSLATE(A2325,""bn"",""en"")"),"The makeup kit is very affordable")</f>
        <v>The makeup kit is very affordable</v>
      </c>
    </row>
    <row r="2326" spans="1:3" ht="15.75" customHeight="1" x14ac:dyDescent="0.25">
      <c r="A2326" s="2" t="s">
        <v>2328</v>
      </c>
      <c r="B2326" s="3" t="s">
        <v>6</v>
      </c>
      <c r="C2326" s="2" t="str">
        <f ca="1">IFERROR(__xludf.DUMMYFUNCTION("GOOGLETRANSLATE(A2326,""bn"",""en"")"),"Poor quality is a recurring problem")</f>
        <v>Poor quality is a recurring problem</v>
      </c>
    </row>
    <row r="2327" spans="1:3" ht="15.75" customHeight="1" x14ac:dyDescent="0.25">
      <c r="A2327" s="2" t="s">
        <v>2329</v>
      </c>
      <c r="B2327" s="3" t="s">
        <v>6</v>
      </c>
      <c r="C2327" s="2" t="str">
        <f ca="1">IFERROR(__xludf.DUMMYFUNCTION("GOOGLETRANSLATE(A2327,""bn"",""en"")")," The spray had a chemical smell that made me feel sick")</f>
        <v xml:space="preserve"> The spray had a chemical smell that made me feel sick</v>
      </c>
    </row>
    <row r="2328" spans="1:3" ht="15.75" customHeight="1" x14ac:dyDescent="0.25">
      <c r="A2328" s="2" t="s">
        <v>2330</v>
      </c>
      <c r="B2328" s="3" t="s">
        <v>4</v>
      </c>
      <c r="C2328" s="2" t="str">
        <f ca="1">IFERROR(__xludf.DUMMYFUNCTION("GOOGLETRANSLATE(A2328,""bn"",""en"")"),"My phone charges fast")</f>
        <v>My phone charges fast</v>
      </c>
    </row>
    <row r="2329" spans="1:3" ht="15.75" customHeight="1" x14ac:dyDescent="0.25">
      <c r="A2329" s="2" t="s">
        <v>2331</v>
      </c>
      <c r="B2329" s="3" t="s">
        <v>6</v>
      </c>
      <c r="C2329" s="2" t="str">
        <f ca="1">IFERROR(__xludf.DUMMYFUNCTION("GOOGLETRANSLATE(A2329,""bn"",""en"")"),"Quality is less than expected")</f>
        <v>Quality is less than expected</v>
      </c>
    </row>
    <row r="2330" spans="1:3" ht="15.75" customHeight="1" x14ac:dyDescent="0.25">
      <c r="A2330" s="2" t="s">
        <v>2332</v>
      </c>
      <c r="B2330" s="3" t="s">
        <v>2</v>
      </c>
      <c r="C2330" s="2" t="str">
        <f ca="1">IFERROR(__xludf.DUMMYFUNCTION("GOOGLETRANSLATE(A2330,""bn"",""en"")"),"Can be used in the bathtub")</f>
        <v>Can be used in the bathtub</v>
      </c>
    </row>
    <row r="2331" spans="1:3" ht="15.75" customHeight="1" x14ac:dyDescent="0.25">
      <c r="A2331" s="2" t="s">
        <v>2333</v>
      </c>
      <c r="B2331" s="3" t="s">
        <v>2</v>
      </c>
      <c r="C2331" s="2" t="str">
        <f ca="1">IFERROR(__xludf.DUMMYFUNCTION("GOOGLETRANSLATE(A2331,""bn"",""en"")"),"Available in different sizes but no color variety")</f>
        <v>Available in different sizes but no color variety</v>
      </c>
    </row>
    <row r="2332" spans="1:3" ht="15.75" customHeight="1" x14ac:dyDescent="0.25">
      <c r="A2332" s="2" t="s">
        <v>2334</v>
      </c>
      <c r="B2332" s="3" t="s">
        <v>6</v>
      </c>
      <c r="C2332" s="2" t="str">
        <f ca="1">IFERROR(__xludf.DUMMYFUNCTION("GOOGLETRANSLATE(A2332,""bn"",""en"")")," USB ports were incompatible with common storage devices limiting media playback options")</f>
        <v xml:space="preserve"> USB ports were incompatible with common storage devices limiting media playback options</v>
      </c>
    </row>
    <row r="2333" spans="1:3" ht="15.75" customHeight="1" x14ac:dyDescent="0.25">
      <c r="A2333" s="2" t="s">
        <v>2335</v>
      </c>
      <c r="B2333" s="3" t="s">
        <v>4</v>
      </c>
      <c r="C2333" s="2" t="str">
        <f ca="1">IFERROR(__xludf.DUMMYFUNCTION("GOOGLETRANSLATE(A2333,""bn"",""en"")"),"The aroma of tea is so pleasant that I close my eyes and enjoy it")</f>
        <v>The aroma of tea is so pleasant that I close my eyes and enjoy it</v>
      </c>
    </row>
    <row r="2334" spans="1:3" ht="15.75" customHeight="1" x14ac:dyDescent="0.25">
      <c r="A2334" s="2" t="s">
        <v>2336</v>
      </c>
      <c r="B2334" s="3" t="s">
        <v>6</v>
      </c>
      <c r="C2334" s="2" t="str">
        <f ca="1">IFERROR(__xludf.DUMMYFUNCTION("GOOGLETRANSLATE(A2334,""bn"",""en"")"),"The jarred pasta sauce had an artificial flavor and watery consistency far from authentic Italian sauce")</f>
        <v>The jarred pasta sauce had an artificial flavor and watery consistency far from authentic Italian sauce</v>
      </c>
    </row>
    <row r="2335" spans="1:3" ht="15.75" customHeight="1" x14ac:dyDescent="0.25">
      <c r="A2335" s="2" t="s">
        <v>2337</v>
      </c>
      <c r="B2335" s="3" t="s">
        <v>4</v>
      </c>
      <c r="C2335" s="2" t="str">
        <f ca="1">IFERROR(__xludf.DUMMYFUNCTION("GOOGLETRANSLATE(A2335,""bn"",""en"")"),"The makeup kit is perfect for traveling")</f>
        <v>The makeup kit is perfect for traveling</v>
      </c>
    </row>
    <row r="2336" spans="1:3" ht="15.75" customHeight="1" x14ac:dyDescent="0.25">
      <c r="A2336" s="2" t="s">
        <v>2338</v>
      </c>
      <c r="B2336" s="3" t="s">
        <v>6</v>
      </c>
      <c r="C2336" s="2" t="str">
        <f ca="1">IFERROR(__xludf.DUMMYFUNCTION("GOOGLETRANSLATE(A2336,""bn"",""en"")"),"The microwaveable popcorn had too many unpopped kernels and had a stale taste")</f>
        <v>The microwaveable popcorn had too many unpopped kernels and had a stale taste</v>
      </c>
    </row>
    <row r="2337" spans="1:3" ht="15.75" customHeight="1" x14ac:dyDescent="0.25">
      <c r="A2337" s="2" t="s">
        <v>2339</v>
      </c>
      <c r="B2337" s="3" t="s">
        <v>6</v>
      </c>
      <c r="C2337" s="2" t="str">
        <f ca="1">IFERROR(__xludf.DUMMYFUNCTION("GOOGLETRANSLATE(A2337,""bn"",""en"")"),"Painting sets do not include adequate information on brush care")</f>
        <v>Painting sets do not include adequate information on brush care</v>
      </c>
    </row>
    <row r="2338" spans="1:3" ht="15.75" customHeight="1" x14ac:dyDescent="0.25">
      <c r="A2338" s="2" t="s">
        <v>2340</v>
      </c>
      <c r="B2338" s="3" t="s">
        <v>2</v>
      </c>
      <c r="C2338" s="2" t="str">
        <f ca="1">IFERROR(__xludf.DUMMYFUNCTION("GOOGLETRANSLATE(A2338,""bn"",""en"")"),"The fabric is comfortable but the design is not that good")</f>
        <v>The fabric is comfortable but the design is not that good</v>
      </c>
    </row>
    <row r="2339" spans="1:3" ht="15.75" customHeight="1" x14ac:dyDescent="0.25">
      <c r="A2339" s="2" t="s">
        <v>2341</v>
      </c>
      <c r="B2339" s="3" t="s">
        <v>4</v>
      </c>
      <c r="C2339" s="2" t="str">
        <f ca="1">IFERROR(__xludf.DUMMYFUNCTION("GOOGLETRANSLATE(A2339,""bn"",""en"")"),"HP notebook quality good value works so well great product ")</f>
        <v xml:space="preserve">HP notebook quality good value works so well great product </v>
      </c>
    </row>
    <row r="2340" spans="1:3" ht="15.75" customHeight="1" x14ac:dyDescent="0.25">
      <c r="A2340" s="2" t="s">
        <v>2342</v>
      </c>
      <c r="B2340" s="3" t="s">
        <v>4</v>
      </c>
      <c r="C2340" s="2" t="str">
        <f ca="1">IFERROR(__xludf.DUMMYFUNCTION("GOOGLETRANSLATE(A2340,""bn"",""en"")")," You can take this charger if you want, thanks to the seller")</f>
        <v xml:space="preserve"> You can take this charger if you want, thanks to the seller</v>
      </c>
    </row>
    <row r="2341" spans="1:3" ht="15.75" customHeight="1" x14ac:dyDescent="0.25">
      <c r="A2341" s="2" t="s">
        <v>2343</v>
      </c>
      <c r="B2341" s="3" t="s">
        <v>2</v>
      </c>
      <c r="C2341" s="2" t="str">
        <f ca="1">IFERROR(__xludf.DUMMYFUNCTION("GOOGLETRANSLATE(A2341,""bn"",""en"")"),"The swimming goggles fit well but fogged up inside")</f>
        <v>The swimming goggles fit well but fogged up inside</v>
      </c>
    </row>
    <row r="2342" spans="1:3" ht="15.75" customHeight="1" x14ac:dyDescent="0.25">
      <c r="A2342" s="2" t="s">
        <v>2344</v>
      </c>
      <c r="B2342" s="3" t="s">
        <v>6</v>
      </c>
      <c r="C2342" s="2" t="str">
        <f ca="1">IFERROR(__xludf.DUMMYFUNCTION("GOOGLETRANSLATE(A2342,""bn"",""en"")")," The vibration motor is weak making it difficult to feel incoming calls or notifications")</f>
        <v xml:space="preserve"> The vibration motor is weak making it difficult to feel incoming calls or notifications</v>
      </c>
    </row>
    <row r="2343" spans="1:3" ht="15.75" customHeight="1" x14ac:dyDescent="0.25">
      <c r="A2343" s="2" t="s">
        <v>2345</v>
      </c>
      <c r="B2343" s="3" t="s">
        <v>6</v>
      </c>
      <c r="C2343" s="2" t="str">
        <f ca="1">IFERROR(__xludf.DUMMYFUNCTION("GOOGLETRANSLATE(A2343,""bn"",""en"")"),"Hot water scaling results in unreliable temperature control")</f>
        <v>Hot water scaling results in unreliable temperature control</v>
      </c>
    </row>
    <row r="2344" spans="1:3" ht="15.75" customHeight="1" x14ac:dyDescent="0.25">
      <c r="A2344" s="2" t="s">
        <v>2346</v>
      </c>
      <c r="B2344" s="3" t="s">
        <v>2</v>
      </c>
      <c r="C2344" s="2" t="str">
        <f ca="1">IFERROR(__xludf.DUMMYFUNCTION("GOOGLETRANSLATE(A2344,""bn"",""en"")"),"The taste is ok but the amount of lemon is very less")</f>
        <v>The taste is ok but the amount of lemon is very less</v>
      </c>
    </row>
    <row r="2345" spans="1:3" ht="15.75" customHeight="1" x14ac:dyDescent="0.25">
      <c r="A2345" s="2" t="s">
        <v>2347</v>
      </c>
      <c r="B2345" s="3" t="s">
        <v>2</v>
      </c>
      <c r="C2345" s="2" t="str">
        <f ca="1">IFERROR(__xludf.DUMMYFUNCTION("GOOGLETRANSLATE(A2345,""bn"",""en"")"),"Don't expect too much")</f>
        <v>Don't expect too much</v>
      </c>
    </row>
    <row r="2346" spans="1:3" ht="15.75" customHeight="1" x14ac:dyDescent="0.25">
      <c r="A2346" s="2" t="s">
        <v>2348</v>
      </c>
      <c r="B2346" s="3" t="s">
        <v>4</v>
      </c>
      <c r="C2346" s="2" t="str">
        <f ca="1">IFERROR(__xludf.DUMMYFUNCTION("GOOGLETRANSLATE(A2346,""bn"",""en"")"),"The intensity of the wind can be adjusted")</f>
        <v>The intensity of the wind can be adjusted</v>
      </c>
    </row>
    <row r="2347" spans="1:3" ht="15.75" customHeight="1" x14ac:dyDescent="0.25">
      <c r="A2347" s="2" t="s">
        <v>2349</v>
      </c>
      <c r="B2347" s="3" t="s">
        <v>4</v>
      </c>
      <c r="C2347" s="2" t="str">
        <f ca="1">IFERROR(__xludf.DUMMYFUNCTION("GOOGLETRANSLATE(A2347,""bn"",""en"")"),"The makeup kit is perfect for any occasion")</f>
        <v>The makeup kit is perfect for any occasion</v>
      </c>
    </row>
    <row r="2348" spans="1:3" ht="15.75" customHeight="1" x14ac:dyDescent="0.25">
      <c r="A2348" s="2" t="s">
        <v>2350</v>
      </c>
      <c r="B2348" s="3" t="s">
        <v>6</v>
      </c>
      <c r="C2348" s="2" t="str">
        <f ca="1">IFERROR(__xludf.DUMMYFUNCTION("GOOGLETRANSLATE(A2348,""bn"",""en"")"),"Cracked vacuum cleaner hoses lose suction power")</f>
        <v>Cracked vacuum cleaner hoses lose suction power</v>
      </c>
    </row>
    <row r="2349" spans="1:3" ht="15.75" customHeight="1" x14ac:dyDescent="0.25">
      <c r="A2349" s="2" t="s">
        <v>2351</v>
      </c>
      <c r="B2349" s="3" t="s">
        <v>4</v>
      </c>
      <c r="C2349" s="2" t="str">
        <f ca="1">IFERROR(__xludf.DUMMYFUNCTION("GOOGLETRANSLATE(A2349,""bn"",""en"")"),"The pendants are the envy of my friends")</f>
        <v>The pendants are the envy of my friends</v>
      </c>
    </row>
    <row r="2350" spans="1:3" ht="15.75" customHeight="1" x14ac:dyDescent="0.25">
      <c r="A2350" s="2" t="s">
        <v>2352</v>
      </c>
      <c r="B2350" s="3" t="s">
        <v>4</v>
      </c>
      <c r="C2350" s="2" t="str">
        <f ca="1">IFERROR(__xludf.DUMMYFUNCTION("GOOGLETRANSLATE(A2350,""bn"",""en"")"),"Each character has great depth")</f>
        <v>Each character has great depth</v>
      </c>
    </row>
    <row r="2351" spans="1:3" ht="15.75" customHeight="1" x14ac:dyDescent="0.25">
      <c r="A2351" s="2" t="s">
        <v>2353</v>
      </c>
      <c r="B2351" s="3" t="s">
        <v>6</v>
      </c>
      <c r="C2351" s="2" t="str">
        <f ca="1">IFERROR(__xludf.DUMMYFUNCTION("GOOGLETRANSLATE(A2351,""bn"",""en"")"),"The painting set did not include enough instruction on composition")</f>
        <v>The painting set did not include enough instruction on composition</v>
      </c>
    </row>
    <row r="2352" spans="1:3" ht="15.75" customHeight="1" x14ac:dyDescent="0.25">
      <c r="A2352" s="2" t="s">
        <v>2354</v>
      </c>
      <c r="B2352" s="3" t="s">
        <v>4</v>
      </c>
      <c r="C2352" s="2" t="str">
        <f ca="1">IFERROR(__xludf.DUMMYFUNCTION("GOOGLETRANSLATE(A2352,""bn"",""en"")"),"I am really impressed with using this charger")</f>
        <v>I am really impressed with using this charger</v>
      </c>
    </row>
    <row r="2353" spans="1:3" ht="15.75" customHeight="1" x14ac:dyDescent="0.25">
      <c r="A2353" s="2" t="s">
        <v>2355</v>
      </c>
      <c r="B2353" s="3" t="s">
        <v>2</v>
      </c>
      <c r="C2353" s="2" t="str">
        <f ca="1">IFERROR(__xludf.DUMMYFUNCTION("GOOGLETRANSLATE(A2353,""bn"",""en"")"),"The price is moderate neither high nor low")</f>
        <v>The price is moderate neither high nor low</v>
      </c>
    </row>
    <row r="2354" spans="1:3" ht="15.75" customHeight="1" x14ac:dyDescent="0.25">
      <c r="A2354" s="2" t="s">
        <v>2356</v>
      </c>
      <c r="B2354" s="3" t="s">
        <v>4</v>
      </c>
      <c r="C2354" s="2" t="str">
        <f ca="1">IFERROR(__xludf.DUMMYFUNCTION("GOOGLETRANSLATE(A2354,""bn"",""en"")"),"My kids love it too which is a big plus")</f>
        <v>My kids love it too which is a big plus</v>
      </c>
    </row>
    <row r="2355" spans="1:3" ht="15.75" customHeight="1" x14ac:dyDescent="0.25">
      <c r="A2355" s="2" t="s">
        <v>2357</v>
      </c>
      <c r="B2355" s="3" t="s">
        <v>6</v>
      </c>
      <c r="C2355" s="2" t="str">
        <f ca="1">IFERROR(__xludf.DUMMYFUNCTION("GOOGLETRANSLATE(A2355,""bn"",""en"")"),"The onscreen menus were confusing and unfamiliar settings made it difficult to adjust")</f>
        <v>The onscreen menus were confusing and unfamiliar settings made it difficult to adjust</v>
      </c>
    </row>
    <row r="2356" spans="1:3" ht="15.75" customHeight="1" x14ac:dyDescent="0.25">
      <c r="A2356" s="2" t="s">
        <v>2358</v>
      </c>
      <c r="B2356" s="3" t="s">
        <v>4</v>
      </c>
      <c r="C2356" s="2" t="str">
        <f ca="1">IFERROR(__xludf.DUMMYFUNCTION("GOOGLETRANSLATE(A2356,""bn"",""en"")"),"Its simplicity is truly charming")</f>
        <v>Its simplicity is truly charming</v>
      </c>
    </row>
    <row r="2357" spans="1:3" ht="15.75" customHeight="1" x14ac:dyDescent="0.25">
      <c r="A2357" s="2" t="s">
        <v>2359</v>
      </c>
      <c r="B2357" s="3" t="s">
        <v>2</v>
      </c>
      <c r="C2357" s="2" t="str">
        <f ca="1">IFERROR(__xludf.DUMMYFUNCTION("GOOGLETRANSLATE(A2357,""bn"",""en"")"),"The place is nice but a bit hot")</f>
        <v>The place is nice but a bit hot</v>
      </c>
    </row>
    <row r="2358" spans="1:3" ht="15.75" customHeight="1" x14ac:dyDescent="0.25">
      <c r="A2358" s="2" t="s">
        <v>2360</v>
      </c>
      <c r="B2358" s="3" t="s">
        <v>4</v>
      </c>
      <c r="C2358" s="2" t="str">
        <f ca="1">IFERROR(__xludf.DUMMYFUNCTION("GOOGLETRANSLATE(A2358,""bn"",""en"")"),"The painting enhances the beauty of my room")</f>
        <v>The painting enhances the beauty of my room</v>
      </c>
    </row>
    <row r="2359" spans="1:3" ht="15.75" customHeight="1" x14ac:dyDescent="0.25">
      <c r="A2359" s="2" t="s">
        <v>2361</v>
      </c>
      <c r="B2359" s="3" t="s">
        <v>4</v>
      </c>
      <c r="C2359" s="2" t="str">
        <f ca="1">IFERROR(__xludf.DUMMYFUNCTION("GOOGLETRANSLATE(A2359,""bn"",""en"")"),"The bookcase can easily be moved by one person")</f>
        <v>The bookcase can easily be moved by one person</v>
      </c>
    </row>
    <row r="2360" spans="1:3" ht="15.75" customHeight="1" x14ac:dyDescent="0.25">
      <c r="A2360" s="2" t="s">
        <v>2362</v>
      </c>
      <c r="B2360" s="3" t="s">
        <v>6</v>
      </c>
      <c r="C2360" s="2" t="str">
        <f ca="1">IFERROR(__xludf.DUMMYFUNCTION("GOOGLETRANSLATE(A2360,""bn"",""en"")"),"There is no protective seal to worry about using")</f>
        <v>There is no protective seal to worry about using</v>
      </c>
    </row>
    <row r="2361" spans="1:3" ht="15.75" customHeight="1" x14ac:dyDescent="0.25">
      <c r="A2361" s="2" t="s">
        <v>2363</v>
      </c>
      <c r="B2361" s="3" t="s">
        <v>4</v>
      </c>
      <c r="C2361" s="2" t="str">
        <f ca="1">IFERROR(__xludf.DUMMYFUNCTION("GOOGLETRANSLATE(A2361,""bn"",""en"")"),"This tea has mesmerized me with its mild flavor full of aroma")</f>
        <v>This tea has mesmerized me with its mild flavor full of aroma</v>
      </c>
    </row>
    <row r="2362" spans="1:3" ht="15.75" customHeight="1" x14ac:dyDescent="0.25">
      <c r="A2362" s="2" t="s">
        <v>2364</v>
      </c>
      <c r="B2362" s="3" t="s">
        <v>4</v>
      </c>
      <c r="C2362" s="2" t="str">
        <f ca="1">IFERROR(__xludf.DUMMYFUNCTION("GOOGLETRANSLATE(A2362,""bn"",""en"")"),"Excellent camera excellent price")</f>
        <v>Excellent camera excellent price</v>
      </c>
    </row>
    <row r="2363" spans="1:3" ht="15.75" customHeight="1" x14ac:dyDescent="0.25">
      <c r="A2363" s="2" t="s">
        <v>2365</v>
      </c>
      <c r="B2363" s="3" t="s">
        <v>4</v>
      </c>
      <c r="C2363" s="2" t="str">
        <f ca="1">IFERROR(__xludf.DUMMYFUNCTION("GOOGLETRANSLATE(A2363,""bn"",""en"")"),"The design is modern and suits the room")</f>
        <v>The design is modern and suits the room</v>
      </c>
    </row>
    <row r="2364" spans="1:3" ht="15.75" customHeight="1" x14ac:dyDescent="0.25">
      <c r="A2364" s="2" t="s">
        <v>2366</v>
      </c>
      <c r="B2364" s="3" t="s">
        <v>4</v>
      </c>
      <c r="C2364" s="2" t="str">
        <f ca="1">IFERROR(__xludf.DUMMYFUNCTION("GOOGLETRANSLATE(A2364,""bn"",""en"")"),"I would recommend this pad to all women you will be very happy using it")</f>
        <v>I would recommend this pad to all women you will be very happy using it</v>
      </c>
    </row>
    <row r="2365" spans="1:3" ht="15.75" customHeight="1" x14ac:dyDescent="0.25">
      <c r="A2365" s="2" t="s">
        <v>2367</v>
      </c>
      <c r="B2365" s="3" t="s">
        <v>6</v>
      </c>
      <c r="C2365" s="2" t="str">
        <f ca="1">IFERROR(__xludf.DUMMYFUNCTION("GOOGLETRANSLATE(A2365,""bn"",""en"")"),"The fabric lacks structure resulting in a shapeless silhouette")</f>
        <v>The fabric lacks structure resulting in a shapeless silhouette</v>
      </c>
    </row>
    <row r="2366" spans="1:3" ht="15.75" customHeight="1" x14ac:dyDescent="0.25">
      <c r="A2366" s="2" t="s">
        <v>2368</v>
      </c>
      <c r="B2366" s="3" t="s">
        <v>2</v>
      </c>
      <c r="C2366" s="2" t="str">
        <f ca="1">IFERROR(__xludf.DUMMYFUNCTION("GOOGLETRANSLATE(A2366,""bn"",""en"")"),"Not the best but good value for the price")</f>
        <v>Not the best but good value for the price</v>
      </c>
    </row>
    <row r="2367" spans="1:3" ht="15.75" customHeight="1" x14ac:dyDescent="0.25">
      <c r="A2367" s="2" t="s">
        <v>2369</v>
      </c>
      <c r="B2367" s="3" t="s">
        <v>6</v>
      </c>
      <c r="C2367" s="2" t="str">
        <f ca="1">IFERROR(__xludf.DUMMYFUNCTION("GOOGLETRANSLATE(A2367,""bn"",""en"")")," The exterior finish scratches easily and detracts from its appearance")</f>
        <v xml:space="preserve"> The exterior finish scratches easily and detracts from its appearance</v>
      </c>
    </row>
    <row r="2368" spans="1:3" ht="15.75" customHeight="1" x14ac:dyDescent="0.25">
      <c r="A2368" s="2" t="s">
        <v>2370</v>
      </c>
      <c r="B2368" s="3" t="s">
        <v>6</v>
      </c>
      <c r="C2368" s="2" t="str">
        <f ca="1">IFERROR(__xludf.DUMMYFUNCTION("GOOGLETRANSLATE(A2368,""bn"",""en"")")," The main compartment zipper is broken making it impossible to open or close")</f>
        <v xml:space="preserve"> The main compartment zipper is broken making it impossible to open or close</v>
      </c>
    </row>
    <row r="2369" spans="1:3" ht="15.75" customHeight="1" x14ac:dyDescent="0.25">
      <c r="A2369" s="2" t="s">
        <v>2371</v>
      </c>
      <c r="B2369" s="3" t="s">
        <v>2</v>
      </c>
      <c r="C2369" s="2" t="str">
        <f ca="1">IFERROR(__xludf.DUMMYFUNCTION("GOOGLETRANSLATE(A2369,""bn"",""en"")"),"The water bottle is a bit heavy")</f>
        <v>The water bottle is a bit heavy</v>
      </c>
    </row>
    <row r="2370" spans="1:3" ht="15.75" customHeight="1" x14ac:dyDescent="0.25">
      <c r="A2370" s="2" t="s">
        <v>2372</v>
      </c>
      <c r="B2370" s="3" t="s">
        <v>4</v>
      </c>
      <c r="C2370" s="2" t="str">
        <f ca="1">IFERROR(__xludf.DUMMYFUNCTION("GOOGLETRANSLATE(A2370,""bn"",""en"")"),"It is suitable for long term use")</f>
        <v>It is suitable for long term use</v>
      </c>
    </row>
    <row r="2371" spans="1:3" ht="15.75" customHeight="1" x14ac:dyDescent="0.25">
      <c r="A2371" s="2" t="s">
        <v>2373</v>
      </c>
      <c r="B2371" s="3" t="s">
        <v>2</v>
      </c>
      <c r="C2371" s="2" t="str">
        <f ca="1">IFERROR(__xludf.DUMMYFUNCTION("GOOGLETRANSLATE(A2371,""bn"",""en"")"),"Color is vibrant but stitching is not good")</f>
        <v>Color is vibrant but stitching is not good</v>
      </c>
    </row>
    <row r="2372" spans="1:3" ht="15.75" customHeight="1" x14ac:dyDescent="0.25">
      <c r="A2372" s="2" t="s">
        <v>2374</v>
      </c>
      <c r="B2372" s="3" t="s">
        <v>2</v>
      </c>
      <c r="C2372" s="2" t="str">
        <f ca="1">IFERROR(__xludf.DUMMYFUNCTION("GOOGLETRANSLATE(A2372,""bn"",""en"")"),"Doesn't work well")</f>
        <v>Doesn't work well</v>
      </c>
    </row>
    <row r="2373" spans="1:3" ht="15.75" customHeight="1" x14ac:dyDescent="0.25">
      <c r="A2373" s="2" t="s">
        <v>2375</v>
      </c>
      <c r="B2373" s="3" t="s">
        <v>6</v>
      </c>
      <c r="C2373" s="2" t="str">
        <f ca="1">IFERROR(__xludf.DUMMYFUNCTION("GOOGLETRANSLATE(A2373,""bn"",""en"")"),"The laptop bag's padding rips, exposing the laptop to potential damage")</f>
        <v>The laptop bag's padding rips, exposing the laptop to potential damage</v>
      </c>
    </row>
    <row r="2374" spans="1:3" ht="15.75" customHeight="1" x14ac:dyDescent="0.25">
      <c r="A2374" s="2" t="s">
        <v>2376</v>
      </c>
      <c r="B2374" s="3" t="s">
        <v>2</v>
      </c>
      <c r="C2374" s="2" t="str">
        <f ca="1">IFERROR(__xludf.DUMMYFUNCTION("GOOGLETRANSLATE(A2374,""bn"",""en"")"),"The tea is quite tasty but the taste is a bit heavy")</f>
        <v>The tea is quite tasty but the taste is a bit heavy</v>
      </c>
    </row>
    <row r="2375" spans="1:3" ht="15.75" customHeight="1" x14ac:dyDescent="0.25">
      <c r="A2375" s="2" t="s">
        <v>2377</v>
      </c>
      <c r="B2375" s="3" t="s">
        <v>2</v>
      </c>
      <c r="C2375" s="2" t="str">
        <f ca="1">IFERROR(__xludf.DUMMYFUNCTION("GOOGLETRANSLATE(A2375,""bn"",""en"")"),"Works properly but some parts are relatively stiff")</f>
        <v>Works properly but some parts are relatively stiff</v>
      </c>
    </row>
    <row r="2376" spans="1:3" ht="15.75" customHeight="1" x14ac:dyDescent="0.25">
      <c r="A2376" s="2" t="s">
        <v>2378</v>
      </c>
      <c r="B2376" s="3" t="s">
        <v>6</v>
      </c>
      <c r="C2376" s="2" t="str">
        <f ca="1">IFERROR(__xludf.DUMMYFUNCTION("GOOGLETRANSLATE(A2376,""bn"",""en"")"),"The cumbersome shape makes it difficult to pour the contents")</f>
        <v>The cumbersome shape makes it difficult to pour the contents</v>
      </c>
    </row>
    <row r="2377" spans="1:3" ht="15.75" customHeight="1" x14ac:dyDescent="0.25">
      <c r="A2377" s="2" t="s">
        <v>2379</v>
      </c>
      <c r="B2377" s="3" t="s">
        <v>6</v>
      </c>
      <c r="C2377" s="2" t="str">
        <f ca="1">IFERROR(__xludf.DUMMYFUNCTION("GOOGLETRANSLATE(A2377,""bn"",""en"")"),"The paint set was overpriced for the quality provided")</f>
        <v>The paint set was overpriced for the quality provided</v>
      </c>
    </row>
    <row r="2378" spans="1:3" ht="15.75" customHeight="1" x14ac:dyDescent="0.25">
      <c r="A2378" s="2" t="s">
        <v>2380</v>
      </c>
      <c r="B2378" s="3" t="s">
        <v>4</v>
      </c>
      <c r="C2378" s="2" t="str">
        <f ca="1">IFERROR(__xludf.DUMMYFUNCTION("GOOGLETRANSLATE(A2378,""bn"",""en"")"),"Makeup brushes can be used with different products")</f>
        <v>Makeup brushes can be used with different products</v>
      </c>
    </row>
    <row r="2379" spans="1:3" ht="15.75" customHeight="1" x14ac:dyDescent="0.25">
      <c r="A2379" s="2" t="s">
        <v>2381</v>
      </c>
      <c r="B2379" s="3" t="s">
        <v>4</v>
      </c>
      <c r="C2379" s="2" t="str">
        <f ca="1">IFERROR(__xludf.DUMMYFUNCTION("GOOGLETRANSLATE(A2379,""bn"",""en"")"),"A great alternative to digital")</f>
        <v>A great alternative to digital</v>
      </c>
    </row>
    <row r="2380" spans="1:3" ht="15.75" customHeight="1" x14ac:dyDescent="0.25">
      <c r="A2380" s="2" t="s">
        <v>2382</v>
      </c>
      <c r="B2380" s="3" t="s">
        <v>4</v>
      </c>
      <c r="C2380" s="2" t="str">
        <f ca="1">IFERROR(__xludf.DUMMYFUNCTION("GOOGLETRANSLATE(A2380,""bn"",""en"")"),"It can be placed anywhere in the house")</f>
        <v>It can be placed anywhere in the house</v>
      </c>
    </row>
    <row r="2381" spans="1:3" ht="15.75" customHeight="1" x14ac:dyDescent="0.25">
      <c r="A2381" s="2" t="s">
        <v>2383</v>
      </c>
      <c r="B2381" s="3" t="s">
        <v>6</v>
      </c>
      <c r="C2381" s="2" t="str">
        <f ca="1">IFERROR(__xludf.DUMMYFUNCTION("GOOGLETRANSLATE(A2381,""bn"",""en"")"),"Bluetooth connection of solar powered outdoor speakers is unstable and keeps losing connection")</f>
        <v>Bluetooth connection of solar powered outdoor speakers is unstable and keeps losing connection</v>
      </c>
    </row>
    <row r="2382" spans="1:3" ht="15.75" customHeight="1" x14ac:dyDescent="0.25">
      <c r="A2382" s="2" t="s">
        <v>2384</v>
      </c>
      <c r="B2382" s="3" t="s">
        <v>6</v>
      </c>
      <c r="C2382" s="2" t="str">
        <f ca="1">IFERROR(__xludf.DUMMYFUNCTION("GOOGLETRANSLATE(A2382,""bn"",""en"")"),"The hinge mechanism feels loose and wobbly, raising concerns about long-term durability")</f>
        <v>The hinge mechanism feels loose and wobbly, raising concerns about long-term durability</v>
      </c>
    </row>
    <row r="2383" spans="1:3" ht="15.75" customHeight="1" x14ac:dyDescent="0.25">
      <c r="A2383" s="2" t="s">
        <v>2385</v>
      </c>
      <c r="B2383" s="3" t="s">
        <v>6</v>
      </c>
      <c r="C2383" s="2" t="str">
        <f ca="1">IFERROR(__xludf.DUMMYFUNCTION("GOOGLETRANSLATE(A2383,""bn"",""en"")"),"Awaiting the garment, the ministerial distress arises that the technology shows the fitting disposal unnecessarily")</f>
        <v>Awaiting the garment, the ministerial distress arises that the technology shows the fitting disposal unnecessarily</v>
      </c>
    </row>
    <row r="2384" spans="1:3" ht="15.75" customHeight="1" x14ac:dyDescent="0.25">
      <c r="A2384" s="2" t="s">
        <v>2386</v>
      </c>
      <c r="B2384" s="3" t="s">
        <v>6</v>
      </c>
      <c r="C2384" s="2" t="str">
        <f ca="1">IFERROR(__xludf.DUMMYFUNCTION("GOOGLETRANSLATE(A2384,""bn"",""en"")"),"The refrigerator emits a loud humming sound that disturbs sleep especially at night")</f>
        <v>The refrigerator emits a loud humming sound that disturbs sleep especially at night</v>
      </c>
    </row>
    <row r="2385" spans="1:3" ht="15.75" customHeight="1" x14ac:dyDescent="0.25">
      <c r="A2385" s="2" t="s">
        <v>2387</v>
      </c>
      <c r="B2385" s="3" t="s">
        <v>6</v>
      </c>
      <c r="C2385" s="2" t="str">
        <f ca="1">IFERROR(__xludf.DUMMYFUNCTION("GOOGLETRANSLATE(A2385,""bn"",""en"")"),"The hair mousse leaves a sticky film that leaves my hair feeling heavy and unwashed")</f>
        <v>The hair mousse leaves a sticky film that leaves my hair feeling heavy and unwashed</v>
      </c>
    </row>
    <row r="2386" spans="1:3" ht="15.75" customHeight="1" x14ac:dyDescent="0.25">
      <c r="A2386" s="2" t="s">
        <v>2388</v>
      </c>
      <c r="B2386" s="3" t="s">
        <v>4</v>
      </c>
      <c r="C2386" s="2" t="str">
        <f ca="1">IFERROR(__xludf.DUMMYFUNCTION("GOOGLETRANSLATE(A2386,""bn"",""en"")"),"The garment is easy to clean")</f>
        <v>The garment is easy to clean</v>
      </c>
    </row>
    <row r="2387" spans="1:3" ht="15.75" customHeight="1" x14ac:dyDescent="0.25">
      <c r="A2387" s="2" t="s">
        <v>2389</v>
      </c>
      <c r="B2387" s="3" t="s">
        <v>6</v>
      </c>
      <c r="C2387" s="2" t="str">
        <f ca="1">IFERROR(__xludf.DUMMYFUNCTION("GOOGLETRANSLATE(A2387,""bn"",""en"")"),"The item was prone to overheating during operation")</f>
        <v>The item was prone to overheating during operation</v>
      </c>
    </row>
    <row r="2388" spans="1:3" ht="15.75" customHeight="1" x14ac:dyDescent="0.25">
      <c r="A2388" s="2" t="s">
        <v>2390</v>
      </c>
      <c r="B2388" s="3" t="s">
        <v>6</v>
      </c>
      <c r="C2388" s="2" t="str">
        <f ca="1">IFERROR(__xludf.DUMMYFUNCTION("GOOGLETRANSLATE(A2388,""bn"",""en"")"),"Simple starter kit")</f>
        <v>Simple starter kit</v>
      </c>
    </row>
    <row r="2389" spans="1:3" ht="15.75" customHeight="1" x14ac:dyDescent="0.25">
      <c r="A2389" s="2" t="s">
        <v>2391</v>
      </c>
      <c r="B2389" s="3" t="s">
        <v>4</v>
      </c>
      <c r="C2389" s="2" t="str">
        <f ca="1">IFERROR(__xludf.DUMMYFUNCTION("GOOGLETRANSLATE(A2389,""bn"",""en"")"),"The message of the story is very powerful")</f>
        <v>The message of the story is very powerful</v>
      </c>
    </row>
    <row r="2390" spans="1:3" ht="15.75" customHeight="1" x14ac:dyDescent="0.25">
      <c r="A2390" s="2" t="s">
        <v>2392</v>
      </c>
      <c r="B2390" s="3" t="s">
        <v>6</v>
      </c>
      <c r="C2390" s="2" t="str">
        <f ca="1">IFERROR(__xludf.DUMMYFUNCTION("GOOGLETRANSLATE(A2390,""bn"",""en"")"),"The design of the tea set with awkwardly shaped cups was impractical")</f>
        <v>The design of the tea set with awkwardly shaped cups was impractical</v>
      </c>
    </row>
    <row r="2391" spans="1:3" ht="15.75" customHeight="1" x14ac:dyDescent="0.25">
      <c r="A2391" s="2" t="s">
        <v>2393</v>
      </c>
      <c r="B2391" s="3" t="s">
        <v>6</v>
      </c>
      <c r="C2391" s="2" t="str">
        <f ca="1">IFERROR(__xludf.DUMMYFUNCTION("GOOGLETRANSLATE(A2391,""bn"",""en"")"),"Poor quality materials prematurely deteriorate")</f>
        <v>Poor quality materials prematurely deteriorate</v>
      </c>
    </row>
    <row r="2392" spans="1:3" ht="15.75" customHeight="1" x14ac:dyDescent="0.25">
      <c r="A2392" s="2" t="s">
        <v>2394</v>
      </c>
      <c r="B2392" s="3" t="s">
        <v>4</v>
      </c>
      <c r="C2392" s="2" t="str">
        <f ca="1">IFERROR(__xludf.DUMMYFUNCTION("GOOGLETRANSLATE(A2392,""bn"",""en"")"),"The plastic flower never decomposes in water")</f>
        <v>The plastic flower never decomposes in water</v>
      </c>
    </row>
    <row r="2393" spans="1:3" ht="15.75" customHeight="1" x14ac:dyDescent="0.25">
      <c r="A2393" s="2" t="s">
        <v>2395</v>
      </c>
      <c r="B2393" s="3" t="s">
        <v>4</v>
      </c>
      <c r="C2393" s="2" t="str">
        <f ca="1">IFERROR(__xludf.DUMMYFUNCTION("GOOGLETRANSLATE(A2393,""bn"",""en"")"),"Compared to other speakers, its battery life is much longer without having to worry about charging")</f>
        <v>Compared to other speakers, its battery life is much longer without having to worry about charging</v>
      </c>
    </row>
    <row r="2394" spans="1:3" ht="15.75" customHeight="1" x14ac:dyDescent="0.25">
      <c r="A2394" s="2" t="s">
        <v>2396</v>
      </c>
      <c r="B2394" s="3" t="s">
        <v>4</v>
      </c>
      <c r="C2394" s="2" t="str">
        <f ca="1">IFERROR(__xludf.DUMMYFUNCTION("GOOGLETRANSLATE(A2394,""bn"",""en"")"),"The first bite shows how delicious it is")</f>
        <v>The first bite shows how delicious it is</v>
      </c>
    </row>
    <row r="2395" spans="1:3" ht="15.75" customHeight="1" x14ac:dyDescent="0.25">
      <c r="A2395" s="2" t="s">
        <v>2397</v>
      </c>
      <c r="B2395" s="3" t="s">
        <v>6</v>
      </c>
      <c r="C2395" s="2" t="str">
        <f ca="1">IFERROR(__xludf.DUMMYFUNCTION("GOOGLETRANSLATE(A2395,""bn"",""en"")"),"The cups had uneven bottoms which made them wobbly")</f>
        <v>The cups had uneven bottoms which made them wobbly</v>
      </c>
    </row>
    <row r="2396" spans="1:3" ht="15.75" customHeight="1" x14ac:dyDescent="0.25">
      <c r="A2396" s="2" t="s">
        <v>2398</v>
      </c>
      <c r="B2396" s="3" t="s">
        <v>6</v>
      </c>
      <c r="C2396" s="2" t="str">
        <f ca="1">IFERROR(__xludf.DUMMYFUNCTION("GOOGLETRANSLATE(A2396,""bn"",""en"")"),"Concerns about hair loss harmful ingredients")</f>
        <v>Concerns about hair loss harmful ingredients</v>
      </c>
    </row>
    <row r="2397" spans="1:3" ht="15.75" customHeight="1" x14ac:dyDescent="0.25">
      <c r="A2397" s="2" t="s">
        <v>2399</v>
      </c>
      <c r="B2397" s="3" t="s">
        <v>4</v>
      </c>
      <c r="C2397" s="2" t="str">
        <f ca="1">IFERROR(__xludf.DUMMYFUNCTION("GOOGLETRANSLATE(A2397,""bn"",""en"")")," It has become an essential part of my makeup routine")</f>
        <v xml:space="preserve"> It has become an essential part of my makeup routine</v>
      </c>
    </row>
    <row r="2398" spans="1:3" ht="15.75" customHeight="1" x14ac:dyDescent="0.25">
      <c r="A2398" s="2" t="s">
        <v>2400</v>
      </c>
      <c r="B2398" s="3" t="s">
        <v>2</v>
      </c>
      <c r="C2398" s="2" t="str">
        <f ca="1">IFERROR(__xludf.DUMMYFUNCTION("GOOGLETRANSLATE(A2398,""bn"",""en"")"),"Good taste but price is quite high")</f>
        <v>Good taste but price is quite high</v>
      </c>
    </row>
    <row r="2399" spans="1:3" ht="15.75" customHeight="1" x14ac:dyDescent="0.25">
      <c r="A2399" s="2" t="s">
        <v>2401</v>
      </c>
      <c r="B2399" s="3" t="s">
        <v>6</v>
      </c>
      <c r="C2399" s="2" t="str">
        <f ca="1">IFERROR(__xludf.DUMMYFUNCTION("GOOGLETRANSLATE(A2399,""bn"",""en"")"),"Packaging was open on arrival resulting in spoilage")</f>
        <v>Packaging was open on arrival resulting in spoilage</v>
      </c>
    </row>
    <row r="2400" spans="1:3" ht="15.75" customHeight="1" x14ac:dyDescent="0.25">
      <c r="A2400" s="2" t="s">
        <v>2402</v>
      </c>
      <c r="B2400" s="3" t="s">
        <v>2</v>
      </c>
      <c r="C2400" s="2" t="str">
        <f ca="1">IFERROR(__xludf.DUMMYFUNCTION("GOOGLETRANSLATE(A2400,""bn"",""en"")"),"Light weight but may have some problem with temperature control")</f>
        <v>Light weight but may have some problem with temperature control</v>
      </c>
    </row>
    <row r="2401" spans="1:3" ht="15.75" customHeight="1" x14ac:dyDescent="0.25">
      <c r="A2401" s="2" t="s">
        <v>2403</v>
      </c>
      <c r="B2401" s="3" t="s">
        <v>2</v>
      </c>
      <c r="C2401" s="2" t="str">
        <f ca="1">IFERROR(__xludf.DUMMYFUNCTION("GOOGLETRANSLATE(A2401,""bn"",""en"")"),"The sound variety is there but sounds a bit artificial")</f>
        <v>The sound variety is there but sounds a bit artificial</v>
      </c>
    </row>
    <row r="2402" spans="1:3" ht="15.75" customHeight="1" x14ac:dyDescent="0.25">
      <c r="A2402" s="2" t="s">
        <v>2404</v>
      </c>
      <c r="B2402" s="3" t="s">
        <v>4</v>
      </c>
      <c r="C2402" s="2" t="str">
        <f ca="1">IFERROR(__xludf.DUMMYFUNCTION("GOOGLETRANSLATE(A2402,""bn"",""en"")"),"Overall this pad is really awesome and best to use")</f>
        <v>Overall this pad is really awesome and best to use</v>
      </c>
    </row>
    <row r="2403" spans="1:3" ht="15.75" customHeight="1" x14ac:dyDescent="0.25">
      <c r="A2403" s="2" t="s">
        <v>2405</v>
      </c>
      <c r="B2403" s="3" t="s">
        <v>4</v>
      </c>
      <c r="C2403" s="2" t="str">
        <f ca="1">IFERROR(__xludf.DUMMYFUNCTION("GOOGLETRANSLATE(A2403,""bn"",""en"")"),"The teapot is quite sturdy and nicely decorated")</f>
        <v>The teapot is quite sturdy and nicely decorated</v>
      </c>
    </row>
    <row r="2404" spans="1:3" ht="15.75" customHeight="1" x14ac:dyDescent="0.25">
      <c r="A2404" s="2" t="s">
        <v>2406</v>
      </c>
      <c r="B2404" s="3" t="s">
        <v>2</v>
      </c>
      <c r="C2404" s="2" t="str">
        <f ca="1">IFERROR(__xludf.DUMMYFUNCTION("GOOGLETRANSLATE(A2404,""bn"",""en"")"),"Although the yield of the new seeds was fairly good, some plants had problems")</f>
        <v>Although the yield of the new seeds was fairly good, some plants had problems</v>
      </c>
    </row>
    <row r="2405" spans="1:3" ht="15.75" customHeight="1" x14ac:dyDescent="0.25">
      <c r="A2405" s="2" t="s">
        <v>2407</v>
      </c>
      <c r="B2405" s="3" t="s">
        <v>6</v>
      </c>
      <c r="C2405" s="2" t="str">
        <f ca="1">IFERROR(__xludf.DUMMYFUNCTION("GOOGLETRANSLATE(A2405,""bn"",""en"")"),"The backpack's shoulder straps dig into my shoulders uncomfortably causing pain")</f>
        <v>The backpack's shoulder straps dig into my shoulders uncomfortably causing pain</v>
      </c>
    </row>
    <row r="2406" spans="1:3" ht="15.75" customHeight="1" x14ac:dyDescent="0.25">
      <c r="A2406" s="2" t="s">
        <v>2408</v>
      </c>
      <c r="B2406" s="3" t="s">
        <v>6</v>
      </c>
      <c r="C2406" s="2" t="str">
        <f ca="1">IFERROR(__xludf.DUMMYFUNCTION("GOOGLETRANSLATE(A2406,""bn"",""en"")"),"The build quality of the phone feels cheap and flimsy and lacks durability")</f>
        <v>The build quality of the phone feels cheap and flimsy and lacks durability</v>
      </c>
    </row>
    <row r="2407" spans="1:3" ht="15.75" customHeight="1" x14ac:dyDescent="0.25">
      <c r="A2407" s="2" t="s">
        <v>2409</v>
      </c>
      <c r="B2407" s="3" t="s">
        <v>2</v>
      </c>
      <c r="C2407" s="2" t="str">
        <f ca="1">IFERROR(__xludf.DUMMYFUNCTION("GOOGLETRANSLATE(A2407,""bn"",""en"")"),"Plant growth is slightly better but the effect of fertilizer was not much")</f>
        <v>Plant growth is slightly better but the effect of fertilizer was not much</v>
      </c>
    </row>
    <row r="2408" spans="1:3" ht="15.75" customHeight="1" x14ac:dyDescent="0.25">
      <c r="A2408" s="2" t="s">
        <v>2410</v>
      </c>
      <c r="B2408" s="3" t="s">
        <v>2</v>
      </c>
      <c r="C2408" s="2" t="str">
        <f ca="1">IFERROR(__xludf.DUMMYFUNCTION("GOOGLETRANSLATE(A2408,""bn"",""en"")"),"Fertilizer was applied to the land but the quality of the yield was not that good")</f>
        <v>Fertilizer was applied to the land but the quality of the yield was not that good</v>
      </c>
    </row>
    <row r="2409" spans="1:3" ht="15.75" customHeight="1" x14ac:dyDescent="0.25">
      <c r="A2409" s="2" t="s">
        <v>2411</v>
      </c>
      <c r="B2409" s="3" t="s">
        <v>4</v>
      </c>
      <c r="C2409" s="2" t="str">
        <f ca="1">IFERROR(__xludf.DUMMYFUNCTION("GOOGLETRANSLATE(A2409,""bn"",""en"")"),"Garment cover is provided with wardrobe")</f>
        <v>Garment cover is provided with wardrobe</v>
      </c>
    </row>
    <row r="2410" spans="1:3" ht="15.75" customHeight="1" x14ac:dyDescent="0.25">
      <c r="A2410" s="2" t="s">
        <v>2412</v>
      </c>
      <c r="B2410" s="3" t="s">
        <v>2</v>
      </c>
      <c r="C2410" s="2" t="str">
        <f ca="1">IFERROR(__xludf.DUMMYFUNCTION("GOOGLETRANSLATE(A2410,""bn"",""en"")"),"Available in different shapes but all have the same design")</f>
        <v>Available in different shapes but all have the same design</v>
      </c>
    </row>
    <row r="2411" spans="1:3" ht="15.75" customHeight="1" x14ac:dyDescent="0.25">
      <c r="A2411" s="2" t="s">
        <v>2413</v>
      </c>
      <c r="B2411" s="3" t="s">
        <v>4</v>
      </c>
      <c r="C2411" s="2" t="str">
        <f ca="1">IFERROR(__xludf.DUMMYFUNCTION("GOOGLETRANSLATE(A2411,""bn"",""en"")"),"This chair is very sturdy")</f>
        <v>This chair is very sturdy</v>
      </c>
    </row>
    <row r="2412" spans="1:3" ht="15.75" customHeight="1" x14ac:dyDescent="0.25">
      <c r="A2412" s="2" t="s">
        <v>2414</v>
      </c>
      <c r="B2412" s="3" t="s">
        <v>2</v>
      </c>
      <c r="C2412" s="2" t="str">
        <f ca="1">IFERROR(__xludf.DUMMYFUNCTION("GOOGLETRANSLATE(A2412,""bn"",""en"")"),"There are different vehicle shapes but very small")</f>
        <v>There are different vehicle shapes but very small</v>
      </c>
    </row>
    <row r="2413" spans="1:3" ht="15.75" customHeight="1" x14ac:dyDescent="0.25">
      <c r="A2413" s="2" t="s">
        <v>2415</v>
      </c>
      <c r="B2413" s="3" t="s">
        <v>2</v>
      </c>
      <c r="C2413" s="2" t="str">
        <f ca="1">IFERROR(__xludf.DUMMYFUNCTION("GOOGLETRANSLATE(A2413,""bn"",""en"")"),"The digital scale measures weight but the display is small")</f>
        <v>The digital scale measures weight but the display is small</v>
      </c>
    </row>
    <row r="2414" spans="1:3" ht="15.75" customHeight="1" x14ac:dyDescent="0.25">
      <c r="A2414" s="2" t="s">
        <v>2416</v>
      </c>
      <c r="B2414" s="3" t="s">
        <v>2</v>
      </c>
      <c r="C2414" s="2" t="str">
        <f ca="1">IFERROR(__xludf.DUMMYFUNCTION("GOOGLETRANSLATE(A2414,""bn"",""en"")"),"Physical pain is reduced by using the product")</f>
        <v>Physical pain is reduced by using the product</v>
      </c>
    </row>
    <row r="2415" spans="1:3" ht="15.75" customHeight="1" x14ac:dyDescent="0.25">
      <c r="A2415" s="2" t="s">
        <v>2417</v>
      </c>
      <c r="B2415" s="3" t="s">
        <v>4</v>
      </c>
      <c r="C2415" s="2" t="str">
        <f ca="1">IFERROR(__xludf.DUMMYFUNCTION("GOOGLETRANSLATE(A2415,""bn"",""en"")"),"The girl draws very well")</f>
        <v>The girl draws very well</v>
      </c>
    </row>
    <row r="2416" spans="1:3" ht="15.75" customHeight="1" x14ac:dyDescent="0.25">
      <c r="A2416" s="2" t="s">
        <v>2418</v>
      </c>
      <c r="B2416" s="3" t="s">
        <v>2</v>
      </c>
      <c r="C2416" s="2" t="str">
        <f ca="1">IFERROR(__xludf.DUMMYFUNCTION("GOOGLETRANSLATE(A2416,""bn"",""en"")"),"Using a makeup brush is an experience")</f>
        <v>Using a makeup brush is an experience</v>
      </c>
    </row>
    <row r="2417" spans="1:3" ht="15.75" customHeight="1" x14ac:dyDescent="0.25">
      <c r="A2417" s="2" t="s">
        <v>2419</v>
      </c>
      <c r="B2417" s="3" t="s">
        <v>6</v>
      </c>
      <c r="C2417" s="2" t="str">
        <f ca="1">IFERROR(__xludf.DUMMYFUNCTION("GOOGLETRANSLATE(A2417,""bn"",""en"")")," The power cord is too short and requires an extension cord for convenient placement")</f>
        <v xml:space="preserve"> The power cord is too short and requires an extension cord for convenient placement</v>
      </c>
    </row>
    <row r="2418" spans="1:3" ht="15.75" customHeight="1" x14ac:dyDescent="0.25">
      <c r="A2418" s="2" t="s">
        <v>2420</v>
      </c>
      <c r="B2418" s="3" t="s">
        <v>4</v>
      </c>
      <c r="C2418" s="2" t="str">
        <f ca="1">IFERROR(__xludf.DUMMYFUNCTION("GOOGLETRANSLATE(A2418,""bn"",""en"")"),"Secure Apple Airtag Holder")</f>
        <v>Secure Apple Airtag Holder</v>
      </c>
    </row>
    <row r="2419" spans="1:3" ht="15.75" customHeight="1" x14ac:dyDescent="0.25">
      <c r="A2419" s="2" t="s">
        <v>2421</v>
      </c>
      <c r="B2419" s="3" t="s">
        <v>2</v>
      </c>
      <c r="C2419" s="2" t="str">
        <f ca="1">IFERROR(__xludf.DUMMYFUNCTION("GOOGLETRANSLATE(A2419,""bn"",""en"")"),"The laptop stand is usable but difficult to adjust")</f>
        <v>The laptop stand is usable but difficult to adjust</v>
      </c>
    </row>
    <row r="2420" spans="1:3" ht="15.75" customHeight="1" x14ac:dyDescent="0.25">
      <c r="A2420" s="2" t="s">
        <v>2422</v>
      </c>
      <c r="B2420" s="3" t="s">
        <v>4</v>
      </c>
      <c r="C2420" s="2" t="str">
        <f ca="1">IFERROR(__xludf.DUMMYFUNCTION("GOOGLETRANSLATE(A2420,""bn"",""en"")"),"All the teachers in our school are always helpful")</f>
        <v>All the teachers in our school are always helpful</v>
      </c>
    </row>
    <row r="2421" spans="1:3" ht="15.75" customHeight="1" x14ac:dyDescent="0.25">
      <c r="A2421" s="2" t="s">
        <v>2423</v>
      </c>
      <c r="B2421" s="3" t="s">
        <v>6</v>
      </c>
      <c r="C2421" s="2" t="str">
        <f ca="1">IFERROR(__xludf.DUMMYFUNCTION("GOOGLETRANSLATE(A2421,""bn"",""en"")")," The dynamic range makes it challenging to accurately capture scenes with high contrast")</f>
        <v xml:space="preserve"> The dynamic range makes it challenging to accurately capture scenes with high contrast</v>
      </c>
    </row>
    <row r="2422" spans="1:3" ht="15.75" customHeight="1" x14ac:dyDescent="0.25">
      <c r="A2422" s="2" t="s">
        <v>2424</v>
      </c>
      <c r="B2422" s="3" t="s">
        <v>2</v>
      </c>
      <c r="C2422" s="2" t="str">
        <f ca="1">IFERROR(__xludf.DUMMYFUNCTION("GOOGLETRANSLATE(A2422,""bn"",""en"")"),"The microwave cover prevents spills but is difficult to wash")</f>
        <v>The microwave cover prevents spills but is difficult to wash</v>
      </c>
    </row>
    <row r="2423" spans="1:3" ht="15.75" customHeight="1" x14ac:dyDescent="0.25">
      <c r="A2423" s="2" t="s">
        <v>2425</v>
      </c>
      <c r="B2423" s="3" t="s">
        <v>4</v>
      </c>
      <c r="C2423" s="2" t="str">
        <f ca="1">IFERROR(__xludf.DUMMYFUNCTION("GOOGLETRANSLATE(A2423,""bn"",""en"")"),"Thanks to the waterproof fabric, the water will run off quickly so you don't have to worry about a wet umbrella")</f>
        <v>Thanks to the waterproof fabric, the water will run off quickly so you don't have to worry about a wet umbrella</v>
      </c>
    </row>
    <row r="2424" spans="1:3" ht="15.75" customHeight="1" x14ac:dyDescent="0.25">
      <c r="A2424" s="2" t="s">
        <v>2426</v>
      </c>
      <c r="B2424" s="3" t="s">
        <v>2</v>
      </c>
      <c r="C2424" s="2" t="str">
        <f ca="1">IFERROR(__xludf.DUMMYFUNCTION("GOOGLETRANSLATE(A2424,""bn"",""en"")"),"It is quite effective for fresh breath but sometimes the excess menthol causes discomfort")</f>
        <v>It is quite effective for fresh breath but sometimes the excess menthol causes discomfort</v>
      </c>
    </row>
    <row r="2425" spans="1:3" ht="15.75" customHeight="1" x14ac:dyDescent="0.25">
      <c r="A2425" s="2" t="s">
        <v>2427</v>
      </c>
      <c r="B2425" s="3" t="s">
        <v>2</v>
      </c>
      <c r="C2425" s="2" t="str">
        <f ca="1">IFERROR(__xludf.DUMMYFUNCTION("GOOGLETRANSLATE(A2425,""bn"",""en"")"),"The texture of the biscuit is also quite soft but does not melt at all")</f>
        <v>The texture of the biscuit is also quite soft but does not melt at all</v>
      </c>
    </row>
    <row r="2426" spans="1:3" ht="15.75" customHeight="1" x14ac:dyDescent="0.25">
      <c r="A2426" s="2" t="s">
        <v>2428</v>
      </c>
      <c r="B2426" s="3" t="s">
        <v>2</v>
      </c>
      <c r="C2426" s="2" t="str">
        <f ca="1">IFERROR(__xludf.DUMMYFUNCTION("GOOGLETRANSLATE(A2426,""bn"",""en"")"),"A portable photo printer prints photos but runs out of ink quickly")</f>
        <v>A portable photo printer prints photos but runs out of ink quickly</v>
      </c>
    </row>
    <row r="2427" spans="1:3" ht="15.75" customHeight="1" x14ac:dyDescent="0.25">
      <c r="A2427" s="2" t="s">
        <v>2429</v>
      </c>
      <c r="B2427" s="3" t="s">
        <v>6</v>
      </c>
      <c r="C2427" s="2" t="str">
        <f ca="1">IFERROR(__xludf.DUMMYFUNCTION("GOOGLETRANSLATE(A2427,""bn"",""en"")"),"Complicated and poorly made waste of money")</f>
        <v>Complicated and poorly made waste of money</v>
      </c>
    </row>
    <row r="2428" spans="1:3" ht="15.75" customHeight="1" x14ac:dyDescent="0.25">
      <c r="A2428" s="2" t="s">
        <v>2430</v>
      </c>
      <c r="B2428" s="3" t="s">
        <v>4</v>
      </c>
      <c r="C2428" s="2" t="str">
        <f ca="1">IFERROR(__xludf.DUMMYFUNCTION("GOOGLETRANSLATE(A2428,""bn"",""en"")"),"The makeup kit is perfect as a gift")</f>
        <v>The makeup kit is perfect as a gift</v>
      </c>
    </row>
    <row r="2429" spans="1:3" ht="15.75" customHeight="1" x14ac:dyDescent="0.25">
      <c r="A2429" s="2" t="s">
        <v>2431</v>
      </c>
      <c r="B2429" s="3" t="s">
        <v>2</v>
      </c>
      <c r="C2429" s="2" t="str">
        <f ca="1">IFERROR(__xludf.DUMMYFUNCTION("GOOGLETRANSLATE(A2429,""bn"",""en"")"),"When stretched, it lengthens but does not return to its original state")</f>
        <v>When stretched, it lengthens but does not return to its original state</v>
      </c>
    </row>
    <row r="2430" spans="1:3" ht="15.75" customHeight="1" x14ac:dyDescent="0.25">
      <c r="A2430" s="2" t="s">
        <v>2432</v>
      </c>
      <c r="B2430" s="3" t="s">
        <v>4</v>
      </c>
      <c r="C2430" s="2" t="str">
        <f ca="1">IFERROR(__xludf.DUMMYFUNCTION("GOOGLETRANSLATE(A2430,""bn"",""en"")"),"Apart from daily use, this pencil is also very useful for exams")</f>
        <v>Apart from daily use, this pencil is also very useful for exams</v>
      </c>
    </row>
    <row r="2431" spans="1:3" ht="15.75" customHeight="1" x14ac:dyDescent="0.25">
      <c r="A2431" s="2" t="s">
        <v>2433</v>
      </c>
      <c r="B2431" s="3" t="s">
        <v>2</v>
      </c>
      <c r="C2431" s="2" t="str">
        <f ca="1">IFERROR(__xludf.DUMMYFUNCTION("GOOGLETRANSLATE(A2431,""bn"",""en"")"),"Appreciate the product quality but dissatisfied with the delivery process")</f>
        <v>Appreciate the product quality but dissatisfied with the delivery process</v>
      </c>
    </row>
    <row r="2432" spans="1:3" ht="15.75" customHeight="1" x14ac:dyDescent="0.25">
      <c r="A2432" s="2" t="s">
        <v>2434</v>
      </c>
      <c r="B2432" s="3" t="s">
        <v>6</v>
      </c>
      <c r="C2432" s="2" t="str">
        <f ca="1">IFERROR(__xludf.DUMMYFUNCTION("GOOGLETRANSLATE(A2432,""bn"",""en"")")," Ear tips wear out quickly over time losing their shape and seal compromising sound quality and comfort.")</f>
        <v xml:space="preserve"> Ear tips wear out quickly over time losing their shape and seal compromising sound quality and comfort.</v>
      </c>
    </row>
    <row r="2433" spans="1:3" ht="15.75" customHeight="1" x14ac:dyDescent="0.25">
      <c r="A2433" s="2" t="s">
        <v>2435</v>
      </c>
      <c r="B2433" s="3" t="s">
        <v>4</v>
      </c>
      <c r="C2433" s="2" t="str">
        <f ca="1">IFERROR(__xludf.DUMMYFUNCTION("GOOGLETRANSLATE(A2433,""bn"",""en"")"),"The flower created a happy atmosphere in my room")</f>
        <v>The flower created a happy atmosphere in my room</v>
      </c>
    </row>
    <row r="2434" spans="1:3" ht="15.75" customHeight="1" x14ac:dyDescent="0.25">
      <c r="A2434" s="2" t="s">
        <v>2436</v>
      </c>
      <c r="B2434" s="3" t="s">
        <v>6</v>
      </c>
      <c r="C2434" s="2" t="str">
        <f ca="1">IFERROR(__xludf.DUMMYFUNCTION("GOOGLETRANSLATE(A2434,""bn"",""en"")"),"The dress comes with a noticeable tear in the fabric which is not mentioned in the product description")</f>
        <v>The dress comes with a noticeable tear in the fabric which is not mentioned in the product description</v>
      </c>
    </row>
    <row r="2435" spans="1:3" ht="15.75" customHeight="1" x14ac:dyDescent="0.25">
      <c r="A2435" s="2" t="s">
        <v>2437</v>
      </c>
      <c r="B2435" s="3" t="s">
        <v>6</v>
      </c>
      <c r="C2435" s="2" t="str">
        <f ca="1">IFERROR(__xludf.DUMMYFUNCTION("GOOGLETRANSLATE(A2435,""bn"",""en"")"),"Phone screen responsiveness deteriorates over time resulting in lags or missed taps")</f>
        <v>Phone screen responsiveness deteriorates over time resulting in lags or missed taps</v>
      </c>
    </row>
    <row r="2436" spans="1:3" ht="15.75" customHeight="1" x14ac:dyDescent="0.25">
      <c r="A2436" s="2" t="s">
        <v>2438</v>
      </c>
      <c r="B2436" s="3" t="s">
        <v>2</v>
      </c>
      <c r="C2436" s="2" t="str">
        <f ca="1">IFERROR(__xludf.DUMMYFUNCTION("GOOGLETRANSLATE(A2436,""bn"",""en"")"),"Doubt whether it will survive long term use")</f>
        <v>Doubt whether it will survive long term use</v>
      </c>
    </row>
    <row r="2437" spans="1:3" ht="15.75" customHeight="1" x14ac:dyDescent="0.25">
      <c r="A2437" s="2" t="s">
        <v>2439</v>
      </c>
      <c r="B2437" s="3" t="s">
        <v>4</v>
      </c>
      <c r="C2437" s="2" t="str">
        <f ca="1">IFERROR(__xludf.DUMMYFUNCTION("GOOGLETRANSLATE(A2437,""bn"",""en"")"),"Alhamdulillah thank you very much he gave a very good quality charger everyone can take it without hesitation")</f>
        <v>Alhamdulillah thank you very much he gave a very good quality charger everyone can take it without hesitation</v>
      </c>
    </row>
    <row r="2438" spans="1:3" ht="15.75" customHeight="1" x14ac:dyDescent="0.25">
      <c r="A2438" s="2" t="s">
        <v>2440</v>
      </c>
      <c r="B2438" s="3" t="s">
        <v>6</v>
      </c>
      <c r="C2438" s="2" t="str">
        <f ca="1">IFERROR(__xludf.DUMMYFUNCTION("GOOGLETRANSLATE(A2438,""bn"",""en"")"),"The canvas material had visible defects that affected the final appearance")</f>
        <v>The canvas material had visible defects that affected the final appearance</v>
      </c>
    </row>
    <row r="2439" spans="1:3" ht="15.75" customHeight="1" x14ac:dyDescent="0.25">
      <c r="A2439" s="2" t="s">
        <v>2441</v>
      </c>
      <c r="B2439" s="3" t="s">
        <v>4</v>
      </c>
      <c r="C2439" s="2" t="str">
        <f ca="1">IFERROR(__xludf.DUMMYFUNCTION("GOOGLETRANSLATE(A2439,""bn"",""en"")"),"Curcuma joint guard is very good and pains go away after taking it")</f>
        <v>Curcuma joint guard is very good and pains go away after taking it</v>
      </c>
    </row>
    <row r="2440" spans="1:3" ht="15.75" customHeight="1" x14ac:dyDescent="0.25">
      <c r="A2440" s="2" t="s">
        <v>2442</v>
      </c>
      <c r="B2440" s="3" t="s">
        <v>6</v>
      </c>
      <c r="C2440" s="2" t="str">
        <f ca="1">IFERROR(__xludf.DUMMYFUNCTION("GOOGLETRANSLATE(A2440,""bn"",""en"")"),"The item's construction felt cheap and poorly made")</f>
        <v>The item's construction felt cheap and poorly made</v>
      </c>
    </row>
    <row r="2441" spans="1:3" ht="15.75" customHeight="1" x14ac:dyDescent="0.25">
      <c r="A2441" s="2" t="s">
        <v>2443</v>
      </c>
      <c r="B2441" s="3" t="s">
        <v>6</v>
      </c>
      <c r="C2441" s="2" t="str">
        <f ca="1">IFERROR(__xludf.DUMMYFUNCTION("GOOGLETRANSLATE(A2441,""bn"",""en"")"),"Gigabyte Bm Ors Elite Untrusted BIOS Unstable System")</f>
        <v>Gigabyte Bm Ors Elite Untrusted BIOS Unstable System</v>
      </c>
    </row>
    <row r="2442" spans="1:3" ht="15.75" customHeight="1" x14ac:dyDescent="0.25">
      <c r="A2442" s="2" t="s">
        <v>2444</v>
      </c>
      <c r="B2442" s="3" t="s">
        <v>4</v>
      </c>
      <c r="C2442" s="2" t="str">
        <f ca="1">IFERROR(__xludf.DUMMYFUNCTION("GOOGLETRANSLATE(A2442,""bn"",""en"")"),"Suitable for both formal and casual occasions")</f>
        <v>Suitable for both formal and casual occasions</v>
      </c>
    </row>
    <row r="2443" spans="1:3" ht="15.75" customHeight="1" x14ac:dyDescent="0.25">
      <c r="A2443" s="2" t="s">
        <v>2445</v>
      </c>
      <c r="B2443" s="3" t="s">
        <v>2</v>
      </c>
      <c r="C2443" s="2" t="str">
        <f ca="1">IFERROR(__xludf.DUMMYFUNCTION("GOOGLETRANSLATE(A2443,""bn"",""en"")"),"A bit helpful in boosting confidence")</f>
        <v>A bit helpful in boosting confidence</v>
      </c>
    </row>
    <row r="2444" spans="1:3" ht="15.75" customHeight="1" x14ac:dyDescent="0.25">
      <c r="A2444" s="2" t="s">
        <v>2446</v>
      </c>
      <c r="B2444" s="3" t="s">
        <v>6</v>
      </c>
      <c r="C2444" s="2" t="str">
        <f ca="1">IFERROR(__xludf.DUMMYFUNCTION("GOOGLETRANSLATE(A2444,""bn"",""en"")"),"The tea leaves were very finely ground resulting in a cloudy brew")</f>
        <v>The tea leaves were very finely ground resulting in a cloudy brew</v>
      </c>
    </row>
    <row r="2445" spans="1:3" ht="15.75" customHeight="1" x14ac:dyDescent="0.25">
      <c r="A2445" s="2" t="s">
        <v>2447</v>
      </c>
      <c r="B2445" s="3" t="s">
        <v>4</v>
      </c>
      <c r="C2445" s="2" t="str">
        <f ca="1">IFERROR(__xludf.DUMMYFUNCTION("GOOGLETRANSLATE(A2445,""bn"",""en"")"),"Cupboard doors open and close smoothly")</f>
        <v>Cupboard doors open and close smoothly</v>
      </c>
    </row>
    <row r="2446" spans="1:3" ht="15.75" customHeight="1" x14ac:dyDescent="0.25">
      <c r="A2446" s="2" t="s">
        <v>2448</v>
      </c>
      <c r="B2446" s="3" t="s">
        <v>2</v>
      </c>
      <c r="C2446" s="2" t="str">
        <f ca="1">IFERROR(__xludf.DUMMYFUNCTION("GOOGLETRANSLATE(A2446,""bn"",""en"")"),"If filled with excess water, it becomes heavy")</f>
        <v>If filled with excess water, it becomes heavy</v>
      </c>
    </row>
    <row r="2447" spans="1:3" ht="15.75" customHeight="1" x14ac:dyDescent="0.25">
      <c r="A2447" s="2" t="s">
        <v>2449</v>
      </c>
      <c r="B2447" s="3" t="s">
        <v>6</v>
      </c>
      <c r="C2447" s="2" t="str">
        <f ca="1">IFERROR(__xludf.DUMMYFUNCTION("GOOGLETRANSLATE(A2447,""bn"",""en"")"),"The handle of the frying pan comes loose creating a safety hazard when handling hot food")</f>
        <v>The handle of the frying pan comes loose creating a safety hazard when handling hot food</v>
      </c>
    </row>
    <row r="2448" spans="1:3" ht="15.75" customHeight="1" x14ac:dyDescent="0.25">
      <c r="A2448" s="2" t="s">
        <v>2450</v>
      </c>
      <c r="B2448" s="3" t="s">
        <v>2</v>
      </c>
      <c r="C2448" s="2" t="str">
        <f ca="1">IFERROR(__xludf.DUMMYFUNCTION("GOOGLETRANSLATE(A2448,""bn"",""en"")"),"Good for the price but has some flaws")</f>
        <v>Good for the price but has some flaws</v>
      </c>
    </row>
    <row r="2449" spans="1:3" ht="15.75" customHeight="1" x14ac:dyDescent="0.25">
      <c r="A2449" s="2" t="s">
        <v>2451</v>
      </c>
      <c r="B2449" s="3" t="s">
        <v>2</v>
      </c>
      <c r="C2449" s="2" t="str">
        <f ca="1">IFERROR(__xludf.DUMMYFUNCTION("GOOGLETRANSLATE(A2449,""bn"",""en"")"),"Clothes are stylish but clothes are not durable")</f>
        <v>Clothes are stylish but clothes are not durable</v>
      </c>
    </row>
    <row r="2450" spans="1:3" ht="15.75" customHeight="1" x14ac:dyDescent="0.25">
      <c r="A2450" s="2" t="s">
        <v>2452</v>
      </c>
      <c r="B2450" s="3" t="s">
        <v>6</v>
      </c>
      <c r="C2450" s="2" t="str">
        <f ca="1">IFERROR(__xludf.DUMMYFUNCTION("GOOGLETRANSLATE(A2450,""bn"",""en"")"),"Hemming spoils the uneven and messy overall look")</f>
        <v>Hemming spoils the uneven and messy overall look</v>
      </c>
    </row>
    <row r="2451" spans="1:3" ht="15.75" customHeight="1" x14ac:dyDescent="0.25">
      <c r="A2451" s="2" t="s">
        <v>2453</v>
      </c>
      <c r="B2451" s="3" t="s">
        <v>6</v>
      </c>
      <c r="C2451" s="2" t="str">
        <f ca="1">IFERROR(__xludf.DUMMYFUNCTION("GOOGLETRANSLATE(A2451,""bn"",""en"")"),"The fabric feels stiff and unpleasant to the touch and is a poor quality material")</f>
        <v>The fabric feels stiff and unpleasant to the touch and is a poor quality material</v>
      </c>
    </row>
    <row r="2452" spans="1:3" ht="15.75" customHeight="1" x14ac:dyDescent="0.25">
      <c r="A2452" s="2" t="s">
        <v>2454</v>
      </c>
      <c r="B2452" s="3" t="s">
        <v>4</v>
      </c>
      <c r="C2452" s="2" t="str">
        <f ca="1">IFERROR(__xludf.DUMMYFUNCTION("GOOGLETRANSLATE(A2452,""bn"",""en"")"),"The corners of the bookcase are nicely rounded which adds to the safety")</f>
        <v>The corners of the bookcase are nicely rounded which adds to the safety</v>
      </c>
    </row>
    <row r="2453" spans="1:3" ht="15.75" customHeight="1" x14ac:dyDescent="0.25">
      <c r="A2453" s="2" t="s">
        <v>2455</v>
      </c>
      <c r="B2453" s="3" t="s">
        <v>2</v>
      </c>
      <c r="C2453" s="2" t="str">
        <f ca="1">IFERROR(__xludf.DUMMYFUNCTION("GOOGLETRANSLATE(A2453,""bn"",""en"")"),"The quality was not so good")</f>
        <v>The quality was not so good</v>
      </c>
    </row>
    <row r="2454" spans="1:3" ht="15.75" customHeight="1" x14ac:dyDescent="0.25">
      <c r="A2454" s="2" t="s">
        <v>2456</v>
      </c>
      <c r="B2454" s="3" t="s">
        <v>6</v>
      </c>
      <c r="C2454" s="2" t="str">
        <f ca="1">IFERROR(__xludf.DUMMYFUNCTION("GOOGLETRANSLATE(A2454,""bn"",""en"")"),"Slow heating time means waiting ages for hot water")</f>
        <v>Slow heating time means waiting ages for hot water</v>
      </c>
    </row>
    <row r="2455" spans="1:3" ht="15.75" customHeight="1" x14ac:dyDescent="0.25">
      <c r="A2455" s="2" t="s">
        <v>2457</v>
      </c>
      <c r="B2455" s="3" t="s">
        <v>4</v>
      </c>
      <c r="C2455" s="2" t="str">
        <f ca="1">IFERROR(__xludf.DUMMYFUNCTION("GOOGLETRANSLATE(A2455,""bn"",""en"")"),"The author's thoughts are very deep")</f>
        <v>The author's thoughts are very deep</v>
      </c>
    </row>
    <row r="2456" spans="1:3" ht="15.75" customHeight="1" x14ac:dyDescent="0.25">
      <c r="A2456" s="2" t="s">
        <v>2458</v>
      </c>
      <c r="B2456" s="3" t="s">
        <v>6</v>
      </c>
      <c r="C2456" s="2" t="str">
        <f ca="1">IFERROR(__xludf.DUMMYFUNCTION("GOOGLETRANSLATE(A2456,""bn"",""en"")"),"Wireless headphones tend to have poor sound quality")</f>
        <v>Wireless headphones tend to have poor sound quality</v>
      </c>
    </row>
    <row r="2457" spans="1:3" ht="15.75" customHeight="1" x14ac:dyDescent="0.25">
      <c r="A2457" s="2" t="s">
        <v>2459</v>
      </c>
      <c r="B2457" s="3" t="s">
        <v>6</v>
      </c>
      <c r="C2457" s="2" t="str">
        <f ca="1">IFERROR(__xludf.DUMMYFUNCTION("GOOGLETRANSLATE(A2457,""bn"",""en"")"),"Poorly made lacks durability")</f>
        <v>Poorly made lacks durability</v>
      </c>
    </row>
    <row r="2458" spans="1:3" ht="15.75" customHeight="1" x14ac:dyDescent="0.25">
      <c r="A2458" s="2" t="s">
        <v>2460</v>
      </c>
      <c r="B2458" s="3" t="s">
        <v>2</v>
      </c>
      <c r="C2458" s="2" t="str">
        <f ca="1">IFERROR(__xludf.DUMMYFUNCTION("GOOGLETRANSLATE(A2458,""bn"",""en"")"),"Flags of different countries are shown but the colors are not correct")</f>
        <v>Flags of different countries are shown but the colors are not correct</v>
      </c>
    </row>
    <row r="2459" spans="1:3" ht="15.75" customHeight="1" x14ac:dyDescent="0.25">
      <c r="A2459" s="2" t="s">
        <v>2461</v>
      </c>
      <c r="B2459" s="3" t="s">
        <v>6</v>
      </c>
      <c r="C2459" s="2" t="str">
        <f ca="1">IFERROR(__xludf.DUMMYFUNCTION("GOOGLETRANSLATE(A2459,""bn"",""en"")"),"Drip mess when pouring into automatic coffee maker's carafe")</f>
        <v>Drip mess when pouring into automatic coffee maker's carafe</v>
      </c>
    </row>
    <row r="2460" spans="1:3" ht="15.75" customHeight="1" x14ac:dyDescent="0.25">
      <c r="A2460" s="2" t="s">
        <v>2462</v>
      </c>
      <c r="B2460" s="3" t="s">
        <v>2</v>
      </c>
      <c r="C2460" s="2" t="str">
        <f ca="1">IFERROR(__xludf.DUMMYFUNCTION("GOOGLETRANSLATE(A2460,""bn"",""en"")"),"Instructions are provided on the packaging")</f>
        <v>Instructions are provided on the packaging</v>
      </c>
    </row>
    <row r="2461" spans="1:3" ht="15.75" customHeight="1" x14ac:dyDescent="0.25">
      <c r="A2461" s="2" t="s">
        <v>2463</v>
      </c>
      <c r="B2461" s="3" t="s">
        <v>4</v>
      </c>
      <c r="C2461" s="2" t="str">
        <f ca="1">IFERROR(__xludf.DUMMYFUNCTION("GOOGLETRANSLATE(A2461,""bn"",""en"")"),"The brush is suitable for different hair types and everyone in my family can use it")</f>
        <v>The brush is suitable for different hair types and everyone in my family can use it</v>
      </c>
    </row>
    <row r="2462" spans="1:3" ht="15.75" customHeight="1" x14ac:dyDescent="0.25">
      <c r="A2462" s="2" t="s">
        <v>2464</v>
      </c>
      <c r="B2462" s="3" t="s">
        <v>2</v>
      </c>
      <c r="C2462" s="2" t="str">
        <f ca="1">IFERROR(__xludf.DUMMYFUNCTION("GOOGLETRANSLATE(A2462,""bn"",""en"")"),"Somewhat suits the home decor")</f>
        <v>Somewhat suits the home decor</v>
      </c>
    </row>
    <row r="2463" spans="1:3" ht="15.75" customHeight="1" x14ac:dyDescent="0.25">
      <c r="A2463" s="2" t="s">
        <v>2465</v>
      </c>
      <c r="B2463" s="3" t="s">
        <v>2</v>
      </c>
      <c r="C2463" s="2" t="str">
        <f ca="1">IFERROR(__xludf.DUMMYFUNCTION("GOOGLETRANSLATE(A2463,""bn"",""en"")"),"The bottle design is simple")</f>
        <v>The bottle design is simple</v>
      </c>
    </row>
    <row r="2464" spans="1:3" ht="15.75" customHeight="1" x14ac:dyDescent="0.25">
      <c r="A2464" s="2" t="s">
        <v>2466</v>
      </c>
      <c r="B2464" s="3" t="s">
        <v>6</v>
      </c>
      <c r="C2464" s="2" t="str">
        <f ca="1">IFERROR(__xludf.DUMMYFUNCTION("GOOGLETRANSLATE(A2464,""bn"",""en"")"),"The dishwasher safe claim is disproven as it disintegrates after one wash")</f>
        <v>The dishwasher safe claim is disproven as it disintegrates after one wash</v>
      </c>
    </row>
    <row r="2465" spans="1:3" ht="15.75" customHeight="1" x14ac:dyDescent="0.25">
      <c r="A2465" s="2" t="s">
        <v>2467</v>
      </c>
      <c r="B2465" s="3" t="s">
        <v>6</v>
      </c>
      <c r="C2465" s="2" t="str">
        <f ca="1">IFERROR(__xludf.DUMMYFUNCTION("GOOGLETRANSLATE(A2465,""bn"",""en"")"),"Lack of overwhelming image imagination")</f>
        <v>Lack of overwhelming image imagination</v>
      </c>
    </row>
    <row r="2466" spans="1:3" ht="15.75" customHeight="1" x14ac:dyDescent="0.25">
      <c r="A2466" s="2" t="s">
        <v>2468</v>
      </c>
      <c r="B2466" s="3" t="s">
        <v>4</v>
      </c>
      <c r="C2466" s="2" t="str">
        <f ca="1">IFERROR(__xludf.DUMMYFUNCTION("GOOGLETRANSLATE(A2466,""bn"",""en"")"),"A pencil eraser is very durable and doesn't wear out easily")</f>
        <v>A pencil eraser is very durable and doesn't wear out easily</v>
      </c>
    </row>
    <row r="2467" spans="1:3" ht="15.75" customHeight="1" x14ac:dyDescent="0.25">
      <c r="A2467" s="2" t="s">
        <v>2469</v>
      </c>
      <c r="B2467" s="3" t="s">
        <v>4</v>
      </c>
      <c r="C2467" s="2" t="str">
        <f ca="1">IFERROR(__xludf.DUMMYFUNCTION("GOOGLETRANSLATE(A2467,""bn"",""en"")"),"The smell of the shampoo is very sweet and long lasting")</f>
        <v>The smell of the shampoo is very sweet and long lasting</v>
      </c>
    </row>
    <row r="2468" spans="1:3" ht="15.75" customHeight="1" x14ac:dyDescent="0.25">
      <c r="A2468" s="2" t="s">
        <v>2470</v>
      </c>
      <c r="B2468" s="3" t="s">
        <v>6</v>
      </c>
      <c r="C2468" s="2" t="str">
        <f ca="1">IFERROR(__xludf.DUMMYFUNCTION("GOOGLETRANSLATE(A2468,""bn"",""en"")"),"Unsealed packaging raises concerns about product safety")</f>
        <v>Unsealed packaging raises concerns about product safety</v>
      </c>
    </row>
    <row r="2469" spans="1:3" ht="15.75" customHeight="1" x14ac:dyDescent="0.25">
      <c r="A2469" s="2" t="s">
        <v>2471</v>
      </c>
      <c r="B2469" s="3" t="s">
        <v>4</v>
      </c>
      <c r="C2469" s="2" t="str">
        <f ca="1">IFERROR(__xludf.DUMMYFUNCTION("GOOGLETRANSLATE(A2469,""bn"",""en"")"),"This game is very fun to play")</f>
        <v>This game is very fun to play</v>
      </c>
    </row>
    <row r="2470" spans="1:3" ht="15.75" customHeight="1" x14ac:dyDescent="0.25">
      <c r="A2470" s="2" t="s">
        <v>2472</v>
      </c>
      <c r="B2470" s="3" t="s">
        <v>4</v>
      </c>
      <c r="C2470" s="2" t="str">
        <f ca="1">IFERROR(__xludf.DUMMYFUNCTION("GOOGLETRANSLATE(A2470,""bn"",""en"")"),"The gold used in this ring is highly prized and decorative")</f>
        <v>The gold used in this ring is highly prized and decorative</v>
      </c>
    </row>
    <row r="2471" spans="1:3" ht="15.75" customHeight="1" x14ac:dyDescent="0.25">
      <c r="A2471" s="2" t="s">
        <v>2473</v>
      </c>
      <c r="B2471" s="3" t="s">
        <v>4</v>
      </c>
      <c r="C2471" s="2" t="str">
        <f ca="1">IFERROR(__xludf.DUMMYFUNCTION("GOOGLETRANSLATE(A2471,""bn"",""en"")"),"The fingerprint sensor of the device is very fast")</f>
        <v>The fingerprint sensor of the device is very fast</v>
      </c>
    </row>
    <row r="2472" spans="1:3" ht="15.75" customHeight="1" x14ac:dyDescent="0.25">
      <c r="A2472" s="2" t="s">
        <v>2474</v>
      </c>
      <c r="B2472" s="3" t="s">
        <v>2</v>
      </c>
      <c r="C2472" s="2" t="str">
        <f ca="1">IFERROR(__xludf.DUMMYFUNCTION("GOOGLETRANSLATE(A2472,""bn"",""en"")"),"Product fit may vary slightly")</f>
        <v>Product fit may vary slightly</v>
      </c>
    </row>
    <row r="2473" spans="1:3" ht="15.75" customHeight="1" x14ac:dyDescent="0.25">
      <c r="A2473" s="2" t="s">
        <v>2475</v>
      </c>
      <c r="B2473" s="3" t="s">
        <v>4</v>
      </c>
      <c r="C2473" s="2" t="str">
        <f ca="1">IFERROR(__xludf.DUMMYFUNCTION("GOOGLETRANSLATE(A2473,""bn"",""en"")"),"The audio quality of the mobile is excellent")</f>
        <v>The audio quality of the mobile is excellent</v>
      </c>
    </row>
    <row r="2474" spans="1:3" ht="15.75" customHeight="1" x14ac:dyDescent="0.25">
      <c r="A2474" s="2" t="s">
        <v>2476</v>
      </c>
      <c r="B2474" s="3" t="s">
        <v>6</v>
      </c>
      <c r="C2474" s="2" t="str">
        <f ca="1">IFERROR(__xludf.DUMMYFUNCTION("GOOGLETRANSLATE(A2474,""bn"",""en"")"),"The packaging contained excess plastic which is harmful to the environment")</f>
        <v>The packaging contained excess plastic which is harmful to the environment</v>
      </c>
    </row>
    <row r="2475" spans="1:3" ht="15.75" customHeight="1" x14ac:dyDescent="0.25">
      <c r="A2475" s="2" t="s">
        <v>2477</v>
      </c>
      <c r="B2475" s="3" t="s">
        <v>6</v>
      </c>
      <c r="C2475" s="2" t="str">
        <f ca="1">IFERROR(__xludf.DUMMYFUNCTION("GOOGLETRANSLATE(A2475,""bn"",""en"")"),"The painting set did not include enough primer")</f>
        <v>The painting set did not include enough primer</v>
      </c>
    </row>
    <row r="2476" spans="1:3" ht="15.75" customHeight="1" x14ac:dyDescent="0.25">
      <c r="A2476" s="2" t="s">
        <v>2478</v>
      </c>
      <c r="B2476" s="3" t="s">
        <v>4</v>
      </c>
      <c r="C2476" s="2" t="str">
        <f ca="1">IFERROR(__xludf.DUMMYFUNCTION("GOOGLETRANSLATE(A2476,""bn"",""en"")"),"The flower created a healthy atmosphere in my room")</f>
        <v>The flower created a healthy atmosphere in my room</v>
      </c>
    </row>
    <row r="2477" spans="1:3" ht="15.75" customHeight="1" x14ac:dyDescent="0.25">
      <c r="A2477" s="2" t="s">
        <v>2479</v>
      </c>
      <c r="B2477" s="3" t="s">
        <v>4</v>
      </c>
      <c r="C2477" s="2" t="str">
        <f ca="1">IFERROR(__xludf.DUMMYFUNCTION("GOOGLETRANSLATE(A2477,""bn"",""en"")"),"This bag has a lot of carrying capacity")</f>
        <v>This bag has a lot of carrying capacity</v>
      </c>
    </row>
    <row r="2478" spans="1:3" ht="15.75" customHeight="1" x14ac:dyDescent="0.25">
      <c r="A2478" s="2" t="s">
        <v>2480</v>
      </c>
      <c r="B2478" s="3" t="s">
        <v>2</v>
      </c>
      <c r="C2478" s="2" t="str">
        <f ca="1">IFERROR(__xludf.DUMMYFUNCTION("GOOGLETRANSLATE(A2478,""bn"",""en"")"),"Top has light texture not completely smooth")</f>
        <v>Top has light texture not completely smooth</v>
      </c>
    </row>
    <row r="2479" spans="1:3" ht="15.75" customHeight="1" x14ac:dyDescent="0.25">
      <c r="A2479" s="2" t="s">
        <v>2481</v>
      </c>
      <c r="B2479" s="3" t="s">
        <v>4</v>
      </c>
      <c r="C2479" s="2" t="str">
        <f ca="1">IFERROR(__xludf.DUMMYFUNCTION("GOOGLETRANSLATE(A2479,""bn"",""en"")"),"Hair health is improved with the use of shampoo")</f>
        <v>Hair health is improved with the use of shampoo</v>
      </c>
    </row>
    <row r="2480" spans="1:3" ht="15.75" customHeight="1" x14ac:dyDescent="0.25">
      <c r="A2480" s="2" t="s">
        <v>2482</v>
      </c>
      <c r="B2480" s="3" t="s">
        <v>4</v>
      </c>
      <c r="C2480" s="2" t="str">
        <f ca="1">IFERROR(__xludf.DUMMYFUNCTION("GOOGLETRANSLATE(A2480,""bn"",""en"")"),"The color of the garment does not fade easily")</f>
        <v>The color of the garment does not fade easily</v>
      </c>
    </row>
    <row r="2481" spans="1:3" ht="15.75" customHeight="1" x14ac:dyDescent="0.25">
      <c r="A2481" s="2" t="s">
        <v>2483</v>
      </c>
      <c r="B2481" s="3" t="s">
        <v>2</v>
      </c>
      <c r="C2481" s="2" t="str">
        <f ca="1">IFERROR(__xludf.DUMMYFUNCTION("GOOGLETRANSLATE(A2481,""bn"",""en"")"),"Can be used around laptops")</f>
        <v>Can be used around laptops</v>
      </c>
    </row>
    <row r="2482" spans="1:3" ht="15.75" customHeight="1" x14ac:dyDescent="0.25">
      <c r="A2482" s="2" t="s">
        <v>2484</v>
      </c>
      <c r="B2482" s="3" t="s">
        <v>6</v>
      </c>
      <c r="C2482" s="2" t="str">
        <f ca="1">IFERROR(__xludf.DUMMYFUNCTION("GOOGLETRANSLATE(A2482,""bn"",""en"")"),"The tea strainer was rusted and the tea was contaminated")</f>
        <v>The tea strainer was rusted and the tea was contaminated</v>
      </c>
    </row>
    <row r="2483" spans="1:3" ht="15.75" customHeight="1" x14ac:dyDescent="0.25">
      <c r="A2483" s="2" t="s">
        <v>2485</v>
      </c>
      <c r="B2483" s="3" t="s">
        <v>2</v>
      </c>
      <c r="C2483" s="2" t="str">
        <f ca="1">IFERROR(__xludf.DUMMYFUNCTION("GOOGLETRANSLATE(A2483,""bn"",""en"")"),"The toothbrush holder is usable but the design is outdated")</f>
        <v>The toothbrush holder is usable but the design is outdated</v>
      </c>
    </row>
    <row r="2484" spans="1:3" ht="15.75" customHeight="1" x14ac:dyDescent="0.25">
      <c r="A2484" s="2" t="s">
        <v>2486</v>
      </c>
      <c r="B2484" s="3" t="s">
        <v>2</v>
      </c>
      <c r="C2484" s="2" t="str">
        <f ca="1">IFERROR(__xludf.DUMMYFUNCTION("GOOGLETRANSLATE(A2484,""bn"",""en"")"),"This playdo set can be perfect for solo play or sharing")</f>
        <v>This playdo set can be perfect for solo play or sharing</v>
      </c>
    </row>
    <row r="2485" spans="1:3" ht="15.75" customHeight="1" x14ac:dyDescent="0.25">
      <c r="A2485" s="2" t="s">
        <v>2487</v>
      </c>
      <c r="B2485" s="3" t="s">
        <v>6</v>
      </c>
      <c r="C2485" s="2" t="str">
        <f ca="1">IFERROR(__xludf.DUMMYFUNCTION("GOOGLETRANSLATE(A2485,""bn"",""en"")"),"The product colors were very dull and lacked vibrancy")</f>
        <v>The product colors were very dull and lacked vibrancy</v>
      </c>
    </row>
    <row r="2486" spans="1:3" ht="15.75" customHeight="1" x14ac:dyDescent="0.25">
      <c r="A2486" s="2" t="s">
        <v>2488</v>
      </c>
      <c r="B2486" s="3" t="s">
        <v>6</v>
      </c>
      <c r="C2486" s="2" t="str">
        <f ca="1">IFERROR(__xludf.DUMMYFUNCTION("GOOGLETRANSLATE(A2486,""bn"",""en"")"),"The cups had a metallic taste probably from lead contamination")</f>
        <v>The cups had a metallic taste probably from lead contamination</v>
      </c>
    </row>
    <row r="2487" spans="1:3" ht="15.75" customHeight="1" x14ac:dyDescent="0.25">
      <c r="A2487" s="2" t="s">
        <v>2489</v>
      </c>
      <c r="B2487" s="3" t="s">
        <v>4</v>
      </c>
      <c r="C2487" s="2" t="str">
        <f ca="1">IFERROR(__xludf.DUMMYFUNCTION("GOOGLETRANSLATE(A2487,""bn"",""en"")"),"Well designed tripod")</f>
        <v>Well designed tripod</v>
      </c>
    </row>
    <row r="2488" spans="1:3" ht="15.75" customHeight="1" x14ac:dyDescent="0.25">
      <c r="A2488" s="2" t="s">
        <v>2490</v>
      </c>
      <c r="B2488" s="3" t="s">
        <v>6</v>
      </c>
      <c r="C2488" s="2" t="str">
        <f ca="1">IFERROR(__xludf.DUMMYFUNCTION("GOOGLETRANSLATE(A2488,""bn"",""en"")"),"Inadequate packaging results in damage")</f>
        <v>Inadequate packaging results in damage</v>
      </c>
    </row>
    <row r="2489" spans="1:3" ht="15.75" customHeight="1" x14ac:dyDescent="0.25">
      <c r="A2489" s="2" t="s">
        <v>2491</v>
      </c>
      <c r="B2489" s="3" t="s">
        <v>6</v>
      </c>
      <c r="C2489" s="2" t="str">
        <f ca="1">IFERROR(__xludf.DUMMYFUNCTION("GOOGLETRANSLATE(A2489,""bn"",""en"")"),"Limited video recording options and frame rates limit the camera's suitability for professional videography")</f>
        <v>Limited video recording options and frame rates limit the camera's suitability for professional videography</v>
      </c>
    </row>
    <row r="2490" spans="1:3" ht="15.75" customHeight="1" x14ac:dyDescent="0.25">
      <c r="A2490" s="2" t="s">
        <v>2492</v>
      </c>
      <c r="B2490" s="3" t="s">
        <v>2</v>
      </c>
      <c r="C2490" s="2" t="str">
        <f ca="1">IFERROR(__xludf.DUMMYFUNCTION("GOOGLETRANSLATE(A2490,""bn"",""en"")"),"Avoid applying pressure to the same spot for long periods of time")</f>
        <v>Avoid applying pressure to the same spot for long periods of time</v>
      </c>
    </row>
    <row r="2491" spans="1:3" ht="15.75" customHeight="1" x14ac:dyDescent="0.25">
      <c r="A2491" s="2" t="s">
        <v>2493</v>
      </c>
      <c r="B2491" s="3" t="s">
        <v>6</v>
      </c>
      <c r="C2491" s="2" t="str">
        <f ca="1">IFERROR(__xludf.DUMMYFUNCTION("GOOGLETRANSLATE(A2491,""bn"",""en"")"),"The Samsung T SSD is disappointingly slower than advertised")</f>
        <v>The Samsung T SSD is disappointingly slower than advertised</v>
      </c>
    </row>
    <row r="2492" spans="1:3" ht="15.75" customHeight="1" x14ac:dyDescent="0.25">
      <c r="A2492" s="2" t="s">
        <v>2494</v>
      </c>
      <c r="B2492" s="3" t="s">
        <v>6</v>
      </c>
      <c r="C2492" s="2" t="str">
        <f ca="1">IFERROR(__xludf.DUMMYFUNCTION("GOOGLETRANSLATE(A2492,""bn"",""en"")"),"The scent of the bath oil was overpowering and artificial giving me a headache")</f>
        <v>The scent of the bath oil was overpowering and artificial giving me a headache</v>
      </c>
    </row>
    <row r="2493" spans="1:3" ht="15.75" customHeight="1" x14ac:dyDescent="0.25">
      <c r="A2493" s="2" t="s">
        <v>2495</v>
      </c>
      <c r="B2493" s="3" t="s">
        <v>4</v>
      </c>
      <c r="C2493" s="2" t="str">
        <f ca="1">IFERROR(__xludf.DUMMYFUNCTION("GOOGLETRANSLATE(A2493,""bn"",""en"")"),"This shampoo brings new life to the hair")</f>
        <v>This shampoo brings new life to the hair</v>
      </c>
    </row>
    <row r="2494" spans="1:3" ht="15.75" customHeight="1" x14ac:dyDescent="0.25">
      <c r="A2494" s="2" t="s">
        <v>2496</v>
      </c>
      <c r="B2494" s="3" t="s">
        <v>2</v>
      </c>
      <c r="C2494" s="2" t="str">
        <f ca="1">IFERROR(__xludf.DUMMYFUNCTION("GOOGLETRANSLATE(A2494,""bn"",""en"")"),"Troubleshooting tips can be useful")</f>
        <v>Troubleshooting tips can be useful</v>
      </c>
    </row>
    <row r="2495" spans="1:3" ht="15.75" customHeight="1" x14ac:dyDescent="0.25">
      <c r="A2495" s="2" t="s">
        <v>2497</v>
      </c>
      <c r="B2495" s="3" t="s">
        <v>2</v>
      </c>
      <c r="C2495" s="2" t="str">
        <f ca="1">IFERROR(__xludf.DUMMYFUNCTION("GOOGLETRANSLATE(A2495,""bn"",""en"")"),"Usable but expected better")</f>
        <v>Usable but expected better</v>
      </c>
    </row>
    <row r="2496" spans="1:3" ht="15.75" customHeight="1" x14ac:dyDescent="0.25">
      <c r="A2496" s="2" t="s">
        <v>2498</v>
      </c>
      <c r="B2496" s="3" t="s">
        <v>2</v>
      </c>
      <c r="C2496" s="2" t="str">
        <f ca="1">IFERROR(__xludf.DUMMYFUNCTION("GOOGLETRANSLATE(A2496,""bn"",""en"")"),"Safe for children but requires supervision")</f>
        <v>Safe for children but requires supervision</v>
      </c>
    </row>
    <row r="2497" spans="1:3" ht="15.75" customHeight="1" x14ac:dyDescent="0.25">
      <c r="A2497" s="2" t="s">
        <v>2499</v>
      </c>
      <c r="B2497" s="3" t="s">
        <v>2</v>
      </c>
      <c r="C2497" s="2" t="str">
        <f ca="1">IFERROR(__xludf.DUMMYFUNCTION("GOOGLETRANSLATE(A2497,""bn"",""en"")"),"Brush bristles are effective for cleaning teeth but not durable in the long run")</f>
        <v>Brush bristles are effective for cleaning teeth but not durable in the long run</v>
      </c>
    </row>
    <row r="2498" spans="1:3" ht="15.75" customHeight="1" x14ac:dyDescent="0.25">
      <c r="A2498" s="2" t="s">
        <v>2500</v>
      </c>
      <c r="B2498" s="3" t="s">
        <v>2</v>
      </c>
      <c r="C2498" s="2" t="str">
        <f ca="1">IFERROR(__xludf.DUMMYFUNCTION("GOOGLETRANSLATE(A2498,""bn"",""en"")"),"A cooking thermometer measures temperature but the display is difficult to read")</f>
        <v>A cooking thermometer measures temperature but the display is difficult to read</v>
      </c>
    </row>
    <row r="2499" spans="1:3" ht="15.75" customHeight="1" x14ac:dyDescent="0.25">
      <c r="A2499" s="2" t="s">
        <v>2501</v>
      </c>
      <c r="B2499" s="3" t="s">
        <v>4</v>
      </c>
      <c r="C2499" s="2" t="str">
        <f ca="1">IFERROR(__xludf.DUMMYFUNCTION("GOOGLETRANSLATE(A2499,""bn"",""en"")"),"Using shampoo makes the hair more smooth and shiny")</f>
        <v>Using shampoo makes the hair more smooth and shiny</v>
      </c>
    </row>
    <row r="2500" spans="1:3" ht="15.75" customHeight="1" x14ac:dyDescent="0.25">
      <c r="A2500" s="2" t="s">
        <v>2502</v>
      </c>
      <c r="B2500" s="3" t="s">
        <v>4</v>
      </c>
      <c r="C2500" s="2" t="str">
        <f ca="1">IFERROR(__xludf.DUMMYFUNCTION("GOOGLETRANSLATE(A2500,""bn"",""en"")"),"Each level of the shelf balances perfectly")</f>
        <v>Each level of the shelf balances perfectly</v>
      </c>
    </row>
    <row r="2501" spans="1:3" ht="15.75" customHeight="1" x14ac:dyDescent="0.25">
      <c r="A2501" s="2" t="s">
        <v>2503</v>
      </c>
      <c r="B2501" s="3" t="s">
        <v>2</v>
      </c>
      <c r="C2501" s="2" t="str">
        <f ca="1">IFERROR(__xludf.DUMMYFUNCTION("GOOGLETRANSLATE(A2501,""bn"",""en"")"),"The quality of the brush is average")</f>
        <v>The quality of the brush is average</v>
      </c>
    </row>
    <row r="2502" spans="1:3" ht="15.75" customHeight="1" x14ac:dyDescent="0.25">
      <c r="A2502" s="2" t="s">
        <v>2504</v>
      </c>
      <c r="B2502" s="3" t="s">
        <v>2</v>
      </c>
      <c r="C2502" s="2" t="str">
        <f ca="1">IFERROR(__xludf.DUMMYFUNCTION("GOOGLETRANSLATE(A2502,""bn"",""en"")"),"A good camera can have flaws sometimes")</f>
        <v>A good camera can have flaws sometimes</v>
      </c>
    </row>
    <row r="2503" spans="1:3" ht="15.75" customHeight="1" x14ac:dyDescent="0.25">
      <c r="A2503" s="2" t="s">
        <v>2505</v>
      </c>
      <c r="B2503" s="3" t="s">
        <v>2</v>
      </c>
      <c r="C2503" s="2" t="str">
        <f ca="1">IFERROR(__xludf.DUMMYFUNCTION("GOOGLETRANSLATE(A2503,""bn"",""en"")"),"The stainless steel straw is helpful for drinking but a bit difficult to clean")</f>
        <v>The stainless steel straw is helpful for drinking but a bit difficult to clean</v>
      </c>
    </row>
    <row r="2504" spans="1:3" ht="15.75" customHeight="1" x14ac:dyDescent="0.25">
      <c r="A2504" s="2" t="s">
        <v>2506</v>
      </c>
      <c r="B2504" s="3" t="s">
        <v>2</v>
      </c>
      <c r="C2504" s="2" t="str">
        <f ca="1">IFERROR(__xludf.DUMMYFUNCTION("GOOGLETRANSLATE(A2504,""bn"",""en"")"),"The remote finder helps to find the remote but the range is short")</f>
        <v>The remote finder helps to find the remote but the range is short</v>
      </c>
    </row>
    <row r="2505" spans="1:3" ht="15.75" customHeight="1" x14ac:dyDescent="0.25">
      <c r="A2505" s="2" t="s">
        <v>2507</v>
      </c>
      <c r="B2505" s="3" t="s">
        <v>2</v>
      </c>
      <c r="C2505" s="2" t="str">
        <f ca="1">IFERROR(__xludf.DUMMYFUNCTION("GOOGLETRANSLATE(A2505,""bn"",""en"")"),"It is not designed to increase screen brightness")</f>
        <v>It is not designed to increase screen brightness</v>
      </c>
    </row>
    <row r="2506" spans="1:3" ht="15.75" customHeight="1" x14ac:dyDescent="0.25">
      <c r="A2506" s="2" t="s">
        <v>2508</v>
      </c>
      <c r="B2506" s="3" t="s">
        <v>6</v>
      </c>
      <c r="C2506" s="2" t="str">
        <f ca="1">IFERROR(__xludf.DUMMYFUNCTION("GOOGLETRANSLATE(A2506,""bn"",""en"")"),"Robotic vacuums can easily get stuck in an incomplete clean")</f>
        <v>Robotic vacuums can easily get stuck in an incomplete clean</v>
      </c>
    </row>
    <row r="2507" spans="1:3" ht="15.75" customHeight="1" x14ac:dyDescent="0.25">
      <c r="A2507" s="2" t="s">
        <v>2509</v>
      </c>
      <c r="B2507" s="3" t="s">
        <v>2</v>
      </c>
      <c r="C2507" s="2" t="str">
        <f ca="1">IFERROR(__xludf.DUMMYFUNCTION("GOOGLETRANSLATE(A2507,""bn"",""en"")"),"Usable but comparable to other brands")</f>
        <v>Usable but comparable to other brands</v>
      </c>
    </row>
    <row r="2508" spans="1:3" ht="15.75" customHeight="1" x14ac:dyDescent="0.25">
      <c r="A2508" s="2" t="s">
        <v>2510</v>
      </c>
      <c r="B2508" s="3" t="s">
        <v>2</v>
      </c>
      <c r="C2508" s="2" t="str">
        <f ca="1">IFERROR(__xludf.DUMMYFUNCTION("GOOGLETRANSLATE(A2508,""bn"",""en"")"),"The color is very nice but the finish is not good")</f>
        <v>The color is very nice but the finish is not good</v>
      </c>
    </row>
    <row r="2509" spans="1:3" ht="15.75" customHeight="1" x14ac:dyDescent="0.25">
      <c r="A2509" s="2" t="s">
        <v>2511</v>
      </c>
      <c r="B2509" s="3" t="s">
        <v>2</v>
      </c>
      <c r="C2509" s="2" t="str">
        <f ca="1">IFERROR(__xludf.DUMMYFUNCTION("GOOGLETRANSLATE(A2509,""bn"",""en"")"),"The phone's camera is average, nothing special")</f>
        <v>The phone's camera is average, nothing special</v>
      </c>
    </row>
    <row r="2510" spans="1:3" ht="15.75" customHeight="1" x14ac:dyDescent="0.25">
      <c r="A2510" s="2" t="s">
        <v>2512</v>
      </c>
      <c r="B2510" s="3" t="s">
        <v>6</v>
      </c>
      <c r="C2510" s="2" t="str">
        <f ca="1">IFERROR(__xludf.DUMMYFUNCTION("GOOGLETRANSLATE(A2510,""bn"",""en"")"),"Loose lids allow debris to contaminate drinks")</f>
        <v>Loose lids allow debris to contaminate drinks</v>
      </c>
    </row>
    <row r="2511" spans="1:3" ht="15.75" customHeight="1" x14ac:dyDescent="0.25">
      <c r="A2511" s="2" t="s">
        <v>2513</v>
      </c>
      <c r="B2511" s="3" t="s">
        <v>2</v>
      </c>
      <c r="C2511" s="2" t="str">
        <f ca="1">IFERROR(__xludf.DUMMYFUNCTION("GOOGLETRANSLATE(A2511,""bn"",""en"")"),"Comfortable enough but nothing special")</f>
        <v>Comfortable enough but nothing special</v>
      </c>
    </row>
    <row r="2512" spans="1:3" ht="15.75" customHeight="1" x14ac:dyDescent="0.25">
      <c r="A2512" s="2" t="s">
        <v>2514</v>
      </c>
      <c r="B2512" s="3" t="s">
        <v>2</v>
      </c>
      <c r="C2512" s="2" t="str">
        <f ca="1">IFERROR(__xludf.DUMMYFUNCTION("GOOGLETRANSLATE(A2512,""bn"",""en"")"),"The fabric is averagely thin and the quality could be improved")</f>
        <v>The fabric is averagely thin and the quality could be improved</v>
      </c>
    </row>
    <row r="2513" spans="1:3" ht="15.75" customHeight="1" x14ac:dyDescent="0.25">
      <c r="A2513" s="2" t="s">
        <v>2515</v>
      </c>
      <c r="B2513" s="3" t="s">
        <v>6</v>
      </c>
      <c r="C2513" s="2" t="str">
        <f ca="1">IFERROR(__xludf.DUMMYFUNCTION("GOOGLETRANSLATE(A2513,""bn"",""en"")"),"The thick consistency of the paint was difficult to spread")</f>
        <v>The thick consistency of the paint was difficult to spread</v>
      </c>
    </row>
    <row r="2514" spans="1:3" ht="15.75" customHeight="1" x14ac:dyDescent="0.25">
      <c r="A2514" s="2" t="s">
        <v>2516</v>
      </c>
      <c r="B2514" s="3" t="s">
        <v>4</v>
      </c>
      <c r="C2514" s="2" t="str">
        <f ca="1">IFERROR(__xludf.DUMMYFUNCTION("GOOGLETRANSLATE(A2514,""bn"",""en"")"),"This body wash rejuvenates the skin cells")</f>
        <v>This body wash rejuvenates the skin cells</v>
      </c>
    </row>
    <row r="2515" spans="1:3" ht="15.75" customHeight="1" x14ac:dyDescent="0.25">
      <c r="A2515" s="2" t="s">
        <v>2517</v>
      </c>
      <c r="B2515" s="3" t="s">
        <v>6</v>
      </c>
      <c r="C2515" s="2" t="str">
        <f ca="1">IFERROR(__xludf.DUMMYFUNCTION("GOOGLETRANSLATE(A2515,""bn"",""en"")"),"The fabric of the bathrobe shrinks after washing and becomes too small to wear comfortably")</f>
        <v>The fabric of the bathrobe shrinks after washing and becomes too small to wear comfortably</v>
      </c>
    </row>
    <row r="2516" spans="1:3" ht="15.75" customHeight="1" x14ac:dyDescent="0.25">
      <c r="A2516" s="2" t="s">
        <v>2518</v>
      </c>
      <c r="B2516" s="3" t="s">
        <v>2</v>
      </c>
      <c r="C2516" s="2" t="str">
        <f ca="1">IFERROR(__xludf.DUMMYFUNCTION("GOOGLETRANSLATE(A2516,""bn"",""en"")"),"Great sound and good few performance issues for the price")</f>
        <v>Great sound and good few performance issues for the price</v>
      </c>
    </row>
    <row r="2517" spans="1:3" ht="15.75" customHeight="1" x14ac:dyDescent="0.25">
      <c r="A2517" s="2" t="s">
        <v>2519</v>
      </c>
      <c r="B2517" s="3" t="s">
        <v>4</v>
      </c>
      <c r="C2517" s="2" t="str">
        <f ca="1">IFERROR(__xludf.DUMMYFUNCTION("GOOGLETRANSLATE(A2517,""bn"",""en"")"),"The extra pillow covers that come with the set are so handy I can change styles easily")</f>
        <v>The extra pillow covers that come with the set are so handy I can change styles easily</v>
      </c>
    </row>
    <row r="2518" spans="1:3" ht="15.75" customHeight="1" x14ac:dyDescent="0.25">
      <c r="A2518" s="2" t="s">
        <v>2520</v>
      </c>
      <c r="B2518" s="3" t="s">
        <v>6</v>
      </c>
      <c r="C2518" s="2" t="str">
        <f ca="1">IFERROR(__xludf.DUMMYFUNCTION("GOOGLETRANSLATE(A2518,""bn"",""en"")"),"The brushes were prone to fretting even after minimal use")</f>
        <v>The brushes were prone to fretting even after minimal use</v>
      </c>
    </row>
    <row r="2519" spans="1:3" ht="15.75" customHeight="1" x14ac:dyDescent="0.25">
      <c r="A2519" s="2" t="s">
        <v>2521</v>
      </c>
      <c r="B2519" s="3" t="s">
        <v>2</v>
      </c>
      <c r="C2519" s="2" t="str">
        <f ca="1">IFERROR(__xludf.DUMMYFUNCTION("GOOGLETRANSLATE(A2519,""bn"",""en"")"),"These are great with some limitations")</f>
        <v>These are great with some limitations</v>
      </c>
    </row>
    <row r="2520" spans="1:3" ht="15.75" customHeight="1" x14ac:dyDescent="0.25">
      <c r="A2520" s="2" t="s">
        <v>2522</v>
      </c>
      <c r="B2520" s="3" t="s">
        <v>4</v>
      </c>
      <c r="C2520" s="2" t="str">
        <f ca="1">IFERROR(__xludf.DUMMYFUNCTION("GOOGLETRANSLATE(A2520,""bn"",""en"")"),"The child has a lot of fun with his toys")</f>
        <v>The child has a lot of fun with his toys</v>
      </c>
    </row>
    <row r="2521" spans="1:3" ht="15.75" customHeight="1" x14ac:dyDescent="0.25">
      <c r="A2521" s="2" t="s">
        <v>2523</v>
      </c>
      <c r="B2521" s="3" t="s">
        <v>4</v>
      </c>
      <c r="C2521" s="2" t="str">
        <f ca="1">IFERROR(__xludf.DUMMYFUNCTION("GOOGLETRANSLATE(A2521,""bn"",""en"")"),"Honey increases the immunity of the body")</f>
        <v>Honey increases the immunity of the body</v>
      </c>
    </row>
    <row r="2522" spans="1:3" ht="15.75" customHeight="1" x14ac:dyDescent="0.25">
      <c r="A2522" s="2" t="s">
        <v>2524</v>
      </c>
      <c r="B2522" s="3" t="s">
        <v>4</v>
      </c>
      <c r="C2522" s="2" t="str">
        <f ca="1">IFERROR(__xludf.DUMMYFUNCTION("GOOGLETRANSLATE(A2522,""bn"",""en"")"),"The pad is easy to use which is very convenient for women")</f>
        <v>The pad is easy to use which is very convenient for women</v>
      </c>
    </row>
    <row r="2523" spans="1:3" ht="15.75" customHeight="1" x14ac:dyDescent="0.25">
      <c r="A2523" s="2" t="s">
        <v>2525</v>
      </c>
      <c r="B2523" s="3" t="s">
        <v>2</v>
      </c>
      <c r="C2523" s="2" t="str">
        <f ca="1">IFERROR(__xludf.DUMMYFUNCTION("GOOGLETRANSLATE(A2523,""bn"",""en"")"),"The stopwatch feature is working")</f>
        <v>The stopwatch feature is working</v>
      </c>
    </row>
    <row r="2524" spans="1:3" ht="15.75" customHeight="1" x14ac:dyDescent="0.25">
      <c r="A2524" s="2" t="s">
        <v>2526</v>
      </c>
      <c r="B2524" s="3" t="s">
        <v>6</v>
      </c>
      <c r="C2524" s="2" t="str">
        <f ca="1">IFERROR(__xludf.DUMMYFUNCTION("GOOGLETRANSLATE(A2524,""bn"",""en"")"),"Robotic lawnmowers damage lawns by uneven cutting")</f>
        <v>Robotic lawnmowers damage lawns by uneven cutting</v>
      </c>
    </row>
    <row r="2525" spans="1:3" ht="15.75" customHeight="1" x14ac:dyDescent="0.25">
      <c r="A2525" s="2" t="s">
        <v>2527</v>
      </c>
      <c r="B2525" s="3" t="s">
        <v>2</v>
      </c>
      <c r="C2525" s="2" t="str">
        <f ca="1">IFERROR(__xludf.DUMMYFUNCTION("GOOGLETRANSLATE(A2525,""bn"",""en"")"),"The drink is pretty good but could have had more fruit flavor")</f>
        <v>The drink is pretty good but could have had more fruit flavor</v>
      </c>
    </row>
    <row r="2526" spans="1:3" ht="15.75" customHeight="1" x14ac:dyDescent="0.25">
      <c r="A2526" s="2" t="s">
        <v>2528</v>
      </c>
      <c r="B2526" s="3" t="s">
        <v>4</v>
      </c>
      <c r="C2526" s="2" t="str">
        <f ca="1">IFERROR(__xludf.DUMMYFUNCTION("GOOGLETRANSLATE(A2526,""bn"",""en"")"),"The brush is perfect it coats every bias well")</f>
        <v>The brush is perfect it coats every bias well</v>
      </c>
    </row>
    <row r="2527" spans="1:3" ht="15.75" customHeight="1" x14ac:dyDescent="0.25">
      <c r="A2527" s="2" t="s">
        <v>2529</v>
      </c>
      <c r="B2527" s="3" t="s">
        <v>4</v>
      </c>
      <c r="C2527" s="2" t="str">
        <f ca="1">IFERROR(__xludf.DUMMYFUNCTION("GOOGLETRANSLATE(A2527,""bn"",""en"")"),"It is helpful in curing stomach problems")</f>
        <v>It is helpful in curing stomach problems</v>
      </c>
    </row>
    <row r="2528" spans="1:3" ht="15.75" customHeight="1" x14ac:dyDescent="0.25">
      <c r="A2528" s="2" t="s">
        <v>2530</v>
      </c>
      <c r="B2528" s="3" t="s">
        <v>2</v>
      </c>
      <c r="C2528" s="2" t="str">
        <f ca="1">IFERROR(__xludf.DUMMYFUNCTION("GOOGLETRANSLATE(A2528,""bn"",""en"")"),"Colors are attractive but quality is not satisfactory")</f>
        <v>Colors are attractive but quality is not satisfactory</v>
      </c>
    </row>
    <row r="2529" spans="1:3" ht="15.75" customHeight="1" x14ac:dyDescent="0.25">
      <c r="A2529" s="2" t="s">
        <v>2531</v>
      </c>
      <c r="B2529" s="3" t="s">
        <v>6</v>
      </c>
      <c r="C2529" s="2" t="str">
        <f ca="1">IFERROR(__xludf.DUMMYFUNCTION("GOOGLETRANSLATE(A2529,""bn"",""en"")"),"Defective lid seals lead to messy travel experiences")</f>
        <v>Defective lid seals lead to messy travel experiences</v>
      </c>
    </row>
    <row r="2530" spans="1:3" ht="15.75" customHeight="1" x14ac:dyDescent="0.25">
      <c r="A2530" s="2" t="s">
        <v>2532</v>
      </c>
      <c r="B2530" s="3" t="s">
        <v>4</v>
      </c>
      <c r="C2530" s="2" t="str">
        <f ca="1">IFERROR(__xludf.DUMMYFUNCTION("GOOGLETRANSLATE(A2530,""bn"",""en"")"),"The fridge capacity is perfect for my family")</f>
        <v>The fridge capacity is perfect for my family</v>
      </c>
    </row>
    <row r="2531" spans="1:3" ht="15.75" customHeight="1" x14ac:dyDescent="0.25">
      <c r="A2531" s="2" t="s">
        <v>2533</v>
      </c>
      <c r="B2531" s="3" t="s">
        <v>2</v>
      </c>
      <c r="C2531" s="2" t="str">
        <f ca="1">IFERROR(__xludf.DUMMYFUNCTION("GOOGLETRANSLATE(A2531,""bn"",""en"")"),"There are different shaped products but they look the same")</f>
        <v>There are different shaped products but they look the same</v>
      </c>
    </row>
    <row r="2532" spans="1:3" ht="15.75" customHeight="1" x14ac:dyDescent="0.25">
      <c r="A2532" s="2" t="s">
        <v>2534</v>
      </c>
      <c r="B2532" s="3" t="s">
        <v>4</v>
      </c>
      <c r="C2532" s="2" t="str">
        <f ca="1">IFERROR(__xludf.DUMMYFUNCTION("GOOGLETRANSLATE(A2532,""bn"",""en"")"),"This body wash will make your skin smooth")</f>
        <v>This body wash will make your skin smooth</v>
      </c>
    </row>
    <row r="2533" spans="1:3" ht="15.75" customHeight="1" x14ac:dyDescent="0.25">
      <c r="A2533" s="2" t="s">
        <v>2535</v>
      </c>
      <c r="B2533" s="3" t="s">
        <v>2</v>
      </c>
      <c r="C2533" s="2" t="str">
        <f ca="1">IFERROR(__xludf.DUMMYFUNCTION("GOOGLETRANSLATE(A2533,""bn"",""en"")"),"Makes the house look beautiful but not dramatically so")</f>
        <v>Makes the house look beautiful but not dramatically so</v>
      </c>
    </row>
    <row r="2534" spans="1:3" ht="15.75" customHeight="1" x14ac:dyDescent="0.25">
      <c r="A2534" s="2" t="s">
        <v>2536</v>
      </c>
      <c r="B2534" s="3" t="s">
        <v>4</v>
      </c>
      <c r="C2534" s="2" t="str">
        <f ca="1">IFERROR(__xludf.DUMMYFUNCTION("GOOGLETRANSLATE(A2534,""bn"",""en"")"),"Playing on the school grounds is a lot of fun")</f>
        <v>Playing on the school grounds is a lot of fun</v>
      </c>
    </row>
    <row r="2535" spans="1:3" ht="15.75" customHeight="1" x14ac:dyDescent="0.25">
      <c r="A2535" s="2" t="s">
        <v>2537</v>
      </c>
      <c r="B2535" s="3" t="s">
        <v>4</v>
      </c>
      <c r="C2535" s="2" t="str">
        <f ca="1">IFERROR(__xludf.DUMMYFUNCTION("GOOGLETRANSLATE(A2535,""bn"",""en"")"),"The brush looks nice and fits well on my dressing table")</f>
        <v>The brush looks nice and fits well on my dressing table</v>
      </c>
    </row>
    <row r="2536" spans="1:3" ht="15.75" customHeight="1" x14ac:dyDescent="0.25">
      <c r="A2536" s="2" t="s">
        <v>2538</v>
      </c>
      <c r="B2536" s="3" t="s">
        <v>2</v>
      </c>
      <c r="C2536" s="2" t="str">
        <f ca="1">IFERROR(__xludf.DUMMYFUNCTION("GOOGLETRANSLATE(A2536,""bn"",""en"")"),"Great value but some pieces are missing")</f>
        <v>Great value but some pieces are missing</v>
      </c>
    </row>
    <row r="2537" spans="1:3" ht="15.75" customHeight="1" x14ac:dyDescent="0.25">
      <c r="A2537" s="2" t="s">
        <v>2539</v>
      </c>
      <c r="B2537" s="3" t="s">
        <v>6</v>
      </c>
      <c r="C2537" s="2" t="str">
        <f ca="1">IFERROR(__xludf.DUMMYFUNCTION("GOOGLETRANSLATE(A2537,""bn"",""en"")"),"Product safety is questionable if container arrives unsealed")</f>
        <v>Product safety is questionable if container arrives unsealed</v>
      </c>
    </row>
    <row r="2538" spans="1:3" ht="15.75" customHeight="1" x14ac:dyDescent="0.25">
      <c r="A2538" s="2" t="s">
        <v>2540</v>
      </c>
      <c r="B2538" s="3" t="s">
        <v>4</v>
      </c>
      <c r="C2538" s="2" t="str">
        <f ca="1">IFERROR(__xludf.DUMMYFUNCTION("GOOGLETRANSLATE(A2538,""bn"",""en"")"),"I am very impressed")</f>
        <v>I am very impressed</v>
      </c>
    </row>
    <row r="2539" spans="1:3" ht="15.75" customHeight="1" x14ac:dyDescent="0.25">
      <c r="A2539" s="2" t="s">
        <v>2541</v>
      </c>
      <c r="B2539" s="3" t="s">
        <v>2</v>
      </c>
      <c r="C2539" s="2" t="str">
        <f ca="1">IFERROR(__xludf.DUMMYFUNCTION("GOOGLETRANSLATE(A2539,""bn"",""en"")"),"Medium variety and easy to supply")</f>
        <v>Medium variety and easy to supply</v>
      </c>
    </row>
    <row r="2540" spans="1:3" ht="15.75" customHeight="1" x14ac:dyDescent="0.25">
      <c r="A2540" s="2" t="s">
        <v>2542</v>
      </c>
      <c r="B2540" s="3" t="s">
        <v>4</v>
      </c>
      <c r="C2540" s="2" t="str">
        <f ca="1">IFERROR(__xludf.DUMMYFUNCTION("GOOGLETRANSLATE(A2540,""bn"",""en"")"),"Long lasting and reliable")</f>
        <v>Long lasting and reliable</v>
      </c>
    </row>
    <row r="2541" spans="1:3" ht="15.75" customHeight="1" x14ac:dyDescent="0.25">
      <c r="A2541" s="2" t="s">
        <v>2543</v>
      </c>
      <c r="B2541" s="3" t="s">
        <v>2</v>
      </c>
      <c r="C2541" s="2" t="str">
        <f ca="1">IFERROR(__xludf.DUMMYFUNCTION("GOOGLETRANSLATE(A2541,""bn"",""en"")"),"May cause corrosion with frequent use")</f>
        <v>May cause corrosion with frequent use</v>
      </c>
    </row>
    <row r="2542" spans="1:3" ht="15.75" customHeight="1" x14ac:dyDescent="0.25">
      <c r="A2542" s="2" t="s">
        <v>2544</v>
      </c>
      <c r="B2542" s="3" t="s">
        <v>4</v>
      </c>
      <c r="C2542" s="2" t="str">
        <f ca="1">IFERROR(__xludf.DUMMYFUNCTION("GOOGLETRANSLATE(A2542,""bn"",""en"")"),"Very fair price for a TB that performs great")</f>
        <v>Very fair price for a TB that performs great</v>
      </c>
    </row>
    <row r="2543" spans="1:3" ht="15.75" customHeight="1" x14ac:dyDescent="0.25">
      <c r="A2543" s="2" t="s">
        <v>2545</v>
      </c>
      <c r="B2543" s="3" t="s">
        <v>2</v>
      </c>
      <c r="C2543" s="2" t="str">
        <f ca="1">IFERROR(__xludf.DUMMYFUNCTION("GOOGLETRANSLATE(A2543,""bn"",""en"")"),"Gym mats have good grip but are difficult to clean")</f>
        <v>Gym mats have good grip but are difficult to clean</v>
      </c>
    </row>
    <row r="2544" spans="1:3" ht="15.75" customHeight="1" x14ac:dyDescent="0.25">
      <c r="A2544" s="2" t="s">
        <v>2546</v>
      </c>
      <c r="B2544" s="3" t="s">
        <v>6</v>
      </c>
      <c r="C2544" s="2" t="str">
        <f ca="1">IFERROR(__xludf.DUMMYFUNCTION("GOOGLETRANSLATE(A2544,""bn"",""en"")"),"  The color fades quickly even when kept out of direct sunlight, reducing its visual appeal")</f>
        <v xml:space="preserve">  The color fades quickly even when kept out of direct sunlight, reducing its visual appeal</v>
      </c>
    </row>
    <row r="2545" spans="1:3" ht="15.75" customHeight="1" x14ac:dyDescent="0.25">
      <c r="A2545" s="2" t="s">
        <v>2547</v>
      </c>
      <c r="B2545" s="3" t="s">
        <v>4</v>
      </c>
      <c r="C2545" s="2" t="str">
        <f ca="1">IFERROR(__xludf.DUMMYFUNCTION("GOOGLETRANSLATE(A2545,""bn"",""en"")"),"No more fear of getting wet in the rain this umbrella keeps me completely dry")</f>
        <v>No more fear of getting wet in the rain this umbrella keeps me completely dry</v>
      </c>
    </row>
    <row r="2546" spans="1:3" ht="15.75" customHeight="1" x14ac:dyDescent="0.25">
      <c r="A2546" s="2" t="s">
        <v>2548</v>
      </c>
      <c r="B2546" s="3" t="s">
        <v>2</v>
      </c>
      <c r="C2546" s="2" t="str">
        <f ca="1">IFERROR(__xludf.DUMMYFUNCTION("GOOGLETRANSLATE(A2546,""bn"",""en"")"),"Smart yoga mat corrects poses but app crashes")</f>
        <v>Smart yoga mat corrects poses but app crashes</v>
      </c>
    </row>
    <row r="2547" spans="1:3" ht="15.75" customHeight="1" x14ac:dyDescent="0.25">
      <c r="A2547" s="2" t="s">
        <v>2549</v>
      </c>
      <c r="B2547" s="3" t="s">
        <v>6</v>
      </c>
      <c r="C2547" s="2" t="str">
        <f ca="1">IFERROR(__xludf.DUMMYFUNCTION("GOOGLETRANSLATE(A2547,""bn"",""en"")"),"The product's user interface was confusing or unintelligible")</f>
        <v>The product's user interface was confusing or unintelligible</v>
      </c>
    </row>
    <row r="2548" spans="1:3" ht="15.75" customHeight="1" x14ac:dyDescent="0.25">
      <c r="A2548" s="2" t="s">
        <v>2550</v>
      </c>
      <c r="B2548" s="3" t="s">
        <v>4</v>
      </c>
      <c r="C2548" s="2" t="str">
        <f ca="1">IFERROR(__xludf.DUMMYFUNCTION("GOOGLETRANSLATE(A2548,""bn"",""en"")"),"Listening to classical music with these speakers feels like sitting in an orchestra hall")</f>
        <v>Listening to classical music with these speakers feels like sitting in an orchestra hall</v>
      </c>
    </row>
    <row r="2549" spans="1:3" ht="15.75" customHeight="1" x14ac:dyDescent="0.25">
      <c r="A2549" s="2" t="s">
        <v>2551</v>
      </c>
      <c r="B2549" s="3" t="s">
        <v>6</v>
      </c>
      <c r="C2549" s="2" t="str">
        <f ca="1">IFERROR(__xludf.DUMMYFUNCTION("GOOGLETRANSLATE(A2549,""bn"",""en"")"),"Makeup sponges absorb too much product which leads to streaky application")</f>
        <v>Makeup sponges absorb too much product which leads to streaky application</v>
      </c>
    </row>
    <row r="2550" spans="1:3" ht="15.75" customHeight="1" x14ac:dyDescent="0.25">
      <c r="A2550" s="2" t="s">
        <v>2552</v>
      </c>
      <c r="B2550" s="3" t="s">
        <v>2</v>
      </c>
      <c r="C2550" s="2" t="str">
        <f ca="1">IFERROR(__xludf.DUMMYFUNCTION("GOOGLETRANSLATE(A2550,""bn"",""en"")"),"Bluetooth headphones are good but nothing special compared to other options")</f>
        <v>Bluetooth headphones are good but nothing special compared to other options</v>
      </c>
    </row>
    <row r="2551" spans="1:3" ht="15.75" customHeight="1" x14ac:dyDescent="0.25">
      <c r="A2551" s="2" t="s">
        <v>2553</v>
      </c>
      <c r="B2551" s="3" t="s">
        <v>2</v>
      </c>
      <c r="C2551" s="2" t="str">
        <f ca="1">IFERROR(__xludf.DUMMYFUNCTION("GOOGLETRANSLATE(A2551,""bn"",""en"")"),"The color is vibrant but has had issues after washes")</f>
        <v>The color is vibrant but has had issues after washes</v>
      </c>
    </row>
    <row r="2552" spans="1:3" ht="15.75" customHeight="1" x14ac:dyDescent="0.25">
      <c r="A2552" s="2" t="s">
        <v>2554</v>
      </c>
      <c r="B2552" s="3" t="s">
        <v>2</v>
      </c>
      <c r="C2552" s="2" t="str">
        <f ca="1">IFERROR(__xludf.DUMMYFUNCTION("GOOGLETRANSLATE(A2552,""bn"",""en"")"),"The handle feels sturdy")</f>
        <v>The handle feels sturdy</v>
      </c>
    </row>
    <row r="2553" spans="1:3" ht="15.75" customHeight="1" x14ac:dyDescent="0.25">
      <c r="A2553" s="2" t="s">
        <v>2555</v>
      </c>
      <c r="B2553" s="3" t="s">
        <v>6</v>
      </c>
      <c r="C2553" s="2" t="str">
        <f ca="1">IFERROR(__xludf.DUMMYFUNCTION("GOOGLETRANSLATE(A2553,""bn"",""en"")"),"Shampoo fails to remove dirt and oil leaving hair feeling unclean")</f>
        <v>Shampoo fails to remove dirt and oil leaving hair feeling unclean</v>
      </c>
    </row>
    <row r="2554" spans="1:3" ht="15.75" customHeight="1" x14ac:dyDescent="0.25">
      <c r="A2554" s="2" t="s">
        <v>2556</v>
      </c>
      <c r="B2554" s="3" t="s">
        <v>4</v>
      </c>
      <c r="C2554" s="2" t="str">
        <f ca="1">IFERROR(__xludf.DUMMYFUNCTION("GOOGLETRANSLATE(A2554,""bn"",""en"")"),"My daughter now considers it her favorite toy and plays with it often")</f>
        <v>My daughter now considers it her favorite toy and plays with it often</v>
      </c>
    </row>
    <row r="2555" spans="1:3" ht="15.75" customHeight="1" x14ac:dyDescent="0.25">
      <c r="A2555" s="2" t="s">
        <v>2557</v>
      </c>
      <c r="B2555" s="3" t="s">
        <v>4</v>
      </c>
      <c r="C2555" s="2" t="str">
        <f ca="1">IFERROR(__xludf.DUMMYFUNCTION("GOOGLETRANSLATE(A2555,""bn"",""en"")"),"This tea has become a moment of relaxation for me")</f>
        <v>This tea has become a moment of relaxation for me</v>
      </c>
    </row>
    <row r="2556" spans="1:3" ht="15.75" customHeight="1" x14ac:dyDescent="0.25">
      <c r="A2556" s="2" t="s">
        <v>2558</v>
      </c>
      <c r="B2556" s="3" t="s">
        <v>6</v>
      </c>
      <c r="C2556" s="2" t="str">
        <f ca="1">IFERROR(__xludf.DUMMYFUNCTION("GOOGLETRANSLATE(A2556,""bn"",""en"")"),"Poorly received gifts are inappropriate for giving")</f>
        <v>Poorly received gifts are inappropriate for giving</v>
      </c>
    </row>
    <row r="2557" spans="1:3" ht="15.75" customHeight="1" x14ac:dyDescent="0.25">
      <c r="A2557" s="2" t="s">
        <v>2559</v>
      </c>
      <c r="B2557" s="3" t="s">
        <v>2</v>
      </c>
      <c r="C2557" s="2" t="str">
        <f ca="1">IFERROR(__xludf.DUMMYFUNCTION("GOOGLETRANSLATE(A2557,""bn"",""en"")"),"Preserves food but not for long")</f>
        <v>Preserves food but not for long</v>
      </c>
    </row>
    <row r="2558" spans="1:3" ht="15.75" customHeight="1" x14ac:dyDescent="0.25">
      <c r="A2558" s="2" t="s">
        <v>2560</v>
      </c>
      <c r="B2558" s="3" t="s">
        <v>2</v>
      </c>
      <c r="C2558" s="2" t="str">
        <f ca="1">IFERROR(__xludf.DUMMYFUNCTION("GOOGLETRANSLATE(A2558,""bn"",""en"")"),"It can be used outside the country")</f>
        <v>It can be used outside the country</v>
      </c>
    </row>
    <row r="2559" spans="1:3" ht="15.75" customHeight="1" x14ac:dyDescent="0.25">
      <c r="A2559" s="2" t="s">
        <v>2561</v>
      </c>
      <c r="B2559" s="3" t="s">
        <v>4</v>
      </c>
      <c r="C2559" s="2" t="str">
        <f ca="1">IFERROR(__xludf.DUMMYFUNCTION("GOOGLETRANSLATE(A2559,""bn"",""en"")"),"The color is good according to the environment")</f>
        <v>The color is good according to the environment</v>
      </c>
    </row>
    <row r="2560" spans="1:3" ht="15.75" customHeight="1" x14ac:dyDescent="0.25">
      <c r="A2560" s="2" t="s">
        <v>2562</v>
      </c>
      <c r="B2560" s="3" t="s">
        <v>2</v>
      </c>
      <c r="C2560" s="2" t="str">
        <f ca="1">IFERROR(__xludf.DUMMYFUNCTION("GOOGLETRANSLATE(A2560,""bn"",""en"")"),"Ok for earrings etc nothing special")</f>
        <v>Ok for earrings etc nothing special</v>
      </c>
    </row>
    <row r="2561" spans="1:3" ht="15.75" customHeight="1" x14ac:dyDescent="0.25">
      <c r="A2561" s="2" t="s">
        <v>2563</v>
      </c>
      <c r="B2561" s="3" t="s">
        <v>6</v>
      </c>
      <c r="C2561" s="2" t="str">
        <f ca="1">IFERROR(__xludf.DUMMYFUNCTION("GOOGLETRANSLATE(A2561,""bn"",""en"")"),"Half-empty bottles resulting from damaged packaging")</f>
        <v>Half-empty bottles resulting from damaged packaging</v>
      </c>
    </row>
    <row r="2562" spans="1:3" ht="15.75" customHeight="1" x14ac:dyDescent="0.25">
      <c r="A2562" s="2" t="s">
        <v>2564</v>
      </c>
      <c r="B2562" s="3" t="s">
        <v>2</v>
      </c>
      <c r="C2562" s="2" t="str">
        <f ca="1">IFERROR(__xludf.DUMMYFUNCTION("GOOGLETRANSLATE(A2562,""bn"",""en"")"),"My car runs very hard but it also smokes")</f>
        <v>My car runs very hard but it also smokes</v>
      </c>
    </row>
    <row r="2563" spans="1:3" ht="15.75" customHeight="1" x14ac:dyDescent="0.25">
      <c r="A2563" s="2" t="s">
        <v>2565</v>
      </c>
      <c r="B2563" s="3" t="s">
        <v>2</v>
      </c>
      <c r="C2563" s="2" t="str">
        <f ca="1">IFERROR(__xludf.DUMMYFUNCTION("GOOGLETRANSLATE(A2563,""bn"",""en"")"),"Didn't feel like waiting")</f>
        <v>Didn't feel like waiting</v>
      </c>
    </row>
    <row r="2564" spans="1:3" ht="15.75" customHeight="1" x14ac:dyDescent="0.25">
      <c r="A2564" s="2" t="s">
        <v>2566</v>
      </c>
      <c r="B2564" s="3" t="s">
        <v>4</v>
      </c>
      <c r="C2564" s="2" t="str">
        <f ca="1">IFERROR(__xludf.DUMMYFUNCTION("GOOGLETRANSLATE(A2564,""bn"",""en"")"),"Just great")</f>
        <v>Just great</v>
      </c>
    </row>
    <row r="2565" spans="1:3" ht="15.75" customHeight="1" x14ac:dyDescent="0.25">
      <c r="A2565" s="2" t="s">
        <v>2567</v>
      </c>
      <c r="B2565" s="3" t="s">
        <v>4</v>
      </c>
      <c r="C2565" s="2" t="str">
        <f ca="1">IFERROR(__xludf.DUMMYFUNCTION("GOOGLETRANSLATE(A2565,""bn"",""en"")"),"Each color pencil or crayon size is perfect to hold")</f>
        <v>Each color pencil or crayon size is perfect to hold</v>
      </c>
    </row>
    <row r="2566" spans="1:3" ht="15.75" customHeight="1" x14ac:dyDescent="0.25">
      <c r="A2566" s="2" t="s">
        <v>2568</v>
      </c>
      <c r="B2566" s="3" t="s">
        <v>2</v>
      </c>
      <c r="C2566" s="2" t="str">
        <f ca="1">IFERROR(__xludf.DUMMYFUNCTION("GOOGLETRANSLATE(A2566,""bn"",""en"")"),"The headphones are small and have room for improvement")</f>
        <v>The headphones are small and have room for improvement</v>
      </c>
    </row>
    <row r="2567" spans="1:3" ht="15.75" customHeight="1" x14ac:dyDescent="0.25">
      <c r="A2567" s="2" t="s">
        <v>2569</v>
      </c>
      <c r="B2567" s="3" t="s">
        <v>2</v>
      </c>
      <c r="C2567" s="2" t="str">
        <f ca="1">IFERROR(__xludf.DUMMYFUNCTION("GOOGLETRANSLATE(A2567,""bn"",""en"")"),"Makes different weather sounds but not very realistic")</f>
        <v>Makes different weather sounds but not very realistic</v>
      </c>
    </row>
    <row r="2568" spans="1:3" ht="15.75" customHeight="1" x14ac:dyDescent="0.25">
      <c r="A2568" s="2" t="s">
        <v>2570</v>
      </c>
      <c r="B2568" s="3" t="s">
        <v>4</v>
      </c>
      <c r="C2568" s="2" t="str">
        <f ca="1">IFERROR(__xludf.DUMMYFUNCTION("GOOGLETRANSLATE(A2568,""bn"",""en"")"),"It feels like a unique ring")</f>
        <v>It feels like a unique ring</v>
      </c>
    </row>
    <row r="2569" spans="1:3" ht="15.75" customHeight="1" x14ac:dyDescent="0.25">
      <c r="A2569" s="2" t="s">
        <v>2571</v>
      </c>
      <c r="B2569" s="3" t="s">
        <v>6</v>
      </c>
      <c r="C2569" s="2" t="str">
        <f ca="1">IFERROR(__xludf.DUMMYFUNCTION("GOOGLETRANSLATE(A2569,""bn"",""en"")")," Build quality feels cheap with materials that flex under pressure")</f>
        <v xml:space="preserve"> Build quality feels cheap with materials that flex under pressure</v>
      </c>
    </row>
    <row r="2570" spans="1:3" ht="15.75" customHeight="1" x14ac:dyDescent="0.25">
      <c r="A2570" s="2" t="s">
        <v>2572</v>
      </c>
      <c r="B2570" s="3" t="s">
        <v>4</v>
      </c>
      <c r="C2570" s="2" t="str">
        <f ca="1">IFERROR(__xludf.DUMMYFUNCTION("GOOGLETRANSLATE(A2570,""bn"",""en"")"),"The folding mechanism is very easy to open and close with one hand")</f>
        <v>The folding mechanism is very easy to open and close with one hand</v>
      </c>
    </row>
    <row r="2571" spans="1:3" ht="15.75" customHeight="1" x14ac:dyDescent="0.25">
      <c r="A2571" s="2" t="s">
        <v>2573</v>
      </c>
      <c r="B2571" s="3" t="s">
        <v>4</v>
      </c>
      <c r="C2571" s="2" t="str">
        <f ca="1">IFERROR(__xludf.DUMMYFUNCTION("GOOGLETRANSLATE(A2571,""bn"",""en"")"),"The watch is heat resistant")</f>
        <v>The watch is heat resistant</v>
      </c>
    </row>
    <row r="2572" spans="1:3" ht="15.75" customHeight="1" x14ac:dyDescent="0.25">
      <c r="A2572" s="2" t="s">
        <v>2574</v>
      </c>
      <c r="B2572" s="3" t="s">
        <v>6</v>
      </c>
      <c r="C2572" s="2" t="str">
        <f ca="1">IFERROR(__xludf.DUMMYFUNCTION("GOOGLETRANSLATE(A2572,""bn"",""en"")"),"There was a cheap zipper that was getting stuck and was hard to unzip")</f>
        <v>There was a cheap zipper that was getting stuck and was hard to unzip</v>
      </c>
    </row>
    <row r="2573" spans="1:3" ht="15.75" customHeight="1" x14ac:dyDescent="0.25">
      <c r="A2573" s="2" t="s">
        <v>2575</v>
      </c>
      <c r="B2573" s="3" t="s">
        <v>4</v>
      </c>
      <c r="C2573" s="2" t="str">
        <f ca="1">IFERROR(__xludf.DUMMYFUNCTION("GOOGLETRANSLATE(A2573,""bn"",""en"")"),"This speaker has increased the importance of music in my life")</f>
        <v>This speaker has increased the importance of music in my life</v>
      </c>
    </row>
    <row r="2574" spans="1:3" ht="15.75" customHeight="1" x14ac:dyDescent="0.25">
      <c r="A2574" s="2" t="s">
        <v>2576</v>
      </c>
      <c r="B2574" s="3" t="s">
        <v>6</v>
      </c>
      <c r="C2574" s="2" t="str">
        <f ca="1">IFERROR(__xludf.DUMMYFUNCTION("GOOGLETRANSLATE(A2574,""bn"",""en"")"),"The wrong temperature gauge gave misleading readings")</f>
        <v>The wrong temperature gauge gave misleading readings</v>
      </c>
    </row>
    <row r="2575" spans="1:3" ht="15.75" customHeight="1" x14ac:dyDescent="0.25">
      <c r="A2575" s="2" t="s">
        <v>2577</v>
      </c>
      <c r="B2575" s="3" t="s">
        <v>6</v>
      </c>
      <c r="C2575" s="2" t="str">
        <f ca="1">IFERROR(__xludf.DUMMYFUNCTION("GOOGLETRANSLATE(A2575,""bn"",""en"")"),"Heat distribution is not uniform")</f>
        <v>Heat distribution is not uniform</v>
      </c>
    </row>
    <row r="2576" spans="1:3" ht="15.75" customHeight="1" x14ac:dyDescent="0.25">
      <c r="A2576" s="2" t="s">
        <v>2578</v>
      </c>
      <c r="B2576" s="3" t="s">
        <v>6</v>
      </c>
      <c r="C2576" s="2" t="str">
        <f ca="1">IFERROR(__xludf.DUMMYFUNCTION("GOOGLETRANSLATE(A2576,""bn"",""en"")"),"Portable grill legs wobble while cooking")</f>
        <v>Portable grill legs wobble while cooking</v>
      </c>
    </row>
    <row r="2577" spans="1:3" ht="15.75" customHeight="1" x14ac:dyDescent="0.25">
      <c r="A2577" s="2" t="s">
        <v>2579</v>
      </c>
      <c r="B2577" s="3" t="s">
        <v>2</v>
      </c>
      <c r="C2577" s="2" t="str">
        <f ca="1">IFERROR(__xludf.DUMMYFUNCTION("GOOGLETRANSLATE(A2577,""bn"",""en"")"),"The smartwatch shows notifications and the battery runs out after a certain period of time")</f>
        <v>The smartwatch shows notifications and the battery runs out after a certain period of time</v>
      </c>
    </row>
    <row r="2578" spans="1:3" ht="15.75" customHeight="1" x14ac:dyDescent="0.25">
      <c r="A2578" s="2" t="s">
        <v>2580</v>
      </c>
      <c r="B2578" s="3" t="s">
        <v>6</v>
      </c>
      <c r="C2578" s="2" t="str">
        <f ca="1">IFERROR(__xludf.DUMMYFUNCTION("GOOGLETRANSLATE(A2578,""bn"",""en"")")," The screen had uneven backlighting with patches of brightness and darkness")</f>
        <v xml:space="preserve"> The screen had uneven backlighting with patches of brightness and darkness</v>
      </c>
    </row>
    <row r="2579" spans="1:3" ht="15.75" customHeight="1" x14ac:dyDescent="0.25">
      <c r="A2579" s="2" t="s">
        <v>2581</v>
      </c>
      <c r="B2579" s="3" t="s">
        <v>2</v>
      </c>
      <c r="C2579" s="2" t="str">
        <f ca="1">IFERROR(__xludf.DUMMYFUNCTION("GOOGLETRANSLATE(A2579,""bn"",""en"")"),"Working with a mop requires less physical effort")</f>
        <v>Working with a mop requires less physical effort</v>
      </c>
    </row>
    <row r="2580" spans="1:3" ht="15.75" customHeight="1" x14ac:dyDescent="0.25">
      <c r="A2580" s="2" t="s">
        <v>2582</v>
      </c>
      <c r="B2580" s="3" t="s">
        <v>2</v>
      </c>
      <c r="C2580" s="2" t="str">
        <f ca="1">IFERROR(__xludf.DUMMYFUNCTION("GOOGLETRANSLATE(A2580,""bn"",""en"")"),"The wine chiller keeps cold but takes up a lot of space")</f>
        <v>The wine chiller keeps cold but takes up a lot of space</v>
      </c>
    </row>
    <row r="2581" spans="1:3" ht="15.75" customHeight="1" x14ac:dyDescent="0.25">
      <c r="A2581" s="2" t="s">
        <v>2583</v>
      </c>
      <c r="B2581" s="3" t="s">
        <v>2</v>
      </c>
      <c r="C2581" s="2" t="str">
        <f ca="1">IFERROR(__xludf.DUMMYFUNCTION("GOOGLETRANSLATE(A2581,""bn"",""en"")"),"The anti-odor system could have been better")</f>
        <v>The anti-odor system could have been better</v>
      </c>
    </row>
    <row r="2582" spans="1:3" ht="15.75" customHeight="1" x14ac:dyDescent="0.25">
      <c r="A2582" s="2" t="s">
        <v>2584</v>
      </c>
      <c r="B2582" s="3" t="s">
        <v>2</v>
      </c>
      <c r="C2582" s="2" t="str">
        <f ca="1">IFERROR(__xludf.DUMMYFUNCTION("GOOGLETRANSLATE(A2582,""bn"",""en"")"),"Dries in a short time")</f>
        <v>Dries in a short time</v>
      </c>
    </row>
    <row r="2583" spans="1:3" ht="15.75" customHeight="1" x14ac:dyDescent="0.25">
      <c r="A2583" s="2" t="s">
        <v>2585</v>
      </c>
      <c r="B2583" s="3" t="s">
        <v>2</v>
      </c>
      <c r="C2583" s="2" t="str">
        <f ca="1">IFERROR(__xludf.DUMMYFUNCTION("GOOGLETRANSLATE(A2583,""bn"",""en"")"),"The quality is consistent with the price but it's nothing special")</f>
        <v>The quality is consistent with the price but it's nothing special</v>
      </c>
    </row>
    <row r="2584" spans="1:3" ht="15.75" customHeight="1" x14ac:dyDescent="0.25">
      <c r="A2584" s="2" t="s">
        <v>2586</v>
      </c>
      <c r="B2584" s="3" t="s">
        <v>6</v>
      </c>
      <c r="C2584" s="2" t="str">
        <f ca="1">IFERROR(__xludf.DUMMYFUNCTION("GOOGLETRANSLATE(A2584,""bn"",""en"")"),"Cordless drill batteries die quickly and can't finish projects")</f>
        <v>Cordless drill batteries die quickly and can't finish projects</v>
      </c>
    </row>
    <row r="2585" spans="1:3" ht="15.75" customHeight="1" x14ac:dyDescent="0.25">
      <c r="A2585" s="2" t="s">
        <v>2587</v>
      </c>
      <c r="B2585" s="3" t="s">
        <v>4</v>
      </c>
      <c r="C2585" s="2" t="str">
        <f ca="1">IFERROR(__xludf.DUMMYFUNCTION("GOOGLETRANSLATE(A2585,""bn"",""en"")"),"This body wash is suitable for daily use")</f>
        <v>This body wash is suitable for daily use</v>
      </c>
    </row>
    <row r="2586" spans="1:3" ht="15.75" customHeight="1" x14ac:dyDescent="0.25">
      <c r="A2586" s="2" t="s">
        <v>2588</v>
      </c>
      <c r="B2586" s="3" t="s">
        <v>2</v>
      </c>
      <c r="C2586" s="2" t="str">
        <f ca="1">IFERROR(__xludf.DUMMYFUNCTION("GOOGLETRANSLATE(A2586,""bn"",""en"")"),"Fairly ok but the quality is not great")</f>
        <v>Fairly ok but the quality is not great</v>
      </c>
    </row>
    <row r="2587" spans="1:3" ht="15.75" customHeight="1" x14ac:dyDescent="0.25">
      <c r="A2587" s="2" t="s">
        <v>2589</v>
      </c>
      <c r="B2587" s="3" t="s">
        <v>6</v>
      </c>
      <c r="C2587" s="2" t="str">
        <f ca="1">IFERROR(__xludf.DUMMYFUNCTION("GOOGLETRANSLATE(A2587,""bn"",""en"")"),"Artwork that fails to impress lacks creativity")</f>
        <v>Artwork that fails to impress lacks creativity</v>
      </c>
    </row>
    <row r="2588" spans="1:3" ht="15.75" customHeight="1" x14ac:dyDescent="0.25">
      <c r="A2588" s="2" t="s">
        <v>2590</v>
      </c>
      <c r="B2588" s="3" t="s">
        <v>6</v>
      </c>
      <c r="C2588" s="2" t="str">
        <f ca="1">IFERROR(__xludf.DUMMYFUNCTION("GOOGLETRANSLATE(A2588,""bn"",""en"")"),"Disappointing gift damaged by lack of hygiene")</f>
        <v>Disappointing gift damaged by lack of hygiene</v>
      </c>
    </row>
    <row r="2589" spans="1:3" ht="15.75" customHeight="1" x14ac:dyDescent="0.25">
      <c r="A2589" s="2" t="s">
        <v>2591</v>
      </c>
      <c r="B2589" s="3" t="s">
        <v>4</v>
      </c>
      <c r="C2589" s="2" t="str">
        <f ca="1">IFERROR(__xludf.DUMMYFUNCTION("GOOGLETRANSLATE(A2589,""bn"",""en"")"),"Our office teamwork is very good")</f>
        <v>Our office teamwork is very good</v>
      </c>
    </row>
    <row r="2590" spans="1:3" ht="15.75" customHeight="1" x14ac:dyDescent="0.25">
      <c r="A2590" s="2" t="s">
        <v>2592</v>
      </c>
      <c r="B2590" s="3" t="s">
        <v>2</v>
      </c>
      <c r="C2590" s="2" t="str">
        <f ca="1">IFERROR(__xludf.DUMMYFUNCTION("GOOGLETRANSLATE(A2590,""bn"",""en"")"),"It has its uses")</f>
        <v>It has its uses</v>
      </c>
    </row>
    <row r="2591" spans="1:3" ht="15.75" customHeight="1" x14ac:dyDescent="0.25">
      <c r="A2591" s="2" t="s">
        <v>2593</v>
      </c>
      <c r="B2591" s="3" t="s">
        <v>2</v>
      </c>
      <c r="C2591" s="2" t="str">
        <f ca="1">IFERROR(__xludf.DUMMYFUNCTION("GOOGLETRANSLATE(A2591,""bn"",""en"")"),"The product title is a bit misleading")</f>
        <v>The product title is a bit misleading</v>
      </c>
    </row>
    <row r="2592" spans="1:3" ht="15.75" customHeight="1" x14ac:dyDescent="0.25">
      <c r="A2592" s="2" t="s">
        <v>2594</v>
      </c>
      <c r="B2592" s="3" t="s">
        <v>4</v>
      </c>
      <c r="C2592" s="2" t="str">
        <f ca="1">IFERROR(__xludf.DUMMYFUNCTION("GOOGLETRANSLATE(A2592,""bn"",""en"")"),"Very pleased to buy this umbrella for the rainy season, first I was impressed by its light weight")</f>
        <v>Very pleased to buy this umbrella for the rainy season, first I was impressed by its light weight</v>
      </c>
    </row>
    <row r="2593" spans="1:3" ht="15.75" customHeight="1" x14ac:dyDescent="0.25">
      <c r="A2593" s="2" t="s">
        <v>2595</v>
      </c>
      <c r="B2593" s="3" t="s">
        <v>2</v>
      </c>
      <c r="C2593" s="2" t="str">
        <f ca="1">IFERROR(__xludf.DUMMYFUNCTION("GOOGLETRANSLATE(A2593,""bn"",""en"")"),"Water resistant but should not be kept wet for long periods of time")</f>
        <v>Water resistant but should not be kept wet for long periods of time</v>
      </c>
    </row>
    <row r="2594" spans="1:3" ht="15.75" customHeight="1" x14ac:dyDescent="0.25">
      <c r="A2594" s="2" t="s">
        <v>2596</v>
      </c>
      <c r="B2594" s="3" t="s">
        <v>2</v>
      </c>
      <c r="C2594" s="2" t="str">
        <f ca="1">IFERROR(__xludf.DUMMYFUNCTION("GOOGLETRANSLATE(A2594,""bn"",""en"")"),"Wireless scent generators work well but refills are expensive")</f>
        <v>Wireless scent generators work well but refills are expensive</v>
      </c>
    </row>
    <row r="2595" spans="1:3" ht="15.75" customHeight="1" x14ac:dyDescent="0.25">
      <c r="A2595" s="2" t="s">
        <v>2597</v>
      </c>
      <c r="B2595" s="3" t="s">
        <v>4</v>
      </c>
      <c r="C2595" s="2" t="str">
        <f ca="1">IFERROR(__xludf.DUMMYFUNCTION("GOOGLETRANSLATE(A2595,""bn"",""en"")"),"Great value can be good value")</f>
        <v>Great value can be good value</v>
      </c>
    </row>
    <row r="2596" spans="1:3" ht="15.75" customHeight="1" x14ac:dyDescent="0.25">
      <c r="A2596" s="2" t="s">
        <v>2598</v>
      </c>
      <c r="B2596" s="3" t="s">
        <v>4</v>
      </c>
      <c r="C2596" s="2" t="str">
        <f ca="1">IFERROR(__xludf.DUMMYFUNCTION("GOOGLETRANSLATE(A2596,""bn"",""en"")"),"The boy studies regularly every day")</f>
        <v>The boy studies regularly every day</v>
      </c>
    </row>
    <row r="2597" spans="1:3" ht="15.75" customHeight="1" x14ac:dyDescent="0.25">
      <c r="A2597" s="2" t="s">
        <v>2599</v>
      </c>
      <c r="B2597" s="3" t="s">
        <v>2</v>
      </c>
      <c r="C2597" s="2" t="str">
        <f ca="1">IFERROR(__xludf.DUMMYFUNCTION("GOOGLETRANSLATE(A2597,""bn"",""en"")"),"It needs to be completely dried after use")</f>
        <v>It needs to be completely dried after use</v>
      </c>
    </row>
    <row r="2598" spans="1:3" ht="15.75" customHeight="1" x14ac:dyDescent="0.25">
      <c r="A2598" s="2" t="s">
        <v>2600</v>
      </c>
      <c r="B2598" s="3" t="s">
        <v>2</v>
      </c>
      <c r="C2598" s="2" t="str">
        <f ca="1">IFERROR(__xludf.DUMMYFUNCTION("GOOGLETRANSLATE(A2598,""bn"",""en"")"),"The juice is not quite as sweet or sour as it should be")</f>
        <v>The juice is not quite as sweet or sour as it should be</v>
      </c>
    </row>
    <row r="2599" spans="1:3" ht="15.75" customHeight="1" x14ac:dyDescent="0.25">
      <c r="A2599" s="2" t="s">
        <v>2601</v>
      </c>
      <c r="B2599" s="3" t="s">
        <v>4</v>
      </c>
      <c r="C2599" s="2" t="str">
        <f ca="1">IFERROR(__xludf.DUMMYFUNCTION("GOOGLETRANSLATE(A2599,""bn"",""en"")"),"The colors are soft and apply smoothly")</f>
        <v>The colors are soft and apply smoothly</v>
      </c>
    </row>
    <row r="2600" spans="1:3" ht="15.75" customHeight="1" x14ac:dyDescent="0.25">
      <c r="A2600" s="2" t="s">
        <v>2602</v>
      </c>
      <c r="B2600" s="3" t="s">
        <v>2</v>
      </c>
      <c r="C2600" s="2" t="str">
        <f ca="1">IFERROR(__xludf.DUMMYFUNCTION("GOOGLETRANSLATE(A2600,""bn"",""en"")"),"It will be easier to wash hands after use")</f>
        <v>It will be easier to wash hands after use</v>
      </c>
    </row>
    <row r="2601" spans="1:3" ht="15.75" customHeight="1" x14ac:dyDescent="0.25">
      <c r="A2601" s="2" t="s">
        <v>2603</v>
      </c>
      <c r="B2601" s="3" t="s">
        <v>2</v>
      </c>
      <c r="C2601" s="2" t="str">
        <f ca="1">IFERROR(__xludf.DUMMYFUNCTION("GOOGLETRANSLATE(A2601,""bn"",""en"")"),"Good gift but some beads are defective")</f>
        <v>Good gift but some beads are defective</v>
      </c>
    </row>
    <row r="2602" spans="1:3" ht="15.75" customHeight="1" x14ac:dyDescent="0.25">
      <c r="A2602" s="2" t="s">
        <v>2604</v>
      </c>
      <c r="B2602" s="3" t="s">
        <v>6</v>
      </c>
      <c r="C2602" s="2" t="str">
        <f ca="1">IFERROR(__xludf.DUMMYFUNCTION("GOOGLETRANSLATE(A2602,""bn"",""en"")"),"The item's design was outdated")</f>
        <v>The item's design was outdated</v>
      </c>
    </row>
    <row r="2603" spans="1:3" ht="15.75" customHeight="1" x14ac:dyDescent="0.25">
      <c r="A2603" s="2" t="s">
        <v>2605</v>
      </c>
      <c r="B2603" s="3" t="s">
        <v>4</v>
      </c>
      <c r="C2603" s="2" t="str">
        <f ca="1">IFERROR(__xludf.DUMMYFUNCTION("GOOGLETRANSLATE(A2603,""bn"",""en"")"),"The hairs of the makeup brush are soft and comfortable to use")</f>
        <v>The hairs of the makeup brush are soft and comfortable to use</v>
      </c>
    </row>
    <row r="2604" spans="1:3" ht="15.75" customHeight="1" x14ac:dyDescent="0.25">
      <c r="A2604" s="2" t="s">
        <v>2606</v>
      </c>
      <c r="B2604" s="3" t="s">
        <v>4</v>
      </c>
      <c r="C2604" s="2" t="str">
        <f ca="1">IFERROR(__xludf.DUMMYFUNCTION("GOOGLETRANSLATE(A2604,""bn"",""en"")"),"The bookshelf has adjustable partitions")</f>
        <v>The bookshelf has adjustable partitions</v>
      </c>
    </row>
    <row r="2605" spans="1:3" ht="15.75" customHeight="1" x14ac:dyDescent="0.25">
      <c r="A2605" s="2" t="s">
        <v>2607</v>
      </c>
      <c r="B2605" s="3" t="s">
        <v>2</v>
      </c>
      <c r="C2605" s="2" t="str">
        <f ca="1">IFERROR(__xludf.DUMMYFUNCTION("GOOGLETRANSLATE(A2605,""bn"",""en"")"),"Affordable in terms of price")</f>
        <v>Affordable in terms of price</v>
      </c>
    </row>
    <row r="2606" spans="1:3" ht="15.75" customHeight="1" x14ac:dyDescent="0.25">
      <c r="A2606" s="2" t="s">
        <v>2608</v>
      </c>
      <c r="B2606" s="3" t="s">
        <v>4</v>
      </c>
      <c r="C2606" s="2" t="str">
        <f ca="1">IFERROR(__xludf.DUMMYFUNCTION("GOOGLETRANSLATE(A2606,""bn"",""en"")"),"The blanket is light in weight which provides comfort while sleeping")</f>
        <v>The blanket is light in weight which provides comfort while sleeping</v>
      </c>
    </row>
    <row r="2607" spans="1:3" ht="15.75" customHeight="1" x14ac:dyDescent="0.25">
      <c r="A2607" s="2" t="s">
        <v>2609</v>
      </c>
      <c r="B2607" s="3" t="s">
        <v>4</v>
      </c>
      <c r="C2607" s="2" t="str">
        <f ca="1">IFERROR(__xludf.DUMMYFUNCTION("GOOGLETRANSLATE(A2607,""bn"",""en"")"),"Biscuits stay fresh for several hours")</f>
        <v>Biscuits stay fresh for several hours</v>
      </c>
    </row>
    <row r="2608" spans="1:3" ht="15.75" customHeight="1" x14ac:dyDescent="0.25">
      <c r="A2608" s="2" t="s">
        <v>2610</v>
      </c>
      <c r="B2608" s="3" t="s">
        <v>4</v>
      </c>
      <c r="C2608" s="2" t="str">
        <f ca="1">IFERROR(__xludf.DUMMYFUNCTION("GOOGLETRANSLATE(A2608,""bn"",""en"")"),"Best quality for the price ")</f>
        <v xml:space="preserve">Best quality for the price </v>
      </c>
    </row>
    <row r="2609" spans="1:3" ht="15.75" customHeight="1" x14ac:dyDescent="0.25">
      <c r="A2609" s="2" t="s">
        <v>2611</v>
      </c>
      <c r="B2609" s="3" t="s">
        <v>2</v>
      </c>
      <c r="C2609" s="2" t="str">
        <f ca="1">IFERROR(__xludf.DUMMYFUNCTION("GOOGLETRANSLATE(A2609,""bn"",""en"")"),"Nice for fashion but finishing is not good")</f>
        <v>Nice for fashion but finishing is not good</v>
      </c>
    </row>
    <row r="2610" spans="1:3" ht="15.75" customHeight="1" x14ac:dyDescent="0.25">
      <c r="A2610" s="2" t="s">
        <v>2612</v>
      </c>
      <c r="B2610" s="3" t="s">
        <v>6</v>
      </c>
      <c r="C2610" s="2" t="str">
        <f ca="1">IFERROR(__xludf.DUMMYFUNCTION("GOOGLETRANSLATE(A2610,""bn"",""en"")"),"The price paid for poor quality and design flaws is not worth it")</f>
        <v>The price paid for poor quality and design flaws is not worth it</v>
      </c>
    </row>
    <row r="2611" spans="1:3" ht="15.75" customHeight="1" x14ac:dyDescent="0.25">
      <c r="A2611" s="2" t="s">
        <v>2613</v>
      </c>
      <c r="B2611" s="3" t="s">
        <v>4</v>
      </c>
      <c r="C2611" s="2" t="str">
        <f ca="1">IFERROR(__xludf.DUMMYFUNCTION("GOOGLETRANSLATE(A2611,""bn"",""en"")"),"The construction style of the air cooler is commendable")</f>
        <v>The construction style of the air cooler is commendable</v>
      </c>
    </row>
    <row r="2612" spans="1:3" ht="15.75" customHeight="1" x14ac:dyDescent="0.25">
      <c r="A2612" s="2" t="s">
        <v>2614</v>
      </c>
      <c r="B2612" s="3" t="s">
        <v>2</v>
      </c>
      <c r="C2612" s="2" t="str">
        <f ca="1">IFERROR(__xludf.DUMMYFUNCTION("GOOGLETRANSLATE(A2612,""bn"",""en"")"),"The sole of the shoe is sturdy but collects dust")</f>
        <v>The sole of the shoe is sturdy but collects dust</v>
      </c>
    </row>
    <row r="2613" spans="1:3" ht="15.75" customHeight="1" x14ac:dyDescent="0.25">
      <c r="A2613" s="2" t="s">
        <v>2615</v>
      </c>
      <c r="B2613" s="3" t="s">
        <v>2</v>
      </c>
      <c r="C2613" s="2" t="str">
        <f ca="1">IFERROR(__xludf.DUMMYFUNCTION("GOOGLETRANSLATE(A2613,""bn"",""en"")"),"Portable ozone generators purify the air but the smell is strong")</f>
        <v>Portable ozone generators purify the air but the smell is strong</v>
      </c>
    </row>
    <row r="2614" spans="1:3" ht="15.75" customHeight="1" x14ac:dyDescent="0.25">
      <c r="A2614" s="2" t="s">
        <v>2616</v>
      </c>
      <c r="B2614" s="3" t="s">
        <v>2</v>
      </c>
      <c r="C2614" s="2" t="str">
        <f ca="1">IFERROR(__xludf.DUMMYFUNCTION("GOOGLETRANSLATE(A2614,""bn"",""en"")"),"Smart parking sensor helps to park the car but installation is complicated")</f>
        <v>Smart parking sensor helps to park the car but installation is complicated</v>
      </c>
    </row>
    <row r="2615" spans="1:3" ht="15.75" customHeight="1" x14ac:dyDescent="0.25">
      <c r="A2615" s="2" t="s">
        <v>2617</v>
      </c>
      <c r="B2615" s="3" t="s">
        <v>2</v>
      </c>
      <c r="C2615" s="2" t="str">
        <f ca="1">IFERROR(__xludf.DUMMYFUNCTION("GOOGLETRANSLATE(A2615,""bn"",""en"")"),"The brush reaches the back of the face")</f>
        <v>The brush reaches the back of the face</v>
      </c>
    </row>
    <row r="2616" spans="1:3" ht="15.75" customHeight="1" x14ac:dyDescent="0.25">
      <c r="A2616" s="2" t="s">
        <v>2618</v>
      </c>
      <c r="B2616" s="3" t="s">
        <v>4</v>
      </c>
      <c r="C2616" s="2" t="str">
        <f ca="1">IFERROR(__xludf.DUMMYFUNCTION("GOOGLETRANSLATE(A2616,""bn"",""en"")"),"They are working well and have really good speed")</f>
        <v>They are working well and have really good speed</v>
      </c>
    </row>
    <row r="2617" spans="1:3" ht="15.75" customHeight="1" x14ac:dyDescent="0.25">
      <c r="A2617" s="2" t="s">
        <v>2619</v>
      </c>
      <c r="B2617" s="3" t="s">
        <v>2</v>
      </c>
      <c r="C2617" s="2" t="str">
        <f ca="1">IFERROR(__xludf.DUMMYFUNCTION("GOOGLETRANSLATE(A2617,""bn"",""en"")"),"Looks nice but fabric quality is low")</f>
        <v>Looks nice but fabric quality is low</v>
      </c>
    </row>
    <row r="2618" spans="1:3" ht="15.75" customHeight="1" x14ac:dyDescent="0.25">
      <c r="A2618" s="2" t="s">
        <v>2620</v>
      </c>
      <c r="B2618" s="3" t="s">
        <v>4</v>
      </c>
      <c r="C2618" s="2" t="str">
        <f ca="1">IFERROR(__xludf.DUMMYFUNCTION("GOOGLETRANSLATE(A2618,""bn"",""en"")"),"Fast delivery good product the charger works fast ")</f>
        <v xml:space="preserve">Fast delivery good product the charger works fast </v>
      </c>
    </row>
    <row r="2619" spans="1:3" ht="15.75" customHeight="1" x14ac:dyDescent="0.25">
      <c r="A2619" s="2" t="s">
        <v>2621</v>
      </c>
      <c r="B2619" s="3" t="s">
        <v>4</v>
      </c>
      <c r="C2619" s="2" t="str">
        <f ca="1">IFERROR(__xludf.DUMMYFUNCTION("GOOGLETRANSLATE(A2619,""bn"",""en"")"),"The GorillaPod kit works very well")</f>
        <v>The GorillaPod kit works very well</v>
      </c>
    </row>
    <row r="2620" spans="1:3" ht="15.75" customHeight="1" x14ac:dyDescent="0.25">
      <c r="A2620" s="2" t="s">
        <v>2622</v>
      </c>
      <c r="B2620" s="3" t="s">
        <v>6</v>
      </c>
      <c r="C2620" s="2" t="str">
        <f ca="1">IFERROR(__xludf.DUMMYFUNCTION("GOOGLETRANSLATE(A2620,""bn"",""en"")"),"Highlighter emphasizes skin pores and texture rather than blurring it")</f>
        <v>Highlighter emphasizes skin pores and texture rather than blurring it</v>
      </c>
    </row>
    <row r="2621" spans="1:3" ht="15.75" customHeight="1" x14ac:dyDescent="0.25">
      <c r="A2621" s="2" t="s">
        <v>2623</v>
      </c>
      <c r="B2621" s="3" t="s">
        <v>4</v>
      </c>
      <c r="C2621" s="2" t="str">
        <f ca="1">IFERROR(__xludf.DUMMYFUNCTION("GOOGLETRANSLATE(A2621,""bn"",""en"")"),"The phone case looks very nice")</f>
        <v>The phone case looks very nice</v>
      </c>
    </row>
    <row r="2622" spans="1:3" ht="15.75" customHeight="1" x14ac:dyDescent="0.25">
      <c r="A2622" s="2" t="s">
        <v>2624</v>
      </c>
      <c r="B2622" s="3" t="s">
        <v>6</v>
      </c>
      <c r="C2622" s="2" t="str">
        <f ca="1">IFERROR(__xludf.DUMMYFUNCTION("GOOGLETRANSLATE(A2622,""bn"",""en"")"),"Uncomfortable fit running connection problems")</f>
        <v>Uncomfortable fit running connection problems</v>
      </c>
    </row>
    <row r="2623" spans="1:3" ht="15.75" customHeight="1" x14ac:dyDescent="0.25">
      <c r="A2623" s="2" t="s">
        <v>2625</v>
      </c>
      <c r="B2623" s="3" t="s">
        <v>2</v>
      </c>
      <c r="C2623" s="2" t="str">
        <f ca="1">IFERROR(__xludf.DUMMYFUNCTION("GOOGLETRANSLATE(A2623,""bn"",""en"")"),"Perfect for securing important pins but may be too tight in some cases")</f>
        <v>Perfect for securing important pins but may be too tight in some cases</v>
      </c>
    </row>
    <row r="2624" spans="1:3" ht="15.75" customHeight="1" x14ac:dyDescent="0.25">
      <c r="A2624" s="2" t="s">
        <v>2626</v>
      </c>
      <c r="B2624" s="3" t="s">
        <v>4</v>
      </c>
      <c r="C2624" s="2" t="str">
        <f ca="1">IFERROR(__xludf.DUMMYFUNCTION("GOOGLETRANSLATE(A2624,""bn"",""en"")"),"The bottom of the coffee table has wheels for easy movement")</f>
        <v>The bottom of the coffee table has wheels for easy movement</v>
      </c>
    </row>
    <row r="2625" spans="1:3" ht="15.75" customHeight="1" x14ac:dyDescent="0.25">
      <c r="A2625" s="2" t="s">
        <v>2627</v>
      </c>
      <c r="B2625" s="3" t="s">
        <v>2</v>
      </c>
      <c r="C2625" s="2" t="str">
        <f ca="1">IFERROR(__xludf.DUMMYFUNCTION("GOOGLETRANSLATE(A2625,""bn"",""en"")"),"The lid is pretty good")</f>
        <v>The lid is pretty good</v>
      </c>
    </row>
    <row r="2626" spans="1:3" ht="15.75" customHeight="1" x14ac:dyDescent="0.25">
      <c r="A2626" s="2" t="s">
        <v>2628</v>
      </c>
      <c r="B2626" s="3" t="s">
        <v>6</v>
      </c>
      <c r="C2626" s="2" t="str">
        <f ca="1">IFERROR(__xludf.DUMMYFUNCTION("GOOGLETRANSLATE(A2626,""bn"",""en"")"),"The mattress has a noticeable lump in the middle making it impossible to sleep comfortably without rolling over the edges")</f>
        <v>The mattress has a noticeable lump in the middle making it impossible to sleep comfortably without rolling over the edges</v>
      </c>
    </row>
    <row r="2627" spans="1:3" ht="15.75" customHeight="1" x14ac:dyDescent="0.25">
      <c r="A2627" s="2" t="s">
        <v>2629</v>
      </c>
      <c r="B2627" s="3" t="s">
        <v>4</v>
      </c>
      <c r="C2627" s="2" t="str">
        <f ca="1">IFERROR(__xludf.DUMMYFUNCTION("GOOGLETRANSLATE(A2627,""bn"",""en"")"),"Wind speed can be controlled")</f>
        <v>Wind speed can be controlled</v>
      </c>
    </row>
    <row r="2628" spans="1:3" ht="15.75" customHeight="1" x14ac:dyDescent="0.25">
      <c r="A2628" s="2" t="s">
        <v>2630</v>
      </c>
      <c r="B2628" s="3" t="s">
        <v>2</v>
      </c>
      <c r="C2628" s="2" t="str">
        <f ca="1">IFERROR(__xludf.DUMMYFUNCTION("GOOGLETRANSLATE(A2628,""bn"",""en"")"),"Can be taken to the office")</f>
        <v>Can be taken to the office</v>
      </c>
    </row>
    <row r="2629" spans="1:3" ht="15.75" customHeight="1" x14ac:dyDescent="0.25">
      <c r="A2629" s="2" t="s">
        <v>2631</v>
      </c>
      <c r="B2629" s="3" t="s">
        <v>4</v>
      </c>
      <c r="C2629" s="2" t="str">
        <f ca="1">IFERROR(__xludf.DUMMYFUNCTION("GOOGLETRANSLATE(A2629,""bn"",""en"")"),"The writing style is very fluent")</f>
        <v>The writing style is very fluent</v>
      </c>
    </row>
    <row r="2630" spans="1:3" ht="15.75" customHeight="1" x14ac:dyDescent="0.25">
      <c r="A2630" s="2" t="s">
        <v>2632</v>
      </c>
      <c r="B2630" s="3" t="s">
        <v>2</v>
      </c>
      <c r="C2630" s="2" t="str">
        <f ca="1">IFERROR(__xludf.DUMMYFUNCTION("GOOGLETRANSLATE(A2630,""bn"",""en"")"),"The camera setup takes good pictures in normal daylight, the night mode is pretty good")</f>
        <v>The camera setup takes good pictures in normal daylight, the night mode is pretty good</v>
      </c>
    </row>
    <row r="2631" spans="1:3" ht="15.75" customHeight="1" x14ac:dyDescent="0.25">
      <c r="A2631" s="2" t="s">
        <v>2633</v>
      </c>
      <c r="B2631" s="3" t="s">
        <v>4</v>
      </c>
      <c r="C2631" s="2" t="str">
        <f ca="1">IFERROR(__xludf.DUMMYFUNCTION("GOOGLETRANSLATE(A2631,""bn"",""en"")"),"The thing is working very well for me")</f>
        <v>The thing is working very well for me</v>
      </c>
    </row>
    <row r="2632" spans="1:3" ht="15.75" customHeight="1" x14ac:dyDescent="0.25">
      <c r="A2632" s="2" t="s">
        <v>2634</v>
      </c>
      <c r="B2632" s="3" t="s">
        <v>4</v>
      </c>
      <c r="C2632" s="2" t="str">
        <f ca="1">IFERROR(__xludf.DUMMYFUNCTION("GOOGLETRANSLATE(A2632,""bn"",""en"")"),"Materials are very high quality")</f>
        <v>Materials are very high quality</v>
      </c>
    </row>
    <row r="2633" spans="1:3" ht="15.75" customHeight="1" x14ac:dyDescent="0.25">
      <c r="A2633" s="2" t="s">
        <v>2635</v>
      </c>
      <c r="B2633" s="3" t="s">
        <v>2</v>
      </c>
      <c r="C2633" s="2" t="str">
        <f ca="1">IFERROR(__xludf.DUMMYFUNCTION("GOOGLETRANSLATE(A2633,""bn"",""en"")"),"Plant health improved slightly but yields did not increase much")</f>
        <v>Plant health improved slightly but yields did not increase much</v>
      </c>
    </row>
    <row r="2634" spans="1:3" ht="15.75" customHeight="1" x14ac:dyDescent="0.25">
      <c r="A2634" s="2" t="s">
        <v>2636</v>
      </c>
      <c r="B2634" s="3" t="s">
        <v>4</v>
      </c>
      <c r="C2634" s="2" t="str">
        <f ca="1">IFERROR(__xludf.DUMMYFUNCTION("GOOGLETRANSLATE(A2634,""bn"",""en"")"),"This shampoo makes the hair very strong")</f>
        <v>This shampoo makes the hair very strong</v>
      </c>
    </row>
    <row r="2635" spans="1:3" ht="15.75" customHeight="1" x14ac:dyDescent="0.25">
      <c r="A2635" s="2" t="s">
        <v>2637</v>
      </c>
      <c r="B2635" s="3" t="s">
        <v>4</v>
      </c>
      <c r="C2635" s="2" t="str">
        <f ca="1">IFERROR(__xludf.DUMMYFUNCTION("GOOGLETRANSLATE(A2635,""bn"",""en"")"),"That works ")</f>
        <v xml:space="preserve">That works </v>
      </c>
    </row>
    <row r="2636" spans="1:3" ht="15.75" customHeight="1" x14ac:dyDescent="0.25">
      <c r="A2636" s="2" t="s">
        <v>2638</v>
      </c>
      <c r="B2636" s="3" t="s">
        <v>4</v>
      </c>
      <c r="C2636" s="2" t="str">
        <f ca="1">IFERROR(__xludf.DUMMYFUNCTION("GOOGLETRANSLATE(A2636,""bn"",""en"")"),"Setting up the tracking device is very easy")</f>
        <v>Setting up the tracking device is very easy</v>
      </c>
    </row>
    <row r="2637" spans="1:3" ht="15.75" customHeight="1" x14ac:dyDescent="0.25">
      <c r="A2637" s="2" t="s">
        <v>2639</v>
      </c>
      <c r="B2637" s="3" t="s">
        <v>2</v>
      </c>
      <c r="C2637" s="2" t="str">
        <f ca="1">IFERROR(__xludf.DUMMYFUNCTION("GOOGLETRANSLATE(A2637,""bn"",""en"")"),"The size is ok but a little bigger would be better")</f>
        <v>The size is ok but a little bigger would be better</v>
      </c>
    </row>
    <row r="2638" spans="1:3" ht="15.75" customHeight="1" x14ac:dyDescent="0.25">
      <c r="A2638" s="2" t="s">
        <v>2640</v>
      </c>
      <c r="B2638" s="3" t="s">
        <v>4</v>
      </c>
      <c r="C2638" s="2" t="str">
        <f ca="1">IFERROR(__xludf.DUMMYFUNCTION("GOOGLETRANSLATE(A2638,""bn"",""en"")"),"I got what I wanted, very nice")</f>
        <v>I got what I wanted, very nice</v>
      </c>
    </row>
    <row r="2639" spans="1:3" ht="15.75" customHeight="1" x14ac:dyDescent="0.25">
      <c r="A2639" s="2" t="s">
        <v>2641</v>
      </c>
      <c r="B2639" s="3" t="s">
        <v>4</v>
      </c>
      <c r="C2639" s="2" t="str">
        <f ca="1">IFERROR(__xludf.DUMMYFUNCTION("GOOGLETRANSLATE(A2639,""bn"",""en"")"),"The shoe rack helps keep all my shoes organized")</f>
        <v>The shoe rack helps keep all my shoes organized</v>
      </c>
    </row>
    <row r="2640" spans="1:3" ht="15.75" customHeight="1" x14ac:dyDescent="0.25">
      <c r="A2640" s="2" t="s">
        <v>2642</v>
      </c>
      <c r="B2640" s="3" t="s">
        <v>4</v>
      </c>
      <c r="C2640" s="2" t="str">
        <f ca="1">IFERROR(__xludf.DUMMYFUNCTION("GOOGLETRANSLATE(A2640,""bn"",""en"")"),"Can be beautiful even if you don't have time to take care of it")</f>
        <v>Can be beautiful even if you don't have time to take care of it</v>
      </c>
    </row>
    <row r="2641" spans="1:3" ht="15.75" customHeight="1" x14ac:dyDescent="0.25">
      <c r="A2641" s="2" t="s">
        <v>2643</v>
      </c>
      <c r="B2641" s="3" t="s">
        <v>2</v>
      </c>
      <c r="C2641" s="2" t="str">
        <f ca="1">IFERROR(__xludf.DUMMYFUNCTION("GOOGLETRANSLATE(A2641,""bn"",""en"")"),"They work fairly well")</f>
        <v>They work fairly well</v>
      </c>
    </row>
    <row r="2642" spans="1:3" ht="15.75" customHeight="1" x14ac:dyDescent="0.25">
      <c r="A2642" s="2" t="s">
        <v>2644</v>
      </c>
      <c r="B2642" s="3" t="s">
        <v>4</v>
      </c>
      <c r="C2642" s="2" t="str">
        <f ca="1">IFERROR(__xludf.DUMMYFUNCTION("GOOGLETRANSLATE(A2642,""bn"",""en"")"),"The school teachers are always helpful and encouraging")</f>
        <v>The school teachers are always helpful and encouraging</v>
      </c>
    </row>
    <row r="2643" spans="1:3" ht="15.75" customHeight="1" x14ac:dyDescent="0.25">
      <c r="A2643" s="2" t="s">
        <v>2645</v>
      </c>
      <c r="B2643" s="3" t="s">
        <v>2</v>
      </c>
      <c r="C2643" s="2" t="str">
        <f ca="1">IFERROR(__xludf.DUMMYFUNCTION("GOOGLETRANSLATE(A2643,""bn"",""en"")"),"Clothing is ok it could be better")</f>
        <v>Clothing is ok it could be better</v>
      </c>
    </row>
    <row r="2644" spans="1:3" ht="15.75" customHeight="1" x14ac:dyDescent="0.25">
      <c r="A2644" s="2" t="s">
        <v>2646</v>
      </c>
      <c r="B2644" s="3" t="s">
        <v>6</v>
      </c>
      <c r="C2644" s="2" t="str">
        <f ca="1">IFERROR(__xludf.DUMMYFUNCTION("GOOGLETRANSLATE(A2644,""bn"",""en"")"),"Lingering chemical odor persists despite cleaning efforts")</f>
        <v>Lingering chemical odor persists despite cleaning efforts</v>
      </c>
    </row>
    <row r="2645" spans="1:3" ht="15.75" customHeight="1" x14ac:dyDescent="0.25">
      <c r="A2645" s="2" t="s">
        <v>2647</v>
      </c>
      <c r="B2645" s="3" t="s">
        <v>2</v>
      </c>
      <c r="C2645" s="2" t="str">
        <f ca="1">IFERROR(__xludf.DUMMYFUNCTION("GOOGLETRANSLATE(A2645,""bn"",""en"")"),"After some time I will understand how it works")</f>
        <v>After some time I will understand how it works</v>
      </c>
    </row>
    <row r="2646" spans="1:3" ht="15.75" customHeight="1" x14ac:dyDescent="0.25">
      <c r="A2646" s="2" t="s">
        <v>2648</v>
      </c>
      <c r="B2646" s="3" t="s">
        <v>2</v>
      </c>
      <c r="C2646" s="2" t="str">
        <f ca="1">IFERROR(__xludf.DUMMYFUNCTION("GOOGLETRANSLATE(A2646,""bn"",""en"")"),"The key chain is durable but the design is very simple")</f>
        <v>The key chain is durable but the design is very simple</v>
      </c>
    </row>
    <row r="2647" spans="1:3" ht="15.75" customHeight="1" x14ac:dyDescent="0.25">
      <c r="A2647" s="2" t="s">
        <v>2649</v>
      </c>
      <c r="B2647" s="3" t="s">
        <v>4</v>
      </c>
      <c r="C2647" s="2" t="str">
        <f ca="1">IFERROR(__xludf.DUMMYFUNCTION("GOOGLETRANSLATE(A2647,""bn"",""en"")"),"The intensity of the tea is just as I like it")</f>
        <v>The intensity of the tea is just as I like it</v>
      </c>
    </row>
    <row r="2648" spans="1:3" ht="15.75" customHeight="1" x14ac:dyDescent="0.25">
      <c r="A2648" s="2" t="s">
        <v>2650</v>
      </c>
      <c r="B2648" s="3" t="s">
        <v>6</v>
      </c>
      <c r="C2648" s="2" t="str">
        <f ca="1">IFERROR(__xludf.DUMMYFUNCTION("GOOGLETRANSLATE(A2648,""bn"",""en"")"),"Hair spray has a strong chemical smell that clings to the hair making it unpleasant to wear")</f>
        <v>Hair spray has a strong chemical smell that clings to the hair making it unpleasant to wear</v>
      </c>
    </row>
    <row r="2649" spans="1:3" ht="15.75" customHeight="1" x14ac:dyDescent="0.25">
      <c r="A2649" s="2" t="s">
        <v>2651</v>
      </c>
      <c r="B2649" s="3" t="s">
        <v>4</v>
      </c>
      <c r="C2649" s="2" t="str">
        <f ca="1">IFERROR(__xludf.DUMMYFUNCTION("GOOGLETRANSLATE(A2649,""bn"",""en"")"),"It cheers me up every day")</f>
        <v>It cheers me up every day</v>
      </c>
    </row>
    <row r="2650" spans="1:3" ht="15.75" customHeight="1" x14ac:dyDescent="0.25">
      <c r="A2650" s="2" t="s">
        <v>2652</v>
      </c>
      <c r="B2650" s="3" t="s">
        <v>4</v>
      </c>
      <c r="C2650" s="2" t="str">
        <f ca="1">IFERROR(__xludf.DUMMYFUNCTION("GOOGLETRANSLATE(A2650,""bn"",""en"")"),"The flower matches the color of my room beautifully")</f>
        <v>The flower matches the color of my room beautifully</v>
      </c>
    </row>
    <row r="2651" spans="1:3" ht="15.75" customHeight="1" x14ac:dyDescent="0.25">
      <c r="A2651" s="2" t="s">
        <v>2653</v>
      </c>
      <c r="B2651" s="3" t="s">
        <v>6</v>
      </c>
      <c r="C2651" s="2" t="str">
        <f ca="1">IFERROR(__xludf.DUMMYFUNCTION("GOOGLETRANSLATE(A2651,""bn"",""en"")"),"Smart Garden Sensors Give Wrong Readings Giving wrong information about soil moisture")</f>
        <v>Smart Garden Sensors Give Wrong Readings Giving wrong information about soil moisture</v>
      </c>
    </row>
    <row r="2652" spans="1:3" ht="15.75" customHeight="1" x14ac:dyDescent="0.25">
      <c r="A2652" s="2" t="s">
        <v>2654</v>
      </c>
      <c r="B2652" s="3" t="s">
        <v>2</v>
      </c>
      <c r="C2652" s="2" t="str">
        <f ca="1">IFERROR(__xludf.DUMMYFUNCTION("GOOGLETRANSLATE(A2652,""bn"",""en"")"),"Sound system is there but not very interesting")</f>
        <v>Sound system is there but not very interesting</v>
      </c>
    </row>
    <row r="2653" spans="1:3" ht="15.75" customHeight="1" x14ac:dyDescent="0.25">
      <c r="A2653" s="2" t="s">
        <v>2655</v>
      </c>
      <c r="B2653" s="3" t="s">
        <v>6</v>
      </c>
      <c r="C2653" s="2" t="str">
        <f ca="1">IFERROR(__xludf.DUMMYFUNCTION("GOOGLETRANSLATE(A2653,""bn"",""en"")"),"  The mist had a strange consistency that felt slimy")</f>
        <v xml:space="preserve">  The mist had a strange consistency that felt slimy</v>
      </c>
    </row>
    <row r="2654" spans="1:3" ht="15.75" customHeight="1" x14ac:dyDescent="0.25">
      <c r="A2654" s="2" t="s">
        <v>2656</v>
      </c>
      <c r="B2654" s="3" t="s">
        <v>4</v>
      </c>
      <c r="C2654" s="2" t="str">
        <f ca="1">IFERROR(__xludf.DUMMYFUNCTION("GOOGLETRANSLATE(A2654,""bn"",""en"")"),"The boy is playing very happily with his friends")</f>
        <v>The boy is playing very happily with his friends</v>
      </c>
    </row>
    <row r="2655" spans="1:3" ht="15.75" customHeight="1" x14ac:dyDescent="0.25">
      <c r="A2655" s="2" t="s">
        <v>2657</v>
      </c>
      <c r="B2655" s="3" t="s">
        <v>6</v>
      </c>
      <c r="C2655" s="2" t="str">
        <f ca="1">IFERROR(__xludf.DUMMYFUNCTION("GOOGLETRANSLATE(A2655,""bn"",""en"")"),"Disappointing to look cheap and flimsy")</f>
        <v>Disappointing to look cheap and flimsy</v>
      </c>
    </row>
    <row r="2656" spans="1:3" ht="15.75" customHeight="1" x14ac:dyDescent="0.25">
      <c r="A2656" s="2" t="s">
        <v>2658</v>
      </c>
      <c r="B2656" s="3" t="s">
        <v>2</v>
      </c>
      <c r="C2656" s="2" t="str">
        <f ca="1">IFERROR(__xludf.DUMMYFUNCTION("GOOGLETRANSLATE(A2656,""bn"",""en"")"),"Love the color but the stitching is a little off")</f>
        <v>Love the color but the stitching is a little off</v>
      </c>
    </row>
    <row r="2657" spans="1:3" ht="15.75" customHeight="1" x14ac:dyDescent="0.25">
      <c r="A2657" s="2" t="s">
        <v>2659</v>
      </c>
      <c r="B2657" s="3" t="s">
        <v>4</v>
      </c>
      <c r="C2657" s="2" t="str">
        <f ca="1">IFERROR(__xludf.DUMMYFUNCTION("GOOGLETRANSLATE(A2657,""bn"",""en"")"),"It increases skin radiance")</f>
        <v>It increases skin radiance</v>
      </c>
    </row>
    <row r="2658" spans="1:3" ht="15.75" customHeight="1" x14ac:dyDescent="0.25">
      <c r="A2658" s="2" t="s">
        <v>2660</v>
      </c>
      <c r="B2658" s="3" t="s">
        <v>2</v>
      </c>
      <c r="C2658" s="2" t="str">
        <f ca="1">IFERROR(__xludf.DUMMYFUNCTION("GOOGLETRANSLATE(A2658,""bn"",""en"")"),"Packaging is normal with no extra accessories")</f>
        <v>Packaging is normal with no extra accessories</v>
      </c>
    </row>
    <row r="2659" spans="1:3" ht="15.75" customHeight="1" x14ac:dyDescent="0.25">
      <c r="A2659" s="2" t="s">
        <v>2661</v>
      </c>
      <c r="B2659" s="3" t="s">
        <v>4</v>
      </c>
      <c r="C2659" s="2" t="str">
        <f ca="1">IFERROR(__xludf.DUMMYFUNCTION("GOOGLETRANSLATE(A2659,""bn"",""en"")"),"Drinking this tea fills my mind with peace")</f>
        <v>Drinking this tea fills my mind with peace</v>
      </c>
    </row>
    <row r="2660" spans="1:3" ht="15.75" customHeight="1" x14ac:dyDescent="0.25">
      <c r="A2660" s="2" t="s">
        <v>2662</v>
      </c>
      <c r="B2660" s="3" t="s">
        <v>6</v>
      </c>
      <c r="C2660" s="2" t="str">
        <f ca="1">IFERROR(__xludf.DUMMYFUNCTION("GOOGLETRANSLATE(A2660,""bn"",""en"")"),"Damage caused by packaging negligence")</f>
        <v>Damage caused by packaging negligence</v>
      </c>
    </row>
    <row r="2661" spans="1:3" ht="15.75" customHeight="1" x14ac:dyDescent="0.25">
      <c r="A2661" s="2" t="s">
        <v>2663</v>
      </c>
      <c r="B2661" s="3" t="s">
        <v>2</v>
      </c>
      <c r="C2661" s="2" t="str">
        <f ca="1">IFERROR(__xludf.DUMMYFUNCTION("GOOGLETRANSLATE(A2661,""bn"",""en"")"),"Sound quality was fairly good but not comfortable to the ears")</f>
        <v>Sound quality was fairly good but not comfortable to the ears</v>
      </c>
    </row>
    <row r="2662" spans="1:3" ht="15.75" customHeight="1" x14ac:dyDescent="0.25">
      <c r="A2662" s="2" t="s">
        <v>2664</v>
      </c>
      <c r="B2662" s="3" t="s">
        <v>6</v>
      </c>
      <c r="C2662" s="2" t="str">
        <f ca="1">IFERROR(__xludf.DUMMYFUNCTION("GOOGLETRANSLATE(A2662,""bn"",""en"")"),"The packaged cookies were overly sweet and had a greasy texture far removed from homemade")</f>
        <v>The packaged cookies were overly sweet and had a greasy texture far removed from homemade</v>
      </c>
    </row>
    <row r="2663" spans="1:3" ht="15.75" customHeight="1" x14ac:dyDescent="0.25">
      <c r="A2663" s="2" t="s">
        <v>2665</v>
      </c>
      <c r="B2663" s="3" t="s">
        <v>6</v>
      </c>
      <c r="C2663" s="2" t="str">
        <f ca="1">IFERROR(__xludf.DUMMYFUNCTION("GOOGLETRANSLATE(A2663,""bn"",""en"")"),"The clasp on the jewelry breaks easily causing me to lose a precious earring within days of purchase")</f>
        <v>The clasp on the jewelry breaks easily causing me to lose a precious earring within days of purchase</v>
      </c>
    </row>
    <row r="2664" spans="1:3" ht="15.75" customHeight="1" x14ac:dyDescent="0.25">
      <c r="A2664" s="2" t="s">
        <v>2666</v>
      </c>
      <c r="B2664" s="3" t="s">
        <v>2</v>
      </c>
      <c r="C2664" s="2" t="str">
        <f ca="1">IFERROR(__xludf.DUMMYFUNCTION("GOOGLETRANSLATE(A2664,""bn"",""en"")"),"Mosquito nets prevent insects but are difficult to install")</f>
        <v>Mosquito nets prevent insects but are difficult to install</v>
      </c>
    </row>
    <row r="2665" spans="1:3" ht="15.75" customHeight="1" x14ac:dyDescent="0.25">
      <c r="A2665" s="2" t="s">
        <v>2667</v>
      </c>
      <c r="B2665" s="3" t="s">
        <v>6</v>
      </c>
      <c r="C2665" s="2" t="str">
        <f ca="1">IFERROR(__xludf.DUMMYFUNCTION("GOOGLETRANSLATE(A2665,""bn"",""en"")"),"Smart TV features were sluggish and often froze, making streaming a frustrating experience")</f>
        <v>Smart TV features were sluggish and often froze, making streaming a frustrating experience</v>
      </c>
    </row>
    <row r="2666" spans="1:3" ht="15.75" customHeight="1" x14ac:dyDescent="0.25">
      <c r="A2666" s="2" t="s">
        <v>2668</v>
      </c>
      <c r="B2666" s="3" t="s">
        <v>6</v>
      </c>
      <c r="C2666" s="2" t="str">
        <f ca="1">IFERROR(__xludf.DUMMYFUNCTION("GOOGLETRANSLATE(A2666,""bn"",""en"")"),"Unsatisfactory experience avoid this product")</f>
        <v>Unsatisfactory experience avoid this product</v>
      </c>
    </row>
    <row r="2667" spans="1:3" ht="15.75" customHeight="1" x14ac:dyDescent="0.25">
      <c r="A2667" s="2" t="s">
        <v>2669</v>
      </c>
      <c r="B2667" s="3" t="s">
        <v>2</v>
      </c>
      <c r="C2667" s="2" t="str">
        <f ca="1">IFERROR(__xludf.DUMMYFUNCTION("GOOGLETRANSLATE(A2667,""bn"",""en"")"),"Performs well in many areas but could use improvement in some areas")</f>
        <v>Performs well in many areas but could use improvement in some areas</v>
      </c>
    </row>
    <row r="2668" spans="1:3" ht="15.75" customHeight="1" x14ac:dyDescent="0.25">
      <c r="A2668" s="2" t="s">
        <v>2670</v>
      </c>
      <c r="B2668" s="3" t="s">
        <v>6</v>
      </c>
      <c r="C2668" s="2" t="str">
        <f ca="1">IFERROR(__xludf.DUMMYFUNCTION("GOOGLETRANSLATE(A2668,""bn"",""en"")")," The control panel becomes unresponsive after prolonged use and requires a power cycle")</f>
        <v xml:space="preserve"> The control panel becomes unresponsive after prolonged use and requires a power cycle</v>
      </c>
    </row>
    <row r="2669" spans="1:3" ht="15.75" customHeight="1" x14ac:dyDescent="0.25">
      <c r="A2669" s="2" t="s">
        <v>2671</v>
      </c>
      <c r="B2669" s="3" t="s">
        <v>4</v>
      </c>
      <c r="C2669" s="2" t="str">
        <f ca="1">IFERROR(__xludf.DUMMYFUNCTION("GOOGLETRANSLATE(A2669,""bn"",""en"")"),"Great mouse")</f>
        <v>Great mouse</v>
      </c>
    </row>
    <row r="2670" spans="1:3" ht="15.75" customHeight="1" x14ac:dyDescent="0.25">
      <c r="A2670" s="2" t="s">
        <v>2672</v>
      </c>
      <c r="B2670" s="3" t="s">
        <v>2</v>
      </c>
      <c r="C2670" s="2" t="str">
        <f ca="1">IFERROR(__xludf.DUMMYFUNCTION("GOOGLETRANSLATE(A2670,""bn"",""en"")"),"There are wall mounting options")</f>
        <v>There are wall mounting options</v>
      </c>
    </row>
    <row r="2671" spans="1:3" ht="15.75" customHeight="1" x14ac:dyDescent="0.25">
      <c r="A2671" s="2" t="s">
        <v>2673</v>
      </c>
      <c r="B2671" s="3" t="s">
        <v>6</v>
      </c>
      <c r="C2671" s="2" t="str">
        <f ca="1">IFERROR(__xludf.DUMMYFUNCTION("GOOGLETRANSLATE(A2671,""bn"",""en"")"),"The flavor was very weak lacking the robustness of quality tea")</f>
        <v>The flavor was very weak lacking the robustness of quality tea</v>
      </c>
    </row>
    <row r="2672" spans="1:3" ht="15.75" customHeight="1" x14ac:dyDescent="0.25">
      <c r="A2672" s="2" t="s">
        <v>2674</v>
      </c>
      <c r="B2672" s="3" t="s">
        <v>2</v>
      </c>
      <c r="C2672" s="2" t="str">
        <f ca="1">IFERROR(__xludf.DUMMYFUNCTION("GOOGLETRANSLATE(A2672,""bn"",""en"")"),"Looks mediocre")</f>
        <v>Looks mediocre</v>
      </c>
    </row>
    <row r="2673" spans="1:3" ht="15.75" customHeight="1" x14ac:dyDescent="0.25">
      <c r="A2673" s="2" t="s">
        <v>2675</v>
      </c>
      <c r="B2673" s="3" t="s">
        <v>2</v>
      </c>
      <c r="C2673" s="2" t="str">
        <f ca="1">IFERROR(__xludf.DUMMYFUNCTION("GOOGLETRANSLATE(A2673,""bn"",""en"")"),"The dress is nice but the size is big")</f>
        <v>The dress is nice but the size is big</v>
      </c>
    </row>
    <row r="2674" spans="1:3" ht="15.75" customHeight="1" x14ac:dyDescent="0.25">
      <c r="A2674" s="2" t="s">
        <v>2676</v>
      </c>
      <c r="B2674" s="3" t="s">
        <v>2</v>
      </c>
      <c r="C2674" s="2" t="str">
        <f ca="1">IFERROR(__xludf.DUMMYFUNCTION("GOOGLETRANSLATE(A2674,""bn"",""en"")"),"It should be cleaned after use")</f>
        <v>It should be cleaned after use</v>
      </c>
    </row>
    <row r="2675" spans="1:3" ht="15.75" customHeight="1" x14ac:dyDescent="0.25">
      <c r="A2675" s="2" t="s">
        <v>2677</v>
      </c>
      <c r="B2675" s="3" t="s">
        <v>6</v>
      </c>
      <c r="C2675" s="2" t="str">
        <f ca="1">IFERROR(__xludf.DUMMYFUNCTION("GOOGLETRANSLATE(A2675,""bn"",""en"")"),"The lettuce in the pre-packaged salad was wilted and tasted stale, far from fresh")</f>
        <v>The lettuce in the pre-packaged salad was wilted and tasted stale, far from fresh</v>
      </c>
    </row>
    <row r="2676" spans="1:3" ht="15.75" customHeight="1" x14ac:dyDescent="0.25">
      <c r="A2676" s="2" t="s">
        <v>2678</v>
      </c>
      <c r="B2676" s="3" t="s">
        <v>4</v>
      </c>
      <c r="C2676" s="2" t="str">
        <f ca="1">IFERROR(__xludf.DUMMYFUNCTION("GOOGLETRANSLATE(A2676,""bn"",""en"")"),"The dressing comes with a mild fragrance")</f>
        <v>The dressing comes with a mild fragrance</v>
      </c>
    </row>
    <row r="2677" spans="1:3" ht="15.75" customHeight="1" x14ac:dyDescent="0.25">
      <c r="A2677" s="2" t="s">
        <v>2679</v>
      </c>
      <c r="B2677" s="3" t="s">
        <v>6</v>
      </c>
      <c r="C2677" s="2" t="str">
        <f ca="1">IFERROR(__xludf.DUMMYFUNCTION("GOOGLETRANSLATE(A2677,""bn"",""en"")"),"The smartwatch's touchscreen often freezes and becomes unresponsive")</f>
        <v>The smartwatch's touchscreen often freezes and becomes unresponsive</v>
      </c>
    </row>
    <row r="2678" spans="1:3" ht="15.75" customHeight="1" x14ac:dyDescent="0.25">
      <c r="A2678" s="2" t="s">
        <v>2680</v>
      </c>
      <c r="B2678" s="3" t="s">
        <v>4</v>
      </c>
      <c r="C2678" s="2" t="str">
        <f ca="1">IFERROR(__xludf.DUMMYFUNCTION("GOOGLETRANSLATE(A2678,""bn"",""en"")"),"This body wash maintains the pH balance of the skin")</f>
        <v>This body wash maintains the pH balance of the skin</v>
      </c>
    </row>
    <row r="2679" spans="1:3" ht="15.75" customHeight="1" x14ac:dyDescent="0.25">
      <c r="A2679" s="2" t="s">
        <v>2681</v>
      </c>
      <c r="B2679" s="3" t="s">
        <v>4</v>
      </c>
      <c r="C2679" s="2" t="str">
        <f ca="1">IFERROR(__xludf.DUMMYFUNCTION("GOOGLETRANSLATE(A2679,""bn"",""en"")"),"Using it daily makes teeth stronger and whiter")</f>
        <v>Using it daily makes teeth stronger and whiter</v>
      </c>
    </row>
    <row r="2680" spans="1:3" ht="15.75" customHeight="1" x14ac:dyDescent="0.25">
      <c r="A2680" s="2" t="s">
        <v>2682</v>
      </c>
      <c r="B2680" s="3" t="s">
        <v>6</v>
      </c>
      <c r="C2680" s="2" t="str">
        <f ca="1">IFERROR(__xludf.DUMMYFUNCTION("GOOGLETRANSLATE(A2680,""bn"",""en"")"),"The flavor profile was one-dimensional and lacked complexity")</f>
        <v>The flavor profile was one-dimensional and lacked complexity</v>
      </c>
    </row>
    <row r="2681" spans="1:3" ht="15.75" customHeight="1" x14ac:dyDescent="0.25">
      <c r="A2681" s="2" t="s">
        <v>2683</v>
      </c>
      <c r="B2681" s="3" t="s">
        <v>4</v>
      </c>
      <c r="C2681" s="2" t="str">
        <f ca="1">IFERROR(__xludf.DUMMYFUNCTION("GOOGLETRANSLATE(A2681,""bn"",""en"")"),"No color fading problem always stays bright")</f>
        <v>No color fading problem always stays bright</v>
      </c>
    </row>
    <row r="2682" spans="1:3" ht="15.75" customHeight="1" x14ac:dyDescent="0.25">
      <c r="A2682" s="2" t="s">
        <v>2684</v>
      </c>
      <c r="B2682" s="3" t="s">
        <v>6</v>
      </c>
      <c r="C2682" s="2" t="str">
        <f ca="1">IFERROR(__xludf.DUMMYFUNCTION("GOOGLETRANSLATE(A2682,""bn"",""en"")"),"Poor customer support is a recurring problem")</f>
        <v>Poor customer support is a recurring problem</v>
      </c>
    </row>
    <row r="2683" spans="1:3" ht="15.75" customHeight="1" x14ac:dyDescent="0.25">
      <c r="A2683" s="2" t="s">
        <v>2685</v>
      </c>
      <c r="B2683" s="3" t="s">
        <v>4</v>
      </c>
      <c r="C2683" s="2" t="str">
        <f ca="1">IFERROR(__xludf.DUMMYFUNCTION("GOOGLETRANSLATE(A2683,""bn"",""en"")"),"The brightness of the lights spread throughout the room")</f>
        <v>The brightness of the lights spread throughout the room</v>
      </c>
    </row>
    <row r="2684" spans="1:3" ht="15.75" customHeight="1" x14ac:dyDescent="0.25">
      <c r="A2684" s="2" t="s">
        <v>2686</v>
      </c>
      <c r="B2684" s="3" t="s">
        <v>4</v>
      </c>
      <c r="C2684" s="2" t="str">
        <f ca="1">IFERROR(__xludf.DUMMYFUNCTION("GOOGLETRANSLATE(A2684,""bn"",""en"")"),"Leakage resistance is good")</f>
        <v>Leakage resistance is good</v>
      </c>
    </row>
    <row r="2685" spans="1:3" ht="15.75" customHeight="1" x14ac:dyDescent="0.25">
      <c r="A2685" s="2" t="s">
        <v>2687</v>
      </c>
      <c r="B2685" s="3" t="s">
        <v>4</v>
      </c>
      <c r="C2685" s="2" t="str">
        <f ca="1">IFERROR(__xludf.DUMMYFUNCTION("GOOGLETRANSLATE(A2685,""bn"",""en"")"),"The watch requires very little maintenance")</f>
        <v>The watch requires very little maintenance</v>
      </c>
    </row>
    <row r="2686" spans="1:3" ht="15.75" customHeight="1" x14ac:dyDescent="0.25">
      <c r="A2686" s="2" t="s">
        <v>2688</v>
      </c>
      <c r="B2686" s="3" t="s">
        <v>4</v>
      </c>
      <c r="C2686" s="2" t="str">
        <f ca="1">IFERROR(__xludf.DUMMYFUNCTION("GOOGLETRANSLATE(A2686,""bn"",""en"")"),"The Sanveza MacBook Pro Charger is a gamechanger on a budget")</f>
        <v>The Sanveza MacBook Pro Charger is a gamechanger on a budget</v>
      </c>
    </row>
    <row r="2687" spans="1:3" ht="15.75" customHeight="1" x14ac:dyDescent="0.25">
      <c r="A2687" s="2" t="s">
        <v>2689</v>
      </c>
      <c r="B2687" s="3" t="s">
        <v>6</v>
      </c>
      <c r="C2687" s="2" t="str">
        <f ca="1">IFERROR(__xludf.DUMMYFUNCTION("GOOGLETRANSLATE(A2687,""bn"",""en"")"),"Automatic pet feeders provide food for irregularly hungry pets")</f>
        <v>Automatic pet feeders provide food for irregularly hungry pets</v>
      </c>
    </row>
    <row r="2688" spans="1:3" ht="15.75" customHeight="1" x14ac:dyDescent="0.25">
      <c r="A2688" s="2" t="s">
        <v>2690</v>
      </c>
      <c r="B2688" s="3" t="s">
        <v>6</v>
      </c>
      <c r="C2688" s="2" t="str">
        <f ca="1">IFERROR(__xludf.DUMMYFUNCTION("GOOGLETRANSLATE(A2688,""bn"",""en"")"),"The lid seal of the reusable water bottle has leaked resulting in spillage")</f>
        <v>The lid seal of the reusable water bottle has leaked resulting in spillage</v>
      </c>
    </row>
    <row r="2689" spans="1:3" ht="15.75" customHeight="1" x14ac:dyDescent="0.25">
      <c r="A2689" s="2" t="s">
        <v>2691</v>
      </c>
      <c r="B2689" s="3" t="s">
        <v>2</v>
      </c>
      <c r="C2689" s="2" t="str">
        <f ca="1">IFERROR(__xludf.DUMMYFUNCTION("GOOGLETRANSLATE(A2689,""bn"",""en"")"),"Absolutely positively amazing not for everyone")</f>
        <v>Absolutely positively amazing not for everyone</v>
      </c>
    </row>
    <row r="2690" spans="1:3" ht="15.75" customHeight="1" x14ac:dyDescent="0.25">
      <c r="A2690" s="2" t="s">
        <v>2692</v>
      </c>
      <c r="B2690" s="3" t="s">
        <v>2</v>
      </c>
      <c r="C2690" s="2" t="str">
        <f ca="1">IFERROR(__xludf.DUMMYFUNCTION("GOOGLETRANSLATE(A2690,""bn"",""en"")"),"It adds some light to the room")</f>
        <v>It adds some light to the room</v>
      </c>
    </row>
    <row r="2691" spans="1:3" ht="15.75" customHeight="1" x14ac:dyDescent="0.25">
      <c r="A2691" s="2" t="s">
        <v>2693</v>
      </c>
      <c r="B2691" s="3" t="s">
        <v>6</v>
      </c>
      <c r="C2691" s="2" t="str">
        <f ca="1">IFERROR(__xludf.DUMMYFUNCTION("GOOGLETRANSLATE(A2691,""bn"",""en"")"),"There is no confidence in unsealed container opened product")</f>
        <v>There is no confidence in unsealed container opened product</v>
      </c>
    </row>
    <row r="2692" spans="1:3" ht="15.75" customHeight="1" x14ac:dyDescent="0.25">
      <c r="A2692" s="2" t="s">
        <v>2694</v>
      </c>
      <c r="B2692" s="3" t="s">
        <v>2</v>
      </c>
      <c r="C2692" s="2" t="str">
        <f ca="1">IFERROR(__xludf.DUMMYFUNCTION("GOOGLETRANSLATE(A2692,""bn"",""en"")"),"Durable but quality not so good")</f>
        <v>Durable but quality not so good</v>
      </c>
    </row>
    <row r="2693" spans="1:3" ht="15.75" customHeight="1" x14ac:dyDescent="0.25">
      <c r="A2693" s="2" t="s">
        <v>2695</v>
      </c>
      <c r="B2693" s="3" t="s">
        <v>4</v>
      </c>
      <c r="C2693" s="2" t="str">
        <f ca="1">IFERROR(__xludf.DUMMYFUNCTION("GOOGLETRANSLATE(A2693,""bn"",""en"")"),"First of all, it has to talk about its fast charging capability")</f>
        <v>First of all, it has to talk about its fast charging capability</v>
      </c>
    </row>
    <row r="2694" spans="1:3" ht="15.75" customHeight="1" x14ac:dyDescent="0.25">
      <c r="A2694" s="2" t="s">
        <v>2696</v>
      </c>
      <c r="B2694" s="3" t="s">
        <v>2</v>
      </c>
      <c r="C2694" s="2" t="str">
        <f ca="1">IFERROR(__xludf.DUMMYFUNCTION("GOOGLETRANSLATE(A2694,""bn"",""en"")"),"A pocket-sized document scanner scans paper but at a lower resolution")</f>
        <v>A pocket-sized document scanner scans paper but at a lower resolution</v>
      </c>
    </row>
    <row r="2695" spans="1:3" ht="15.75" customHeight="1" x14ac:dyDescent="0.25">
      <c r="A2695" s="2" t="s">
        <v>2697</v>
      </c>
      <c r="B2695" s="3" t="s">
        <v>6</v>
      </c>
      <c r="C2695" s="2" t="str">
        <f ca="1">IFERROR(__xludf.DUMMYFUNCTION("GOOGLETRANSLATE(A2695,""bn"",""en"")"),"Sound quality is a recurring problem")</f>
        <v>Sound quality is a recurring problem</v>
      </c>
    </row>
    <row r="2696" spans="1:3" ht="15.75" customHeight="1" x14ac:dyDescent="0.25">
      <c r="A2696" s="2" t="s">
        <v>2698</v>
      </c>
      <c r="B2696" s="3" t="s">
        <v>2</v>
      </c>
      <c r="C2696" s="2" t="str">
        <f ca="1">IFERROR(__xludf.DUMMYFUNCTION("GOOGLETRANSLATE(A2696,""bn"",""en"")"),"There are images of various coins but the size is small")</f>
        <v>There are images of various coins but the size is small</v>
      </c>
    </row>
    <row r="2697" spans="1:3" ht="15.75" customHeight="1" x14ac:dyDescent="0.25">
      <c r="A2697" s="2" t="s">
        <v>2699</v>
      </c>
      <c r="B2697" s="3" t="s">
        <v>2</v>
      </c>
      <c r="C2697" s="2" t="str">
        <f ca="1">IFERROR(__xludf.DUMMYFUNCTION("GOOGLETRANSLATE(A2697,""bn"",""en"")"),"The palm rest helps while typing but is a bit soft")</f>
        <v>The palm rest helps while typing but is a bit soft</v>
      </c>
    </row>
    <row r="2698" spans="1:3" ht="15.75" customHeight="1" x14ac:dyDescent="0.25">
      <c r="A2698" s="2" t="s">
        <v>2700</v>
      </c>
      <c r="B2698" s="3" t="s">
        <v>6</v>
      </c>
      <c r="C2698" s="2" t="str">
        <f ca="1">IFERROR(__xludf.DUMMYFUNCTION("GOOGLETRANSLATE(A2698,""bn"",""en"")"),"No mobile app")</f>
        <v>No mobile app</v>
      </c>
    </row>
    <row r="2699" spans="1:3" ht="15.75" customHeight="1" x14ac:dyDescent="0.25">
      <c r="A2699" s="2" t="s">
        <v>2701</v>
      </c>
      <c r="B2699" s="3" t="s">
        <v>2</v>
      </c>
      <c r="C2699" s="2" t="str">
        <f ca="1">IFERROR(__xludf.DUMMYFUNCTION("GOOGLETRANSLATE(A2699,""bn"",""en"")"),"The ice dispenser frequently jams and requires manual intervention to resolve")</f>
        <v>The ice dispenser frequently jams and requires manual intervention to resolve</v>
      </c>
    </row>
    <row r="2700" spans="1:3" ht="15.75" customHeight="1" x14ac:dyDescent="0.25">
      <c r="A2700" s="2" t="s">
        <v>2702</v>
      </c>
      <c r="B2700" s="3" t="s">
        <v>2</v>
      </c>
      <c r="C2700" s="2" t="str">
        <f ca="1">IFERROR(__xludf.DUMMYFUNCTION("GOOGLETRANSLATE(A2700,""bn"",""en"")"),"Home can be an attraction")</f>
        <v>Home can be an attraction</v>
      </c>
    </row>
    <row r="2701" spans="1:3" ht="15.75" customHeight="1" x14ac:dyDescent="0.25">
      <c r="A2701" s="2" t="s">
        <v>2703</v>
      </c>
      <c r="B2701" s="3" t="s">
        <v>2</v>
      </c>
      <c r="C2701" s="2" t="str">
        <f ca="1">IFERROR(__xludf.DUMMYFUNCTION("GOOGLETRANSLATE(A2701,""bn"",""en"")"),"The edges of the plates are flat and have no special shape")</f>
        <v>The edges of the plates are flat and have no special shape</v>
      </c>
    </row>
    <row r="2702" spans="1:3" ht="15.75" customHeight="1" x14ac:dyDescent="0.25">
      <c r="A2702" s="2" t="s">
        <v>2704</v>
      </c>
      <c r="B2702" s="3" t="s">
        <v>4</v>
      </c>
      <c r="C2702" s="2" t="str">
        <f ca="1">IFERROR(__xludf.DUMMYFUNCTION("GOOGLETRANSLATE(A2702,""bn"",""en"")"),"Honey helps to relieve sleep problems")</f>
        <v>Honey helps to relieve sleep problems</v>
      </c>
    </row>
    <row r="2703" spans="1:3" ht="15.75" customHeight="1" x14ac:dyDescent="0.25">
      <c r="A2703" s="2" t="s">
        <v>2705</v>
      </c>
      <c r="B2703" s="3" t="s">
        <v>4</v>
      </c>
      <c r="C2703" s="2" t="str">
        <f ca="1">IFERROR(__xludf.DUMMYFUNCTION("GOOGLETRANSLATE(A2703,""bn"",""en"")"),"I got what I needed")</f>
        <v>I got what I needed</v>
      </c>
    </row>
    <row r="2704" spans="1:3" ht="15.75" customHeight="1" x14ac:dyDescent="0.25">
      <c r="A2704" s="2" t="s">
        <v>2706</v>
      </c>
      <c r="B2704" s="3" t="s">
        <v>2</v>
      </c>
      <c r="C2704" s="2" t="str">
        <f ca="1">IFERROR(__xludf.DUMMYFUNCTION("GOOGLETRANSLATE(A2704,""bn"",""en"")"),"Portable finds goldfish but limited screen clarity")</f>
        <v>Portable finds goldfish but limited screen clarity</v>
      </c>
    </row>
    <row r="2705" spans="1:3" ht="15.75" customHeight="1" x14ac:dyDescent="0.25">
      <c r="A2705" s="2" t="s">
        <v>2707</v>
      </c>
      <c r="B2705" s="3" t="s">
        <v>2</v>
      </c>
      <c r="C2705" s="2" t="str">
        <f ca="1">IFERROR(__xludf.DUMMYFUNCTION("GOOGLETRANSLATE(A2705,""bn"",""en"")"),"Shuttle weight is ok but gets damaged quickly")</f>
        <v>Shuttle weight is ok but gets damaged quickly</v>
      </c>
    </row>
    <row r="2706" spans="1:3" ht="15.75" customHeight="1" x14ac:dyDescent="0.25">
      <c r="A2706" s="2" t="s">
        <v>2708</v>
      </c>
      <c r="B2706" s="3" t="s">
        <v>4</v>
      </c>
      <c r="C2706" s="2" t="str">
        <f ca="1">IFERROR(__xludf.DUMMYFUNCTION("GOOGLETRANSLATE(A2706,""bn"",""en"")"),"The quality of the coffee seems to be of a premium brand")</f>
        <v>The quality of the coffee seems to be of a premium brand</v>
      </c>
    </row>
    <row r="2707" spans="1:3" ht="15.75" customHeight="1" x14ac:dyDescent="0.25">
      <c r="A2707" s="2" t="s">
        <v>2709</v>
      </c>
      <c r="B2707" s="3" t="s">
        <v>2</v>
      </c>
      <c r="C2707" s="2" t="str">
        <f ca="1">IFERROR(__xludf.DUMMYFUNCTION("GOOGLETRANSLATE(A2707,""bn"",""en"")"),"Waterproofing is decent not outstanding")</f>
        <v>Waterproofing is decent not outstanding</v>
      </c>
    </row>
    <row r="2708" spans="1:3" ht="15.75" customHeight="1" x14ac:dyDescent="0.25">
      <c r="A2708" s="2" t="s">
        <v>2710</v>
      </c>
      <c r="B2708" s="3" t="s">
        <v>4</v>
      </c>
      <c r="C2708" s="2" t="str">
        <f ca="1">IFERROR(__xludf.DUMMYFUNCTION("GOOGLETRANSLATE(A2708,""bn"",""en"")"),"Easy to control wind speed")</f>
        <v>Easy to control wind speed</v>
      </c>
    </row>
    <row r="2709" spans="1:3" ht="15.75" customHeight="1" x14ac:dyDescent="0.25">
      <c r="A2709" s="2" t="s">
        <v>2711</v>
      </c>
      <c r="B2709" s="3" t="s">
        <v>4</v>
      </c>
      <c r="C2709" s="2" t="str">
        <f ca="1">IFERROR(__xludf.DUMMYFUNCTION("GOOGLETRANSLATE(A2709,""bn"",""en"")"),"The boy plays sports regularly every day")</f>
        <v>The boy plays sports regularly every day</v>
      </c>
    </row>
    <row r="2710" spans="1:3" ht="15.75" customHeight="1" x14ac:dyDescent="0.25">
      <c r="A2710" s="2" t="s">
        <v>2712</v>
      </c>
      <c r="B2710" s="3" t="s">
        <v>4</v>
      </c>
      <c r="C2710" s="2" t="str">
        <f ca="1">IFERROR(__xludf.DUMMYFUNCTION("GOOGLETRANSLATE(A2710,""bn"",""en"")"),"The OS update of the device is very regular")</f>
        <v>The OS update of the device is very regular</v>
      </c>
    </row>
    <row r="2711" spans="1:3" ht="15.75" customHeight="1" x14ac:dyDescent="0.25">
      <c r="A2711" s="2" t="s">
        <v>2713</v>
      </c>
      <c r="B2711" s="3" t="s">
        <v>2</v>
      </c>
      <c r="C2711" s="2" t="str">
        <f ca="1">IFERROR(__xludf.DUMMYFUNCTION("GOOGLETRANSLATE(A2711,""bn"",""en"")"),"No skin reaction occurred")</f>
        <v>No skin reaction occurred</v>
      </c>
    </row>
    <row r="2712" spans="1:3" ht="15.75" customHeight="1" x14ac:dyDescent="0.25">
      <c r="A2712" s="2" t="s">
        <v>2714</v>
      </c>
      <c r="B2712" s="3" t="s">
        <v>2</v>
      </c>
      <c r="C2712" s="2" t="str">
        <f ca="1">IFERROR(__xludf.DUMMYFUNCTION("GOOGLETRANSLATE(A2712,""bn"",""en"")"),"The manure was suitable for the land but the health of the plants was not so good")</f>
        <v>The manure was suitable for the land but the health of the plants was not so good</v>
      </c>
    </row>
    <row r="2713" spans="1:3" ht="15.75" customHeight="1" x14ac:dyDescent="0.25">
      <c r="A2713" s="2" t="s">
        <v>2715</v>
      </c>
      <c r="B2713" s="3" t="s">
        <v>2</v>
      </c>
      <c r="C2713" s="2" t="str">
        <f ca="1">IFERROR(__xludf.DUMMYFUNCTION("GOOGLETRANSLATE(A2713,""bn"",""en"")"),"Can be used as a computer table")</f>
        <v>Can be used as a computer table</v>
      </c>
    </row>
    <row r="2714" spans="1:3" ht="15.75" customHeight="1" x14ac:dyDescent="0.25">
      <c r="A2714" s="2" t="s">
        <v>2716</v>
      </c>
      <c r="B2714" s="3" t="s">
        <v>6</v>
      </c>
      <c r="C2714" s="2" t="str">
        <f ca="1">IFERROR(__xludf.DUMMYFUNCTION("GOOGLETRANSLATE(A2714,""bn"",""en"")"),"The styling gel dried out my hair and made it frizzy")</f>
        <v>The styling gel dried out my hair and made it frizzy</v>
      </c>
    </row>
    <row r="2715" spans="1:3" ht="15.75" customHeight="1" x14ac:dyDescent="0.25">
      <c r="A2715" s="2" t="s">
        <v>2717</v>
      </c>
      <c r="B2715" s="3" t="s">
        <v>6</v>
      </c>
      <c r="C2715" s="2" t="str">
        <f ca="1">IFERROR(__xludf.DUMMYFUNCTION("GOOGLETRANSLATE(A2715,""bn"",""en"")"),"Eyelash curlers pinch the lashes causing them to break and fall out")</f>
        <v>Eyelash curlers pinch the lashes causing them to break and fall out</v>
      </c>
    </row>
    <row r="2716" spans="1:3" ht="15.75" customHeight="1" x14ac:dyDescent="0.25">
      <c r="A2716" s="2" t="s">
        <v>2718</v>
      </c>
      <c r="B2716" s="3" t="s">
        <v>4</v>
      </c>
      <c r="C2716" s="2" t="str">
        <f ca="1">IFERROR(__xludf.DUMMYFUNCTION("GOOGLETRANSLATE(A2716,""bn"",""en"")"),"It makes my teeth very clean")</f>
        <v>It makes my teeth very clean</v>
      </c>
    </row>
    <row r="2717" spans="1:3" ht="15.75" customHeight="1" x14ac:dyDescent="0.25">
      <c r="A2717" s="2" t="s">
        <v>2719</v>
      </c>
      <c r="B2717" s="3" t="s">
        <v>2</v>
      </c>
      <c r="C2717" s="2" t="str">
        <f ca="1">IFERROR(__xludf.DUMMYFUNCTION("GOOGLETRANSLATE(A2717,""bn"",""en"")"),"No unwanted stains after use")</f>
        <v>No unwanted stains after use</v>
      </c>
    </row>
    <row r="2718" spans="1:3" ht="15.75" customHeight="1" x14ac:dyDescent="0.25">
      <c r="A2718" s="2" t="s">
        <v>2720</v>
      </c>
      <c r="B2718" s="3" t="s">
        <v>4</v>
      </c>
      <c r="C2718" s="2" t="str">
        <f ca="1">IFERROR(__xludf.DUMMYFUNCTION("GOOGLETRANSLATE(A2718,""bn"",""en"")"),"The bristles of the toothbrush are smooth and safe for the teeth")</f>
        <v>The bristles of the toothbrush are smooth and safe for the teeth</v>
      </c>
    </row>
    <row r="2719" spans="1:3" ht="15.75" customHeight="1" x14ac:dyDescent="0.25">
      <c r="A2719" s="2" t="s">
        <v>2721</v>
      </c>
      <c r="B2719" s="3" t="s">
        <v>2</v>
      </c>
      <c r="C2719" s="2" t="str">
        <f ca="1">IFERROR(__xludf.DUMMYFUNCTION("GOOGLETRANSLATE(A2719,""bn"",""en"")"),"Single bag wrapping without additional wrapping")</f>
        <v>Single bag wrapping without additional wrapping</v>
      </c>
    </row>
    <row r="2720" spans="1:3" ht="15.75" customHeight="1" x14ac:dyDescent="0.25">
      <c r="A2720" s="2" t="s">
        <v>2722</v>
      </c>
      <c r="B2720" s="3" t="s">
        <v>4</v>
      </c>
      <c r="C2720" s="2" t="str">
        <f ca="1">IFERROR(__xludf.DUMMYFUNCTION("GOOGLETRANSLATE(A2720,""bn"",""en"")"),"Has quick drying facility")</f>
        <v>Has quick drying facility</v>
      </c>
    </row>
    <row r="2721" spans="1:3" ht="15.75" customHeight="1" x14ac:dyDescent="0.25">
      <c r="A2721" s="2" t="s">
        <v>2723</v>
      </c>
      <c r="B2721" s="3" t="s">
        <v>6</v>
      </c>
      <c r="C2721" s="2" t="str">
        <f ca="1">IFERROR(__xludf.DUMMYFUNCTION("GOOGLETRANSLATE(A2721,""bn"",""en"")"),"Got a dress with a strange chemical smell to health")</f>
        <v>Got a dress with a strange chemical smell to health</v>
      </c>
    </row>
    <row r="2722" spans="1:3" ht="15.75" customHeight="1" x14ac:dyDescent="0.25">
      <c r="A2722" s="2" t="s">
        <v>2724</v>
      </c>
      <c r="B2722" s="3" t="s">
        <v>4</v>
      </c>
      <c r="C2722" s="2" t="str">
        <f ca="1">IFERROR(__xludf.DUMMYFUNCTION("GOOGLETRANSLATE(A2722,""bn"",""en"")"),"It does not contain any harmful chemicals")</f>
        <v>It does not contain any harmful chemicals</v>
      </c>
    </row>
    <row r="2723" spans="1:3" ht="15.75" customHeight="1" x14ac:dyDescent="0.25">
      <c r="A2723" s="2" t="s">
        <v>2725</v>
      </c>
      <c r="B2723" s="3" t="s">
        <v>4</v>
      </c>
      <c r="C2723" s="2" t="str">
        <f ca="1">IFERROR(__xludf.DUMMYFUNCTION("GOOGLETRANSLATE(A2723,""bn"",""en"")"),"Honey reduces the risk of heart disease")</f>
        <v>Honey reduces the risk of heart disease</v>
      </c>
    </row>
    <row r="2724" spans="1:3" ht="15.75" customHeight="1" x14ac:dyDescent="0.25">
      <c r="A2724" s="2" t="s">
        <v>2726</v>
      </c>
      <c r="B2724" s="3" t="s">
        <v>6</v>
      </c>
      <c r="C2724" s="2" t="str">
        <f ca="1">IFERROR(__xludf.DUMMYFUNCTION("GOOGLETRANSLATE(A2724,""bn"",""en"")"),"Dirty Rabbit Mars overall enjoyment")</f>
        <v>Dirty Rabbit Mars overall enjoyment</v>
      </c>
    </row>
    <row r="2725" spans="1:3" ht="15.75" customHeight="1" x14ac:dyDescent="0.25">
      <c r="A2725" s="2" t="s">
        <v>2727</v>
      </c>
      <c r="B2725" s="3" t="s">
        <v>6</v>
      </c>
      <c r="C2725" s="2" t="str">
        <f ca="1">IFERROR(__xludf.DUMMYFUNCTION("GOOGLETRANSLATE(A2725,""bn"",""en"")"),"The set arrived in several pieces probably due to poor packaging")</f>
        <v>The set arrived in several pieces probably due to poor packaging</v>
      </c>
    </row>
    <row r="2726" spans="1:3" ht="15.75" customHeight="1" x14ac:dyDescent="0.25">
      <c r="A2726" s="2" t="s">
        <v>2728</v>
      </c>
      <c r="B2726" s="3" t="s">
        <v>6</v>
      </c>
      <c r="C2726" s="2" t="str">
        <f ca="1">IFERROR(__xludf.DUMMYFUNCTION("GOOGLETRANSLATE(A2726,""bn"",""en"")")," Poor build quality makes the components feel cheap and flimsy")</f>
        <v xml:space="preserve"> Poor build quality makes the components feel cheap and flimsy</v>
      </c>
    </row>
    <row r="2727" spans="1:3" ht="15.75" customHeight="1" x14ac:dyDescent="0.25">
      <c r="A2727" s="2" t="s">
        <v>2729</v>
      </c>
      <c r="B2727" s="3" t="s">
        <v>6</v>
      </c>
      <c r="C2727" s="2" t="str">
        <f ca="1">IFERROR(__xludf.DUMMYFUNCTION("GOOGLETRANSLATE(A2727,""bn"",""en"")"),"The unsealed packaging leaked the product and caused a mess")</f>
        <v>The unsealed packaging leaked the product and caused a mess</v>
      </c>
    </row>
    <row r="2728" spans="1:3" ht="15.75" customHeight="1" x14ac:dyDescent="0.25">
      <c r="A2728" s="2" t="s">
        <v>2730</v>
      </c>
      <c r="B2728" s="3" t="s">
        <v>4</v>
      </c>
      <c r="C2728" s="2" t="str">
        <f ca="1">IFERROR(__xludf.DUMMYFUNCTION("GOOGLETRANSLATE(A2728,""bn"",""en"")"),"The chairs can be stacked on top of each other which facilitates storage")</f>
        <v>The chairs can be stacked on top of each other which facilitates storage</v>
      </c>
    </row>
    <row r="2729" spans="1:3" ht="15.75" customHeight="1" x14ac:dyDescent="0.25">
      <c r="A2729" s="2" t="s">
        <v>2731</v>
      </c>
      <c r="B2729" s="3" t="s">
        <v>2</v>
      </c>
      <c r="C2729" s="2" t="str">
        <f ca="1">IFERROR(__xludf.DUMMYFUNCTION("GOOGLETRANSLATE(A2729,""bn"",""en"")"),"The keyboard cover fits but typing is a little uncomfortable")</f>
        <v>The keyboard cover fits but typing is a little uncomfortable</v>
      </c>
    </row>
    <row r="2730" spans="1:3" ht="15.75" customHeight="1" x14ac:dyDescent="0.25">
      <c r="A2730" s="2" t="s">
        <v>2732</v>
      </c>
      <c r="B2730" s="3" t="s">
        <v>2</v>
      </c>
      <c r="C2730" s="2" t="str">
        <f ca="1">IFERROR(__xludf.DUMMYFUNCTION("GOOGLETRANSLATE(A2730,""bn"",""en"")"),"Quality and color are good but not great")</f>
        <v>Quality and color are good but not great</v>
      </c>
    </row>
    <row r="2731" spans="1:3" ht="15.75" customHeight="1" x14ac:dyDescent="0.25">
      <c r="A2731" s="2" t="s">
        <v>2733</v>
      </c>
      <c r="B2731" s="3" t="s">
        <v>4</v>
      </c>
      <c r="C2731" s="2" t="str">
        <f ca="1">IFERROR(__xludf.DUMMYFUNCTION("GOOGLETRANSLATE(A2731,""bn"",""en"")"),"It's really nice to get such good quality sheets at an affordable price")</f>
        <v>It's really nice to get such good quality sheets at an affordable price</v>
      </c>
    </row>
    <row r="2732" spans="1:3" ht="15.75" customHeight="1" x14ac:dyDescent="0.25">
      <c r="A2732" s="2" t="s">
        <v>2734</v>
      </c>
      <c r="B2732" s="3" t="s">
        <v>6</v>
      </c>
      <c r="C2732" s="2" t="str">
        <f ca="1">IFERROR(__xludf.DUMMYFUNCTION("GOOGLETRANSLATE(A2732,""bn"",""en"")"),"Material feels rough on skin")</f>
        <v>Material feels rough on skin</v>
      </c>
    </row>
    <row r="2733" spans="1:3" ht="15.75" customHeight="1" x14ac:dyDescent="0.25">
      <c r="A2733" s="2" t="s">
        <v>2735</v>
      </c>
      <c r="B2733" s="3" t="s">
        <v>4</v>
      </c>
      <c r="C2733" s="2" t="str">
        <f ca="1">IFERROR(__xludf.DUMMYFUNCTION("GOOGLETRANSLATE(A2733,""bn"",""en"")"),"It is suitable for use at night")</f>
        <v>It is suitable for use at night</v>
      </c>
    </row>
    <row r="2734" spans="1:3" ht="15.75" customHeight="1" x14ac:dyDescent="0.25">
      <c r="A2734" s="2" t="s">
        <v>2736</v>
      </c>
      <c r="B2734" s="3" t="s">
        <v>4</v>
      </c>
      <c r="C2734" s="2" t="str">
        <f ca="1">IFERROR(__xludf.DUMMYFUNCTION("GOOGLETRANSLATE(A2734,""bn"",""en"")"),"I love the versatility of this dinner set, it can be used not only for eating but also for holding vases or small items.")</f>
        <v>I love the versatility of this dinner set, it can be used not only for eating but also for holding vases or small items.</v>
      </c>
    </row>
    <row r="2735" spans="1:3" ht="15.75" customHeight="1" x14ac:dyDescent="0.25">
      <c r="A2735" s="2" t="s">
        <v>2737</v>
      </c>
      <c r="B2735" s="3" t="s">
        <v>4</v>
      </c>
      <c r="C2735" s="2" t="str">
        <f ca="1">IFERROR(__xludf.DUMMYFUNCTION("GOOGLETRANSLATE(A2735,""bn"",""en"")"),"Colors and Designs It stands out among the sheets of different colors and designs")</f>
        <v>Colors and Designs It stands out among the sheets of different colors and designs</v>
      </c>
    </row>
    <row r="2736" spans="1:3" ht="15.75" customHeight="1" x14ac:dyDescent="0.25">
      <c r="A2736" s="2" t="s">
        <v>2738</v>
      </c>
      <c r="B2736" s="3" t="s">
        <v>6</v>
      </c>
      <c r="C2736" s="2" t="str">
        <f ca="1">IFERROR(__xludf.DUMMYFUNCTION("GOOGLETRANSLATE(A2736,""bn"",""en"")"),"The clasp on the jewelry was flimsy and had a tendency to come undone, putting my precious pieces at risk of damage or loss.")</f>
        <v>The clasp on the jewelry was flimsy and had a tendency to come undone, putting my precious pieces at risk of damage or loss.</v>
      </c>
    </row>
    <row r="2737" spans="1:3" ht="15.75" customHeight="1" x14ac:dyDescent="0.25">
      <c r="A2737" s="2" t="s">
        <v>2739</v>
      </c>
      <c r="B2737" s="3" t="s">
        <v>6</v>
      </c>
      <c r="C2737" s="2" t="str">
        <f ca="1">IFERROR(__xludf.DUMMYFUNCTION("GOOGLETRANSLATE(A2737,""bn"",""en"")"),"Ineffective insulation causes drinks to cool quickly")</f>
        <v>Ineffective insulation causes drinks to cool quickly</v>
      </c>
    </row>
    <row r="2738" spans="1:3" ht="15.75" customHeight="1" x14ac:dyDescent="0.25">
      <c r="A2738" s="2" t="s">
        <v>2740</v>
      </c>
      <c r="B2738" s="3" t="s">
        <v>4</v>
      </c>
      <c r="C2738" s="2" t="str">
        <f ca="1">IFERROR(__xludf.DUMMYFUNCTION("GOOGLETRANSLATE(A2738,""bn"",""en"")")," Alhamdulillah I finally got the product")</f>
        <v xml:space="preserve"> Alhamdulillah I finally got the product</v>
      </c>
    </row>
    <row r="2739" spans="1:3" ht="15.75" customHeight="1" x14ac:dyDescent="0.25">
      <c r="A2739" s="2" t="s">
        <v>2741</v>
      </c>
      <c r="B2739" s="3" t="s">
        <v>6</v>
      </c>
      <c r="C2739" s="2" t="str">
        <f ca="1">IFERROR(__xludf.DUMMYFUNCTION("GOOGLETRANSLATE(A2739,""bn"",""en"")"),"The pieces of the tea set were very delicate and broke easily during use")</f>
        <v>The pieces of the tea set were very delicate and broke easily during use</v>
      </c>
    </row>
    <row r="2740" spans="1:3" ht="15.75" customHeight="1" x14ac:dyDescent="0.25">
      <c r="A2740" s="2" t="s">
        <v>2742</v>
      </c>
      <c r="B2740" s="3" t="s">
        <v>6</v>
      </c>
      <c r="C2740" s="2" t="str">
        <f ca="1">IFERROR(__xludf.DUMMYFUNCTION("GOOGLETRANSLATE(A2740,""bn"",""en"")"),"Facial mists contain alcohol, which dries out the skin and causes tightness and discomfort")</f>
        <v>Facial mists contain alcohol, which dries out the skin and causes tightness and discomfort</v>
      </c>
    </row>
    <row r="2741" spans="1:3" ht="15.75" customHeight="1" x14ac:dyDescent="0.25">
      <c r="A2741" s="2" t="s">
        <v>2743</v>
      </c>
      <c r="B2741" s="3" t="s">
        <v>2</v>
      </c>
      <c r="C2741" s="2" t="str">
        <f ca="1">IFERROR(__xludf.DUMMYFUNCTION("GOOGLETRANSLATE(A2741,""bn"",""en"")"),"The portable thermal printer prints receipts but runs out of paper quickly")</f>
        <v>The portable thermal printer prints receipts but runs out of paper quickly</v>
      </c>
    </row>
    <row r="2742" spans="1:3" ht="15.75" customHeight="1" x14ac:dyDescent="0.25">
      <c r="A2742" s="2" t="s">
        <v>2744</v>
      </c>
      <c r="B2742" s="3" t="s">
        <v>4</v>
      </c>
      <c r="C2742" s="2" t="str">
        <f ca="1">IFERROR(__xludf.DUMMYFUNCTION("GOOGLETRANSLATE(A2742,""bn"",""en"")"),"This pad gives a long lasting fresh feel which is really commendable")</f>
        <v>This pad gives a long lasting fresh feel which is really commendable</v>
      </c>
    </row>
    <row r="2743" spans="1:3" ht="15.75" customHeight="1" x14ac:dyDescent="0.25">
      <c r="A2743" s="2" t="s">
        <v>2745</v>
      </c>
      <c r="B2743" s="3" t="s">
        <v>4</v>
      </c>
      <c r="C2743" s="2" t="str">
        <f ca="1">IFERROR(__xludf.DUMMYFUNCTION("GOOGLETRANSLATE(A2743,""bn"",""en"")"),"The phone screen protector is very effective and durable")</f>
        <v>The phone screen protector is very effective and durable</v>
      </c>
    </row>
    <row r="2744" spans="1:3" ht="15.75" customHeight="1" x14ac:dyDescent="0.25">
      <c r="A2744" s="2" t="s">
        <v>2746</v>
      </c>
      <c r="B2744" s="3" t="s">
        <v>2</v>
      </c>
      <c r="C2744" s="2" t="str">
        <f ca="1">IFERROR(__xludf.DUMMYFUNCTION("GOOGLETRANSLATE(A2744,""bn"",""en"")"),"Comfortable to wear but doesn't seem very durable")</f>
        <v>Comfortable to wear but doesn't seem very durable</v>
      </c>
    </row>
    <row r="2745" spans="1:3" ht="15.75" customHeight="1" x14ac:dyDescent="0.25">
      <c r="A2745" s="2" t="s">
        <v>2747</v>
      </c>
      <c r="B2745" s="3" t="s">
        <v>6</v>
      </c>
      <c r="C2745" s="2" t="str">
        <f ca="1">IFERROR(__xludf.DUMMYFUNCTION("GOOGLETRANSLATE(A2745,""bn"",""en"")"),"Unacceptable wear and tear over a short period of time")</f>
        <v>Unacceptable wear and tear over a short period of time</v>
      </c>
    </row>
    <row r="2746" spans="1:3" ht="15.75" customHeight="1" x14ac:dyDescent="0.25">
      <c r="A2746" s="2" t="s">
        <v>2748</v>
      </c>
      <c r="B2746" s="3" t="s">
        <v>2</v>
      </c>
      <c r="C2746" s="2" t="str">
        <f ca="1">IFERROR(__xludf.DUMMYFUNCTION("GOOGLETRANSLATE(A2746,""bn"",""en"")"),"It serves the purpose with some flaws")</f>
        <v>It serves the purpose with some flaws</v>
      </c>
    </row>
    <row r="2747" spans="1:3" ht="15.75" customHeight="1" x14ac:dyDescent="0.25">
      <c r="A2747" s="2" t="s">
        <v>2749</v>
      </c>
      <c r="B2747" s="3" t="s">
        <v>2</v>
      </c>
      <c r="C2747" s="2" t="str">
        <f ca="1">IFERROR(__xludf.DUMMYFUNCTION("GOOGLETRANSLATE(A2747,""bn"",""en"")"),"I didn't realize I wouldn't need these")</f>
        <v>I didn't realize I wouldn't need these</v>
      </c>
    </row>
    <row r="2748" spans="1:3" ht="15.75" customHeight="1" x14ac:dyDescent="0.25">
      <c r="A2748" s="2" t="s">
        <v>2750</v>
      </c>
      <c r="B2748" s="3" t="s">
        <v>2</v>
      </c>
      <c r="C2748" s="2" t="str">
        <f ca="1">IFERROR(__xludf.DUMMYFUNCTION("GOOGLETRANSLATE(A2748,""bn"",""en"")"),"It can feel a bit dry")</f>
        <v>It can feel a bit dry</v>
      </c>
    </row>
    <row r="2749" spans="1:3" ht="15.75" customHeight="1" x14ac:dyDescent="0.25">
      <c r="A2749" s="2" t="s">
        <v>2751</v>
      </c>
      <c r="B2749" s="3" t="s">
        <v>2</v>
      </c>
      <c r="C2749" s="2" t="str">
        <f ca="1">IFERROR(__xludf.DUMMYFUNCTION("GOOGLETRANSLATE(A2749,""bn"",""en"")"),"Heats up in five minutes")</f>
        <v>Heats up in five minutes</v>
      </c>
    </row>
    <row r="2750" spans="1:3" ht="15.75" customHeight="1" x14ac:dyDescent="0.25">
      <c r="A2750" s="2" t="s">
        <v>2752</v>
      </c>
      <c r="B2750" s="3" t="s">
        <v>6</v>
      </c>
      <c r="C2750" s="2" t="str">
        <f ca="1">IFERROR(__xludf.DUMMYFUNCTION("GOOGLETRANSLATE(A2750,""bn"",""en"")"),"The aroma was weak and bland, lacking the robustness of high quality tea")</f>
        <v>The aroma was weak and bland, lacking the robustness of high quality tea</v>
      </c>
    </row>
    <row r="2751" spans="1:3" ht="15.75" customHeight="1" x14ac:dyDescent="0.25">
      <c r="A2751" s="2" t="s">
        <v>2753</v>
      </c>
      <c r="B2751" s="3" t="s">
        <v>2</v>
      </c>
      <c r="C2751" s="2" t="str">
        <f ca="1">IFERROR(__xludf.DUMMYFUNCTION("GOOGLETRANSLATE(A2751,""bn"",""en"")"),"Small and convenient but may have limited functionality")</f>
        <v>Small and convenient but may have limited functionality</v>
      </c>
    </row>
    <row r="2752" spans="1:3" ht="15.75" customHeight="1" x14ac:dyDescent="0.25">
      <c r="A2752" s="2" t="s">
        <v>2754</v>
      </c>
      <c r="B2752" s="3" t="s">
        <v>6</v>
      </c>
      <c r="C2752" s="2" t="str">
        <f ca="1">IFERROR(__xludf.DUMMYFUNCTION("GOOGLETRANSLATE(A2752,""bn"",""en"")"),"Disappointing experience lack of sustainability")</f>
        <v>Disappointing experience lack of sustainability</v>
      </c>
    </row>
    <row r="2753" spans="1:3" ht="15.75" customHeight="1" x14ac:dyDescent="0.25">
      <c r="A2753" s="2" t="s">
        <v>2755</v>
      </c>
      <c r="B2753" s="3" t="s">
        <v>2</v>
      </c>
      <c r="C2753" s="2" t="str">
        <f ca="1">IFERROR(__xludf.DUMMYFUNCTION("GOOGLETRANSLATE(A2753,""bn"",""en"")"),"Solar cameras that are good for basic use may have connectivity issues")</f>
        <v>Solar cameras that are good for basic use may have connectivity issues</v>
      </c>
    </row>
    <row r="2754" spans="1:3" ht="15.75" customHeight="1" x14ac:dyDescent="0.25">
      <c r="A2754" s="2" t="s">
        <v>2756</v>
      </c>
      <c r="B2754" s="3" t="s">
        <v>4</v>
      </c>
      <c r="C2754" s="2" t="str">
        <f ca="1">IFERROR(__xludf.DUMMYFUNCTION("GOOGLETRANSLATE(A2754,""bn"",""en"")"),"An excellent product with excellent performance and durability")</f>
        <v>An excellent product with excellent performance and durability</v>
      </c>
    </row>
    <row r="2755" spans="1:3" ht="15.75" customHeight="1" x14ac:dyDescent="0.25">
      <c r="A2755" s="2" t="s">
        <v>2757</v>
      </c>
      <c r="B2755" s="3" t="s">
        <v>2</v>
      </c>
      <c r="C2755" s="2" t="str">
        <f ca="1">IFERROR(__xludf.DUMMYFUNCTION("GOOGLETRANSLATE(A2755,""bn"",""en"")"),"Buy good but not the best")</f>
        <v>Buy good but not the best</v>
      </c>
    </row>
    <row r="2756" spans="1:3" ht="15.75" customHeight="1" x14ac:dyDescent="0.25">
      <c r="A2756" s="2" t="s">
        <v>2758</v>
      </c>
      <c r="B2756" s="3" t="s">
        <v>6</v>
      </c>
      <c r="C2756" s="2" t="str">
        <f ca="1">IFERROR(__xludf.DUMMYFUNCTION("GOOGLETRANSLATE(A2756,""bn"",""en"")"),"The hair serum left my hair feeling greasy and weighed down with no visible improvement")</f>
        <v>The hair serum left my hair feeling greasy and weighed down with no visible improvement</v>
      </c>
    </row>
    <row r="2757" spans="1:3" ht="15.75" customHeight="1" x14ac:dyDescent="0.25">
      <c r="A2757" s="2" t="s">
        <v>2759</v>
      </c>
      <c r="B2757" s="3" t="s">
        <v>6</v>
      </c>
      <c r="C2757" s="2" t="str">
        <f ca="1">IFERROR(__xludf.DUMMYFUNCTION("GOOGLETRANSLATE(A2757,""bn"",""en"")"),"Irregular heating cycles lead to inconsistent water temperatures")</f>
        <v>Irregular heating cycles lead to inconsistent water temperatures</v>
      </c>
    </row>
    <row r="2758" spans="1:3" ht="15.75" customHeight="1" x14ac:dyDescent="0.25">
      <c r="A2758" s="2" t="s">
        <v>2760</v>
      </c>
      <c r="B2758" s="3" t="s">
        <v>4</v>
      </c>
      <c r="C2758" s="2" t="str">
        <f ca="1">IFERROR(__xludf.DUMMYFUNCTION("GOOGLETRANSLATE(A2758,""bn"",""en"")"),"The fit is very accurate and comfortable")</f>
        <v>The fit is very accurate and comfortable</v>
      </c>
    </row>
    <row r="2759" spans="1:3" ht="15.75" customHeight="1" x14ac:dyDescent="0.25">
      <c r="A2759" s="2" t="s">
        <v>2761</v>
      </c>
      <c r="B2759" s="3" t="s">
        <v>4</v>
      </c>
      <c r="C2759" s="2" t="str">
        <f ca="1">IFERROR(__xludf.DUMMYFUNCTION("GOOGLETRANSLATE(A2759,""bn"",""en"")"),"The body material is durable")</f>
        <v>The body material is durable</v>
      </c>
    </row>
    <row r="2760" spans="1:3" ht="15.75" customHeight="1" x14ac:dyDescent="0.25">
      <c r="A2760" s="2" t="s">
        <v>2762</v>
      </c>
      <c r="B2760" s="3" t="s">
        <v>2</v>
      </c>
      <c r="C2760" s="2" t="str">
        <f ca="1">IFERROR(__xludf.DUMMYFUNCTION("GOOGLETRANSLATE(A2760,""bn"",""en"")"),"The size of the room looks large but not excessive")</f>
        <v>The size of the room looks large but not excessive</v>
      </c>
    </row>
    <row r="2761" spans="1:3" ht="15.75" customHeight="1" x14ac:dyDescent="0.25">
      <c r="A2761" s="2" t="s">
        <v>2763</v>
      </c>
      <c r="B2761" s="3" t="s">
        <v>6</v>
      </c>
      <c r="C2761" s="2" t="str">
        <f ca="1">IFERROR(__xludf.DUMMYFUNCTION("GOOGLETRANSLATE(A2761,""bn"",""en"")"),"The laptop bag lacked enough storage space for all my accessories")</f>
        <v>The laptop bag lacked enough storage space for all my accessories</v>
      </c>
    </row>
    <row r="2762" spans="1:3" ht="15.75" customHeight="1" x14ac:dyDescent="0.25">
      <c r="A2762" s="2" t="s">
        <v>2764</v>
      </c>
      <c r="B2762" s="3" t="s">
        <v>2</v>
      </c>
      <c r="C2762" s="2" t="str">
        <f ca="1">IFERROR(__xludf.DUMMYFUNCTION("GOOGLETRANSLATE(A2762,""bn"",""en"")"),"They last longer but may have limited effectiveness")</f>
        <v>They last longer but may have limited effectiveness</v>
      </c>
    </row>
    <row r="2763" spans="1:3" ht="15.75" customHeight="1" x14ac:dyDescent="0.25">
      <c r="A2763" s="2" t="s">
        <v>2765</v>
      </c>
      <c r="B2763" s="3" t="s">
        <v>2</v>
      </c>
      <c r="C2763" s="2" t="str">
        <f ca="1">IFERROR(__xludf.DUMMYFUNCTION("GOOGLETRANSLATE(A2763,""bn"",""en"")"),"A bit nice doesn't work great but it's nothing to write home about")</f>
        <v>A bit nice doesn't work great but it's nothing to write home about</v>
      </c>
    </row>
    <row r="2764" spans="1:3" ht="15.75" customHeight="1" x14ac:dyDescent="0.25">
      <c r="A2764" s="2" t="s">
        <v>2766</v>
      </c>
      <c r="B2764" s="3" t="s">
        <v>6</v>
      </c>
      <c r="C2764" s="2" t="str">
        <f ca="1">IFERROR(__xludf.DUMMYFUNCTION("GOOGLETRANSLATE(A2764,""bn"",""en"")"),"  Lack of breathability traps heat and moisture causing sweating and discomfort")</f>
        <v xml:space="preserve">  Lack of breathability traps heat and moisture causing sweating and discomfort</v>
      </c>
    </row>
    <row r="2765" spans="1:3" ht="15.75" customHeight="1" x14ac:dyDescent="0.25">
      <c r="A2765" s="2" t="s">
        <v>2767</v>
      </c>
      <c r="B2765" s="3" t="s">
        <v>6</v>
      </c>
      <c r="C2765" s="2" t="str">
        <f ca="1">IFERROR(__xludf.DUMMYFUNCTION("GOOGLETRANSLATE(A2765,""bn"",""en"")"),"The mounting bracket of the solar powered LED light is too weak to hold the light securely")</f>
        <v>The mounting bracket of the solar powered LED light is too weak to hold the light securely</v>
      </c>
    </row>
    <row r="2766" spans="1:3" ht="15.75" customHeight="1" x14ac:dyDescent="0.25">
      <c r="A2766" s="2" t="s">
        <v>2768</v>
      </c>
      <c r="B2766" s="3" t="s">
        <v>2</v>
      </c>
      <c r="C2766" s="2" t="str">
        <f ca="1">IFERROR(__xludf.DUMMYFUNCTION("GOOGLETRANSLATE(A2766,""bn"",""en"")"),"The cut is quite stylish but the fabric quality is not that good")</f>
        <v>The cut is quite stylish but the fabric quality is not that good</v>
      </c>
    </row>
    <row r="2767" spans="1:3" ht="15.75" customHeight="1" x14ac:dyDescent="0.25">
      <c r="A2767" s="2" t="s">
        <v>2769</v>
      </c>
      <c r="B2767" s="3" t="s">
        <v>6</v>
      </c>
      <c r="C2767" s="2" t="str">
        <f ca="1">IFERROR(__xludf.DUMMYFUNCTION("GOOGLETRANSLATE(A2767,""bn"",""en"")"),"Volumizing shampoos fail to add volume leaving my hair looking flat")</f>
        <v>Volumizing shampoos fail to add volume leaving my hair looking flat</v>
      </c>
    </row>
    <row r="2768" spans="1:3" ht="15.75" customHeight="1" x14ac:dyDescent="0.25">
      <c r="A2768" s="2" t="s">
        <v>2770</v>
      </c>
      <c r="B2768" s="3" t="s">
        <v>6</v>
      </c>
      <c r="C2768" s="2" t="str">
        <f ca="1">IFERROR(__xludf.DUMMYFUNCTION("GOOGLETRANSLATE(A2768,""bn"",""en"")"),"The monitor screen is very dim making it difficult to see in low light")</f>
        <v>The monitor screen is very dim making it difficult to see in low light</v>
      </c>
    </row>
    <row r="2769" spans="1:3" ht="15.75" customHeight="1" x14ac:dyDescent="0.25">
      <c r="A2769" s="2" t="s">
        <v>2771</v>
      </c>
      <c r="B2769" s="3" t="s">
        <v>6</v>
      </c>
      <c r="C2769" s="2" t="str">
        <f ca="1">IFERROR(__xludf.DUMMYFUNCTION("GOOGLETRANSLATE(A2769,""bn"",""en"")"),"Inadequate support from the manufacturer made me unhappy")</f>
        <v>Inadequate support from the manufacturer made me unhappy</v>
      </c>
    </row>
    <row r="2770" spans="1:3" ht="15.75" customHeight="1" x14ac:dyDescent="0.25">
      <c r="A2770" s="2" t="s">
        <v>2772</v>
      </c>
      <c r="B2770" s="3" t="s">
        <v>4</v>
      </c>
      <c r="C2770" s="2" t="str">
        <f ca="1">IFERROR(__xludf.DUMMYFUNCTION("GOOGLETRANSLATE(A2770,""bn"",""en"")"),"The warranty provided with the bookcase is very reliable")</f>
        <v>The warranty provided with the bookcase is very reliable</v>
      </c>
    </row>
    <row r="2771" spans="1:3" ht="15.75" customHeight="1" x14ac:dyDescent="0.25">
      <c r="A2771" s="2" t="s">
        <v>2773</v>
      </c>
      <c r="B2771" s="3" t="s">
        <v>6</v>
      </c>
      <c r="C2771" s="2" t="str">
        <f ca="1">IFERROR(__xludf.DUMMYFUNCTION("GOOGLETRANSLATE(A2771,""bn"",""en"")"),"Size differences are confusing ads")</f>
        <v>Size differences are confusing ads</v>
      </c>
    </row>
    <row r="2772" spans="1:3" ht="15.75" customHeight="1" x14ac:dyDescent="0.25">
      <c r="A2772" s="2" t="s">
        <v>2774</v>
      </c>
      <c r="B2772" s="3" t="s">
        <v>2</v>
      </c>
      <c r="C2772" s="2" t="str">
        <f ca="1">IFERROR(__xludf.DUMMYFUNCTION("GOOGLETRANSLATE(A2772,""bn"",""en"")"),"There are practical benefits but the price seems a bit high")</f>
        <v>There are practical benefits but the price seems a bit high</v>
      </c>
    </row>
    <row r="2773" spans="1:3" ht="15.75" customHeight="1" x14ac:dyDescent="0.25">
      <c r="A2773" s="2" t="s">
        <v>2775</v>
      </c>
      <c r="B2773" s="3" t="s">
        <v>4</v>
      </c>
      <c r="C2773" s="2" t="str">
        <f ca="1">IFERROR(__xludf.DUMMYFUNCTION("GOOGLETRANSLATE(A2773,""bn"",""en"")"),"Can be used as a puzzle but very simple")</f>
        <v>Can be used as a puzzle but very simple</v>
      </c>
    </row>
    <row r="2774" spans="1:3" ht="15.75" customHeight="1" x14ac:dyDescent="0.25">
      <c r="A2774" s="2" t="s">
        <v>2776</v>
      </c>
      <c r="B2774" s="3" t="s">
        <v>6</v>
      </c>
      <c r="C2774" s="2" t="str">
        <f ca="1">IFERROR(__xludf.DUMMYFUNCTION("GOOGLETRANSLATE(A2774,""bn"",""en"")"),"Unreliable locking system resulting in accidental opening")</f>
        <v>Unreliable locking system resulting in accidental opening</v>
      </c>
    </row>
    <row r="2775" spans="1:3" ht="15.75" customHeight="1" x14ac:dyDescent="0.25">
      <c r="A2775" s="2" t="s">
        <v>2777</v>
      </c>
      <c r="B2775" s="3" t="s">
        <v>2</v>
      </c>
      <c r="C2775" s="2" t="str">
        <f ca="1">IFERROR(__xludf.DUMMYFUNCTION("GOOGLETRANSLATE(A2775,""bn"",""en"")"),"All necessary tools for assembly were provided")</f>
        <v>All necessary tools for assembly were provided</v>
      </c>
    </row>
    <row r="2776" spans="1:3" ht="15.75" customHeight="1" x14ac:dyDescent="0.25">
      <c r="A2776" s="2" t="s">
        <v>2778</v>
      </c>
      <c r="B2776" s="3" t="s">
        <v>6</v>
      </c>
      <c r="C2776" s="2" t="str">
        <f ca="1">IFERROR(__xludf.DUMMYFUNCTION("GOOGLETRANSLATE(A2776,""bn"",""en"")"),"Sticky keys and unresponsive buttons hinder productivity")</f>
        <v>Sticky keys and unresponsive buttons hinder productivity</v>
      </c>
    </row>
    <row r="2777" spans="1:3" ht="15.75" customHeight="1" x14ac:dyDescent="0.25">
      <c r="A2777" s="2" t="s">
        <v>2779</v>
      </c>
      <c r="B2777" s="3" t="s">
        <v>2</v>
      </c>
      <c r="C2777" s="2" t="str">
        <f ca="1">IFERROR(__xludf.DUMMYFUNCTION("GOOGLETRANSLATE(A2777,""bn"",""en"")"),"It is beautiful but thin")</f>
        <v>It is beautiful but thin</v>
      </c>
    </row>
    <row r="2778" spans="1:3" ht="15.75" customHeight="1" x14ac:dyDescent="0.25">
      <c r="A2778" s="2" t="s">
        <v>2780</v>
      </c>
      <c r="B2778" s="3" t="s">
        <v>6</v>
      </c>
      <c r="C2778" s="2" t="str">
        <f ca="1">IFERROR(__xludf.DUMMYFUNCTION("GOOGLETRANSLATE(A2778,""bn"",""en"")")," The folding prong mechanism is stiff and difficult to operate requiring excessive force")</f>
        <v xml:space="preserve"> The folding prong mechanism is stiff and difficult to operate requiring excessive force</v>
      </c>
    </row>
    <row r="2779" spans="1:3" ht="15.75" customHeight="1" x14ac:dyDescent="0.25">
      <c r="A2779" s="2" t="s">
        <v>2781</v>
      </c>
      <c r="B2779" s="3" t="s">
        <v>4</v>
      </c>
      <c r="C2779" s="2" t="str">
        <f ca="1">IFERROR(__xludf.DUMMYFUNCTION("GOOGLETRANSLATE(A2779,""bn"",""en"")"),"The finishing of the shelf is very perfect")</f>
        <v>The finishing of the shelf is very perfect</v>
      </c>
    </row>
    <row r="2780" spans="1:3" ht="15.75" customHeight="1" x14ac:dyDescent="0.25">
      <c r="A2780" s="2" t="s">
        <v>2782</v>
      </c>
      <c r="B2780" s="3" t="s">
        <v>6</v>
      </c>
      <c r="C2780" s="2" t="str">
        <f ca="1">IFERROR(__xludf.DUMMYFUNCTION("GOOGLETRANSLATE(A2780,""bn"",""en"")"),"Very disappointing that the charger stopped working after only a few weeks of use")</f>
        <v>Very disappointing that the charger stopped working after only a few weeks of use</v>
      </c>
    </row>
    <row r="2781" spans="1:3" ht="15.75" customHeight="1" x14ac:dyDescent="0.25">
      <c r="A2781" s="2" t="s">
        <v>2783</v>
      </c>
      <c r="B2781" s="3" t="s">
        <v>2</v>
      </c>
      <c r="C2781" s="2" t="str">
        <f ca="1">IFERROR(__xludf.DUMMYFUNCTION("GOOGLETRANSLATE(A2781,""bn"",""en"")"),"After grinding the powder is uniform")</f>
        <v>After grinding the powder is uniform</v>
      </c>
    </row>
    <row r="2782" spans="1:3" ht="15.75" customHeight="1" x14ac:dyDescent="0.25">
      <c r="A2782" s="2" t="s">
        <v>2784</v>
      </c>
      <c r="B2782" s="3" t="s">
        <v>4</v>
      </c>
      <c r="C2782" s="2" t="str">
        <f ca="1">IFERROR(__xludf.DUMMYFUNCTION("GOOGLETRANSLATE(A2782,""bn"",""en"")"),"Heirloom quality product was intended to last a lifetime")</f>
        <v>Heirloom quality product was intended to last a lifetime</v>
      </c>
    </row>
    <row r="2783" spans="1:3" ht="15.75" customHeight="1" x14ac:dyDescent="0.25">
      <c r="A2783" s="2" t="s">
        <v>2785</v>
      </c>
      <c r="B2783" s="3" t="s">
        <v>6</v>
      </c>
      <c r="C2783" s="2" t="str">
        <f ca="1">IFERROR(__xludf.DUMMYFUNCTION("GOOGLETRANSLATE(A2783,""bn"",""en"")"),"The item's connection options were limited")</f>
        <v>The item's connection options were limited</v>
      </c>
    </row>
    <row r="2784" spans="1:3" ht="15.75" customHeight="1" x14ac:dyDescent="0.25">
      <c r="A2784" s="2" t="s">
        <v>2786</v>
      </c>
      <c r="B2784" s="3" t="s">
        <v>2</v>
      </c>
      <c r="C2784" s="2" t="str">
        <f ca="1">IFERROR(__xludf.DUMMYFUNCTION("GOOGLETRANSLATE(A2784,""bn"",""en"")"),"It is good for daily use but has some room for improvement")</f>
        <v>It is good for daily use but has some room for improvement</v>
      </c>
    </row>
    <row r="2785" spans="1:3" ht="15.75" customHeight="1" x14ac:dyDescent="0.25">
      <c r="A2785" s="2" t="s">
        <v>2787</v>
      </c>
      <c r="B2785" s="3" t="s">
        <v>6</v>
      </c>
      <c r="C2785" s="2" t="str">
        <f ca="1">IFERROR(__xludf.DUMMYFUNCTION("GOOGLETRANSLATE(A2785,""bn"",""en"")"),"The coffee had a metallic taste probably due to poor quality processing")</f>
        <v>The coffee had a metallic taste probably due to poor quality processing</v>
      </c>
    </row>
    <row r="2786" spans="1:3" ht="15.75" customHeight="1" x14ac:dyDescent="0.25">
      <c r="A2786" s="2" t="s">
        <v>2788</v>
      </c>
      <c r="B2786" s="3" t="s">
        <v>6</v>
      </c>
      <c r="C2786" s="2" t="str">
        <f ca="1">IFERROR(__xludf.DUMMYFUNCTION("GOOGLETRANSLATE(A2786,""bn"",""en"")"),"The hairspray had a strong chemical smell that lingered on my hair all day")</f>
        <v>The hairspray had a strong chemical smell that lingered on my hair all day</v>
      </c>
    </row>
    <row r="2787" spans="1:3" ht="15.75" customHeight="1" x14ac:dyDescent="0.25">
      <c r="A2787" s="2" t="s">
        <v>2789</v>
      </c>
      <c r="B2787" s="3" t="s">
        <v>4</v>
      </c>
      <c r="C2787" s="2" t="str">
        <f ca="1">IFERROR(__xludf.DUMMYFUNCTION("GOOGLETRANSLATE(A2787,""bn"",""en"")"),"Using shampoo makes the hair very smooth")</f>
        <v>Using shampoo makes the hair very smooth</v>
      </c>
    </row>
    <row r="2788" spans="1:3" ht="15.75" customHeight="1" x14ac:dyDescent="0.25">
      <c r="A2788" s="2" t="s">
        <v>2790</v>
      </c>
      <c r="B2788" s="3" t="s">
        <v>6</v>
      </c>
      <c r="C2788" s="2" t="str">
        <f ca="1">IFERROR(__xludf.DUMMYFUNCTION("GOOGLETRANSLATE(A2788,""bn"",""en"")"),"The mist was a strange aftertaste when spraying")</f>
        <v>The mist was a strange aftertaste when spraying</v>
      </c>
    </row>
    <row r="2789" spans="1:3" ht="15.75" customHeight="1" x14ac:dyDescent="0.25">
      <c r="A2789" s="2" t="s">
        <v>2791</v>
      </c>
      <c r="B2789" s="3" t="s">
        <v>4</v>
      </c>
      <c r="C2789" s="2" t="str">
        <f ca="1">IFERROR(__xludf.DUMMYFUNCTION("GOOGLETRANSLATE(A2789,""bn"",""en"")"),"No problem in daily use")</f>
        <v>No problem in daily use</v>
      </c>
    </row>
    <row r="2790" spans="1:3" ht="15.75" customHeight="1" x14ac:dyDescent="0.25">
      <c r="A2790" s="2" t="s">
        <v>2792</v>
      </c>
      <c r="B2790" s="3" t="s">
        <v>4</v>
      </c>
      <c r="C2790" s="2" t="str">
        <f ca="1">IFERROR(__xludf.DUMMYFUNCTION("GOOGLETRANSLATE(A2790,""bn"",""en"")"),"The navigation of the device is very easy")</f>
        <v>The navigation of the device is very easy</v>
      </c>
    </row>
    <row r="2791" spans="1:3" ht="15.75" customHeight="1" x14ac:dyDescent="0.25">
      <c r="A2791" s="2" t="s">
        <v>2793</v>
      </c>
      <c r="B2791" s="3" t="s">
        <v>2</v>
      </c>
      <c r="C2791" s="2" t="str">
        <f ca="1">IFERROR(__xludf.DUMMYFUNCTION("GOOGLETRANSLATE(A2791,""bn"",""en"")"),"Product may lack durability")</f>
        <v>Product may lack durability</v>
      </c>
    </row>
    <row r="2792" spans="1:3" ht="15.75" customHeight="1" x14ac:dyDescent="0.25">
      <c r="A2792" s="2" t="s">
        <v>2794</v>
      </c>
      <c r="B2792" s="3" t="s">
        <v>2</v>
      </c>
      <c r="C2792" s="2" t="str">
        <f ca="1">IFERROR(__xludf.DUMMYFUNCTION("GOOGLETRANSLATE(A2792,""bn"",""en"")"),"The taste is ok but the quantity is less")</f>
        <v>The taste is ok but the quantity is less</v>
      </c>
    </row>
    <row r="2793" spans="1:3" ht="15.75" customHeight="1" x14ac:dyDescent="0.25">
      <c r="A2793" s="2" t="s">
        <v>2795</v>
      </c>
      <c r="B2793" s="3" t="s">
        <v>4</v>
      </c>
      <c r="C2793" s="2" t="str">
        <f ca="1">IFERROR(__xludf.DUMMYFUNCTION("GOOGLETRANSLATE(A2793,""bn"",""en"")"),"The brush seems to last a long time")</f>
        <v>The brush seems to last a long time</v>
      </c>
    </row>
    <row r="2794" spans="1:3" ht="15.75" customHeight="1" x14ac:dyDescent="0.25">
      <c r="A2794" s="2" t="s">
        <v>2796</v>
      </c>
      <c r="B2794" s="3" t="s">
        <v>6</v>
      </c>
      <c r="C2794" s="2" t="str">
        <f ca="1">IFERROR(__xludf.DUMMYFUNCTION("GOOGLETRANSLATE(A2794,""bn"",""en"")"),"The camera's electronic viewfinder lag and screen tearing affect the shooting experience")</f>
        <v>The camera's electronic viewfinder lag and screen tearing affect the shooting experience</v>
      </c>
    </row>
    <row r="2795" spans="1:3" ht="15.75" customHeight="1" x14ac:dyDescent="0.25">
      <c r="A2795" s="2" t="s">
        <v>2797</v>
      </c>
      <c r="B2795" s="3" t="s">
        <v>4</v>
      </c>
      <c r="C2795" s="2" t="str">
        <f ca="1">IFERROR(__xludf.DUMMYFUNCTION("GOOGLETRANSLATE(A2795,""bn"",""en"")"),"Enjoyed every sentence of the book")</f>
        <v>Enjoyed every sentence of the book</v>
      </c>
    </row>
    <row r="2796" spans="1:3" ht="15.75" customHeight="1" x14ac:dyDescent="0.25">
      <c r="A2796" s="2" t="s">
        <v>2798</v>
      </c>
      <c r="B2796" s="3" t="s">
        <v>4</v>
      </c>
      <c r="C2796" s="2" t="str">
        <f ca="1">IFERROR(__xludf.DUMMYFUNCTION("GOOGLETRANSLATE(A2796,""bn"",""en"")"),"The garment is comfortable to wear")</f>
        <v>The garment is comfortable to wear</v>
      </c>
    </row>
    <row r="2797" spans="1:3" ht="15.75" customHeight="1" x14ac:dyDescent="0.25">
      <c r="A2797" s="2" t="s">
        <v>2799</v>
      </c>
      <c r="B2797" s="3" t="s">
        <v>2</v>
      </c>
      <c r="C2797" s="2" t="str">
        <f ca="1">IFERROR(__xludf.DUMMYFUNCTION("GOOGLETRANSLATE(A2797,""bn"",""en"")"),"The plates are wide but shallow")</f>
        <v>The plates are wide but shallow</v>
      </c>
    </row>
    <row r="2798" spans="1:3" ht="15.75" customHeight="1" x14ac:dyDescent="0.25">
      <c r="A2798" s="2" t="s">
        <v>2800</v>
      </c>
      <c r="B2798" s="3" t="s">
        <v>4</v>
      </c>
      <c r="C2798" s="2" t="str">
        <f ca="1">IFERROR(__xludf.DUMMYFUNCTION("GOOGLETRANSLATE(A2798,""bn"",""en"")")," Amazing camera, just what I wanted, great product")</f>
        <v xml:space="preserve"> Amazing camera, just what I wanted, great product</v>
      </c>
    </row>
    <row r="2799" spans="1:3" ht="15.75" customHeight="1" x14ac:dyDescent="0.25">
      <c r="A2799" s="2" t="s">
        <v>2801</v>
      </c>
      <c r="B2799" s="3" t="s">
        <v>2</v>
      </c>
      <c r="C2799" s="2" t="str">
        <f ca="1">IFERROR(__xludf.DUMMYFUNCTION("GOOGLETRANSLATE(A2799,""bn"",""en"")"),"Android provides features but there are many apps")</f>
        <v>Android provides features but there are many apps</v>
      </c>
    </row>
    <row r="2800" spans="1:3" ht="15.75" customHeight="1" x14ac:dyDescent="0.25">
      <c r="A2800" s="2" t="s">
        <v>2802</v>
      </c>
      <c r="B2800" s="3" t="s">
        <v>6</v>
      </c>
      <c r="C2800" s="2" t="str">
        <f ca="1">IFERROR(__xludf.DUMMYFUNCTION("GOOGLETRANSLATE(A2800,""bn"",""en"")"),"The item weight distribution was unbalanced")</f>
        <v>The item weight distribution was unbalanced</v>
      </c>
    </row>
    <row r="2801" spans="1:3" ht="15.75" customHeight="1" x14ac:dyDescent="0.25">
      <c r="A2801" s="2" t="s">
        <v>2803</v>
      </c>
      <c r="B2801" s="3" t="s">
        <v>2</v>
      </c>
      <c r="C2801" s="2" t="str">
        <f ca="1">IFERROR(__xludf.DUMMYFUNCTION("GOOGLETRANSLATE(A2801,""bn"",""en"")"),"Be careful when changing the water")</f>
        <v>Be careful when changing the water</v>
      </c>
    </row>
    <row r="2802" spans="1:3" ht="15.75" customHeight="1" x14ac:dyDescent="0.25">
      <c r="A2802" s="2" t="s">
        <v>2804</v>
      </c>
      <c r="B2802" s="3" t="s">
        <v>2</v>
      </c>
      <c r="C2802" s="2" t="str">
        <f ca="1">IFERROR(__xludf.DUMMYFUNCTION("GOOGLETRANSLATE(A2802,""bn"",""en"")"),"The folding trolley carries things but the wheels get stuck")</f>
        <v>The folding trolley carries things but the wheels get stuck</v>
      </c>
    </row>
    <row r="2803" spans="1:3" ht="15.75" customHeight="1" x14ac:dyDescent="0.25">
      <c r="A2803" s="2" t="s">
        <v>2805</v>
      </c>
      <c r="B2803" s="3" t="s">
        <v>6</v>
      </c>
      <c r="C2803" s="2" t="str">
        <f ca="1">IFERROR(__xludf.DUMMYFUNCTION("GOOGLETRANSLATE(A2803,""bn"",""en"")"),"Inadequate security features pose risks to users")</f>
        <v>Inadequate security features pose risks to users</v>
      </c>
    </row>
    <row r="2804" spans="1:3" ht="15.75" customHeight="1" x14ac:dyDescent="0.25">
      <c r="A2804" s="2" t="s">
        <v>2806</v>
      </c>
      <c r="B2804" s="3" t="s">
        <v>4</v>
      </c>
      <c r="C2804" s="2" t="str">
        <f ca="1">IFERROR(__xludf.DUMMYFUNCTION("GOOGLETRANSLATE(A2804,""bn"",""en"")"),"The metal used in this ring is very advanced and of high quality")</f>
        <v>The metal used in this ring is very advanced and of high quality</v>
      </c>
    </row>
    <row r="2805" spans="1:3" ht="15.75" customHeight="1" x14ac:dyDescent="0.25">
      <c r="A2805" s="2" t="s">
        <v>2807</v>
      </c>
      <c r="B2805" s="3" t="s">
        <v>2</v>
      </c>
      <c r="C2805" s="2" t="str">
        <f ca="1">IFERROR(__xludf.DUMMYFUNCTION("GOOGLETRANSLATE(A2805,""bn"",""en"")"),"The product has functionality but limitations")</f>
        <v>The product has functionality but limitations</v>
      </c>
    </row>
    <row r="2806" spans="1:3" ht="15.75" customHeight="1" x14ac:dyDescent="0.25">
      <c r="A2806" s="2" t="s">
        <v>2808</v>
      </c>
      <c r="B2806" s="3" t="s">
        <v>6</v>
      </c>
      <c r="C2806" s="2" t="str">
        <f ca="1">IFERROR(__xludf.DUMMYFUNCTION("GOOGLETRANSLATE(A2806,""bn"",""en"")"),"Very disappointed product caused a rash")</f>
        <v>Very disappointed product caused a rash</v>
      </c>
    </row>
    <row r="2807" spans="1:3" ht="15.75" customHeight="1" x14ac:dyDescent="0.25">
      <c r="A2807" s="2" t="s">
        <v>2809</v>
      </c>
      <c r="B2807" s="3" t="s">
        <v>2</v>
      </c>
      <c r="C2807" s="2" t="str">
        <f ca="1">IFERROR(__xludf.DUMMYFUNCTION("GOOGLETRANSLATE(A2807,""bn"",""en"")"),"It should not come into contact with the skin")</f>
        <v>It should not come into contact with the skin</v>
      </c>
    </row>
    <row r="2808" spans="1:3" ht="15.75" customHeight="1" x14ac:dyDescent="0.25">
      <c r="A2808" s="2" t="s">
        <v>2810</v>
      </c>
      <c r="B2808" s="3" t="s">
        <v>2</v>
      </c>
      <c r="C2808" s="2" t="str">
        <f ca="1">IFERROR(__xludf.DUMMYFUNCTION("GOOGLETRANSLATE(A2808,""bn"",""en"")"),"Shake before use")</f>
        <v>Shake before use</v>
      </c>
    </row>
    <row r="2809" spans="1:3" ht="15.75" customHeight="1" x14ac:dyDescent="0.25">
      <c r="A2809" s="2" t="s">
        <v>2811</v>
      </c>
      <c r="B2809" s="3" t="s">
        <v>2</v>
      </c>
      <c r="C2809" s="2" t="str">
        <f ca="1">IFERROR(__xludf.DUMMYFUNCTION("GOOGLETRANSLATE(A2809,""bn"",""en"")"),"A new experience in music collection has become somewhat possible using these speakers")</f>
        <v>A new experience in music collection has become somewhat possible using these speakers</v>
      </c>
    </row>
    <row r="2810" spans="1:3" ht="15.75" customHeight="1" x14ac:dyDescent="0.25">
      <c r="A2810" s="2" t="s">
        <v>2812</v>
      </c>
      <c r="B2810" s="3" t="s">
        <v>6</v>
      </c>
      <c r="C2810" s="2" t="str">
        <f ca="1">IFERROR(__xludf.DUMMYFUNCTION("GOOGLETRANSLATE(A2810,""bn"",""en"")")," The build lacks ergonomic design which leads to discomfort and strain during prolonged use")</f>
        <v xml:space="preserve"> The build lacks ergonomic design which leads to discomfort and strain during prolonged use</v>
      </c>
    </row>
    <row r="2811" spans="1:3" ht="15.75" customHeight="1" x14ac:dyDescent="0.25">
      <c r="A2811" s="2" t="s">
        <v>2813</v>
      </c>
      <c r="B2811" s="3" t="s">
        <v>4</v>
      </c>
      <c r="C2811" s="2" t="str">
        <f ca="1">IFERROR(__xludf.DUMMYFUNCTION("GOOGLETRANSLATE(A2811,""bn"",""en"")"),"Flowers are always blooming in our garden")</f>
        <v>Flowers are always blooming in our garden</v>
      </c>
    </row>
    <row r="2812" spans="1:3" ht="15.75" customHeight="1" x14ac:dyDescent="0.25">
      <c r="A2812" s="2" t="s">
        <v>2814</v>
      </c>
      <c r="B2812" s="3" t="s">
        <v>6</v>
      </c>
      <c r="C2812" s="2" t="str">
        <f ca="1">IFERROR(__xludf.DUMMYFUNCTION("GOOGLETRANSLATE(A2812,""bn"",""en"")")," The lining easily tears away exposing the undersides")</f>
        <v xml:space="preserve"> The lining easily tears away exposing the undersides</v>
      </c>
    </row>
    <row r="2813" spans="1:3" ht="15.75" customHeight="1" x14ac:dyDescent="0.25">
      <c r="A2813" s="2" t="s">
        <v>2815</v>
      </c>
      <c r="B2813" s="3" t="s">
        <v>2</v>
      </c>
      <c r="C2813" s="2" t="str">
        <f ca="1">IFERROR(__xludf.DUMMYFUNCTION("GOOGLETRANSLATE(A2813,""bn"",""en"")"),"Fabrics for bags or quilts are somewhat common")</f>
        <v>Fabrics for bags or quilts are somewhat common</v>
      </c>
    </row>
    <row r="2814" spans="1:3" ht="15.75" customHeight="1" x14ac:dyDescent="0.25">
      <c r="A2814" s="2" t="s">
        <v>2816</v>
      </c>
      <c r="B2814" s="3" t="s">
        <v>4</v>
      </c>
      <c r="C2814" s="2" t="str">
        <f ca="1">IFERROR(__xludf.DUMMYFUNCTION("GOOGLETRANSLATE(A2814,""bn"",""en"")"),"It seems that someone is very good at bringing out original products")</f>
        <v>It seems that someone is very good at bringing out original products</v>
      </c>
    </row>
    <row r="2815" spans="1:3" ht="15.75" customHeight="1" x14ac:dyDescent="0.25">
      <c r="A2815" s="2" t="s">
        <v>2817</v>
      </c>
      <c r="B2815" s="3" t="s">
        <v>2</v>
      </c>
      <c r="C2815" s="2" t="str">
        <f ca="1">IFERROR(__xludf.DUMMYFUNCTION("GOOGLETRANSLATE(A2815,""bn"",""en"")"),"The handle can be easily folded")</f>
        <v>The handle can be easily folded</v>
      </c>
    </row>
    <row r="2816" spans="1:3" ht="15.75" customHeight="1" x14ac:dyDescent="0.25">
      <c r="A2816" s="2" t="s">
        <v>2818</v>
      </c>
      <c r="B2816" s="3" t="s">
        <v>2</v>
      </c>
      <c r="C2816" s="2" t="str">
        <f ca="1">IFERROR(__xludf.DUMMYFUNCTION("GOOGLETRANSLATE(A2816,""bn"",""en"")"),"The wood grain of the cupboard is clearly visible")</f>
        <v>The wood grain of the cupboard is clearly visible</v>
      </c>
    </row>
    <row r="2817" spans="1:3" ht="15.75" customHeight="1" x14ac:dyDescent="0.25">
      <c r="A2817" s="2" t="s">
        <v>2819</v>
      </c>
      <c r="B2817" s="3" t="s">
        <v>6</v>
      </c>
      <c r="C2817" s="2" t="str">
        <f ca="1">IFERROR(__xludf.DUMMYFUNCTION("GOOGLETRANSLATE(A2817,""bn"",""en"")"),"The cups had a strong chemical smell probably from the toxic dye")</f>
        <v>The cups had a strong chemical smell probably from the toxic dye</v>
      </c>
    </row>
    <row r="2818" spans="1:3" ht="15.75" customHeight="1" x14ac:dyDescent="0.25">
      <c r="A2818" s="2" t="s">
        <v>2820</v>
      </c>
      <c r="B2818" s="3" t="s">
        <v>6</v>
      </c>
      <c r="C2818" s="2" t="str">
        <f ca="1">IFERROR(__xludf.DUMMYFUNCTION("GOOGLETRANSLATE(A2818,""bn"",""en"")"),"  Washes contain sulfates that strip the skin of its natural oils, leaving it feeling dry and tight")</f>
        <v xml:space="preserve">  Washes contain sulfates that strip the skin of its natural oils, leaving it feeling dry and tight</v>
      </c>
    </row>
    <row r="2819" spans="1:3" ht="15.75" customHeight="1" x14ac:dyDescent="0.25">
      <c r="A2819" s="2" t="s">
        <v>2821</v>
      </c>
      <c r="B2819" s="3" t="s">
        <v>2</v>
      </c>
      <c r="C2819" s="2" t="str">
        <f ca="1">IFERROR(__xludf.DUMMYFUNCTION("GOOGLETRANSLATE(A2819,""bn"",""en"")"),"Excessive pressure may cause damage")</f>
        <v>Excessive pressure may cause damage</v>
      </c>
    </row>
    <row r="2820" spans="1:3" ht="15.75" customHeight="1" x14ac:dyDescent="0.25">
      <c r="A2820" s="2" t="s">
        <v>2822</v>
      </c>
      <c r="B2820" s="3" t="s">
        <v>6</v>
      </c>
      <c r="C2820" s="2" t="str">
        <f ca="1">IFERROR(__xludf.DUMMYFUNCTION("GOOGLETRANSLATE(A2820,""bn"",""en"")"),"Received a dress with a gray and dirty doll in unacceptable condition")</f>
        <v>Received a dress with a gray and dirty doll in unacceptable condition</v>
      </c>
    </row>
    <row r="2821" spans="1:3" ht="15.75" customHeight="1" x14ac:dyDescent="0.25">
      <c r="A2821" s="2" t="s">
        <v>2823</v>
      </c>
      <c r="B2821" s="3" t="s">
        <v>4</v>
      </c>
      <c r="C2821" s="2" t="str">
        <f ca="1">IFERROR(__xludf.DUMMYFUNCTION("GOOGLETRANSLATE(A2821,""bn"",""en"")"),"The soft and gentle touch felt great")</f>
        <v>The soft and gentle touch felt great</v>
      </c>
    </row>
    <row r="2822" spans="1:3" ht="15.75" customHeight="1" x14ac:dyDescent="0.25">
      <c r="A2822" s="2" t="s">
        <v>2824</v>
      </c>
      <c r="B2822" s="3" t="s">
        <v>4</v>
      </c>
      <c r="C2822" s="2" t="str">
        <f ca="1">IFERROR(__xludf.DUMMYFUNCTION("GOOGLETRANSLATE(A2822,""bn"",""en"")"),"It enhances the consistency of makeup")</f>
        <v>It enhances the consistency of makeup</v>
      </c>
    </row>
    <row r="2823" spans="1:3" ht="15.75" customHeight="1" x14ac:dyDescent="0.25">
      <c r="A2823" s="2" t="s">
        <v>2825</v>
      </c>
      <c r="B2823" s="3" t="s">
        <v>2</v>
      </c>
      <c r="C2823" s="2" t="str">
        <f ca="1">IFERROR(__xludf.DUMMYFUNCTION("GOOGLETRANSLATE(A2823,""bn"",""en"")"),"Great value could have been better")</f>
        <v>Great value could have been better</v>
      </c>
    </row>
    <row r="2824" spans="1:3" ht="15.75" customHeight="1" x14ac:dyDescent="0.25">
      <c r="A2824" s="2" t="s">
        <v>2826</v>
      </c>
      <c r="B2824" s="3" t="s">
        <v>4</v>
      </c>
      <c r="C2824" s="2" t="str">
        <f ca="1">IFERROR(__xludf.DUMMYFUNCTION("GOOGLETRANSLATE(A2824,""bn"",""en"")"),"The blender is very powerful and capable of blending various fruits and vegetables")</f>
        <v>The blender is very powerful and capable of blending various fruits and vegetables</v>
      </c>
    </row>
    <row r="2825" spans="1:3" ht="15.75" customHeight="1" x14ac:dyDescent="0.25">
      <c r="A2825" s="2" t="s">
        <v>2827</v>
      </c>
      <c r="B2825" s="3" t="s">
        <v>6</v>
      </c>
      <c r="C2825" s="2" t="str">
        <f ca="1">IFERROR(__xludf.DUMMYFUNCTION("GOOGLETRANSLATE(A2825,""bn"",""en"")"),"  Lotion pills and flakes off leaving nasty residue on clothing")</f>
        <v xml:space="preserve">  Lotion pills and flakes off leaving nasty residue on clothing</v>
      </c>
    </row>
    <row r="2826" spans="1:3" ht="15.75" customHeight="1" x14ac:dyDescent="0.25">
      <c r="A2826" s="2" t="s">
        <v>2828</v>
      </c>
      <c r="B2826" s="3" t="s">
        <v>4</v>
      </c>
      <c r="C2826" s="2" t="str">
        <f ca="1">IFERROR(__xludf.DUMMYFUNCTION("GOOGLETRANSLATE(A2826,""bn"",""en"")"),"Charging speed is perfect")</f>
        <v>Charging speed is perfect</v>
      </c>
    </row>
    <row r="2827" spans="1:3" ht="15.75" customHeight="1" x14ac:dyDescent="0.25">
      <c r="A2827" s="2" t="s">
        <v>2829</v>
      </c>
      <c r="B2827" s="3" t="s">
        <v>4</v>
      </c>
      <c r="C2827" s="2" t="str">
        <f ca="1">IFERROR(__xludf.DUMMYFUNCTION("GOOGLETRANSLATE(A2827,""bn"",""en"")"),"The timer function is great I can now have the room cool before I wake up")</f>
        <v>The timer function is great I can now have the room cool before I wake up</v>
      </c>
    </row>
    <row r="2828" spans="1:3" ht="15.75" customHeight="1" x14ac:dyDescent="0.25">
      <c r="A2828" s="2" t="s">
        <v>2830</v>
      </c>
      <c r="B2828" s="3" t="s">
        <v>6</v>
      </c>
      <c r="C2828" s="2" t="str">
        <f ca="1">IFERROR(__xludf.DUMMYFUNCTION("GOOGLETRANSLATE(A2828,""bn"",""en"")"),"Packaged bread had a chemical taste and dense texture far removed from the freshness of bakery bread")</f>
        <v>Packaged bread had a chemical taste and dense texture far removed from the freshness of bakery bread</v>
      </c>
    </row>
    <row r="2829" spans="1:3" ht="15.75" customHeight="1" x14ac:dyDescent="0.25">
      <c r="A2829" s="2" t="s">
        <v>2831</v>
      </c>
      <c r="B2829" s="3" t="s">
        <v>4</v>
      </c>
      <c r="C2829" s="2" t="str">
        <f ca="1">IFERROR(__xludf.DUMMYFUNCTION("GOOGLETRANSLATE(A2829,""bn"",""en"")"),"Great product most robust")</f>
        <v>Great product most robust</v>
      </c>
    </row>
    <row r="2830" spans="1:3" ht="15.75" customHeight="1" x14ac:dyDescent="0.25">
      <c r="A2830" s="2" t="s">
        <v>2832</v>
      </c>
      <c r="B2830" s="3" t="s">
        <v>4</v>
      </c>
      <c r="C2830" s="2" t="str">
        <f ca="1">IFERROR(__xludf.DUMMYFUNCTION("GOOGLETRANSLATE(A2830,""bn"",""en"")"),"This shampoo is helpful in maintaining hair health")</f>
        <v>This shampoo is helpful in maintaining hair health</v>
      </c>
    </row>
    <row r="2831" spans="1:3" ht="15.75" customHeight="1" x14ac:dyDescent="0.25">
      <c r="A2831" s="2" t="s">
        <v>2833</v>
      </c>
      <c r="B2831" s="3" t="s">
        <v>4</v>
      </c>
      <c r="C2831" s="2" t="str">
        <f ca="1">IFERROR(__xludf.DUMMYFUNCTION("GOOGLETRANSLATE(A2831,""bn"",""en"")"),"Each product in the kit is long-lasting")</f>
        <v>Each product in the kit is long-lasting</v>
      </c>
    </row>
    <row r="2832" spans="1:3" ht="15.75" customHeight="1" x14ac:dyDescent="0.25">
      <c r="A2832" s="2" t="s">
        <v>2834</v>
      </c>
      <c r="B2832" s="3" t="s">
        <v>6</v>
      </c>
      <c r="C2832" s="2" t="str">
        <f ca="1">IFERROR(__xludf.DUMMYFUNCTION("GOOGLETRANSLATE(A2832,""bn"",""en"")"),"The paint tubes were poorly sealed causing them to dry out")</f>
        <v>The paint tubes were poorly sealed causing them to dry out</v>
      </c>
    </row>
    <row r="2833" spans="1:3" ht="15.75" customHeight="1" x14ac:dyDescent="0.25">
      <c r="A2833" s="2" t="s">
        <v>2835</v>
      </c>
      <c r="B2833" s="3" t="s">
        <v>6</v>
      </c>
      <c r="C2833" s="2" t="str">
        <f ca="1">IFERROR(__xludf.DUMMYFUNCTION("GOOGLETRANSLATE(A2833,""bn"",""en"")"),"Toners contain alcohol which dries and irritates sensitive skin types")</f>
        <v>Toners contain alcohol which dries and irritates sensitive skin types</v>
      </c>
    </row>
    <row r="2834" spans="1:3" ht="15.75" customHeight="1" x14ac:dyDescent="0.25">
      <c r="A2834" s="2" t="s">
        <v>2836</v>
      </c>
      <c r="B2834" s="3" t="s">
        <v>2</v>
      </c>
      <c r="C2834" s="2" t="str">
        <f ca="1">IFERROR(__xludf.DUMMYFUNCTION("GOOGLETRANSLATE(A2834,""bn"",""en"")"),"The portable noodle maker produces noodles but requires effort to clean")</f>
        <v>The portable noodle maker produces noodles but requires effort to clean</v>
      </c>
    </row>
    <row r="2835" spans="1:3" ht="15.75" customHeight="1" x14ac:dyDescent="0.25">
      <c r="A2835" s="2" t="s">
        <v>2837</v>
      </c>
      <c r="B2835" s="3" t="s">
        <v>2</v>
      </c>
      <c r="C2835" s="2" t="str">
        <f ca="1">IFERROR(__xludf.DUMMYFUNCTION("GOOGLETRANSLATE(A2835,""bn"",""en"")"),"Security camera is good but limited compatibility")</f>
        <v>Security camera is good but limited compatibility</v>
      </c>
    </row>
    <row r="2836" spans="1:3" ht="15.75" customHeight="1" x14ac:dyDescent="0.25">
      <c r="A2836" s="2" t="s">
        <v>2838</v>
      </c>
      <c r="B2836" s="3" t="s">
        <v>4</v>
      </c>
      <c r="C2836" s="2" t="str">
        <f ca="1">IFERROR(__xludf.DUMMYFUNCTION("GOOGLETRANSLATE(A2836,""bn"",""en"")"),"Very useful supplement")</f>
        <v>Very useful supplement</v>
      </c>
    </row>
    <row r="2837" spans="1:3" ht="15.75" customHeight="1" x14ac:dyDescent="0.25">
      <c r="A2837" s="2" t="s">
        <v>2839</v>
      </c>
      <c r="B2837" s="3" t="s">
        <v>2</v>
      </c>
      <c r="C2837" s="2" t="str">
        <f ca="1">IFERROR(__xludf.DUMMYFUNCTION("GOOGLETRANSLATE(A2837,""bn"",""en"")"),"They might like a little less")</f>
        <v>They might like a little less</v>
      </c>
    </row>
    <row r="2838" spans="1:3" ht="15.75" customHeight="1" x14ac:dyDescent="0.25">
      <c r="A2838" s="2" t="s">
        <v>2840</v>
      </c>
      <c r="B2838" s="3" t="s">
        <v>6</v>
      </c>
      <c r="C2838" s="2" t="str">
        <f ca="1">IFERROR(__xludf.DUMMYFUNCTION("GOOGLETRANSLATE(A2838,""bn"",""en"")"),"The beans were old and stale which affected the overall taste")</f>
        <v>The beans were old and stale which affected the overall taste</v>
      </c>
    </row>
    <row r="2839" spans="1:3" ht="15.75" customHeight="1" x14ac:dyDescent="0.25">
      <c r="A2839" s="2" t="s">
        <v>2841</v>
      </c>
      <c r="B2839" s="3" t="s">
        <v>4</v>
      </c>
      <c r="C2839" s="2" t="str">
        <f ca="1">IFERROR(__xludf.DUMMYFUNCTION("GOOGLETRANSLATE(A2839,""bn"",""en"")"),"Works amazing")</f>
        <v>Works amazing</v>
      </c>
    </row>
    <row r="2840" spans="1:3" ht="15.75" customHeight="1" x14ac:dyDescent="0.25">
      <c r="A2840" s="2" t="s">
        <v>2842</v>
      </c>
      <c r="B2840" s="3" t="s">
        <v>2</v>
      </c>
      <c r="C2840" s="2" t="str">
        <f ca="1">IFERROR(__xludf.DUMMYFUNCTION("GOOGLETRANSLATE(A2840,""bn"",""en"")"),"The amount of playdo seemed low")</f>
        <v>The amount of playdo seemed low</v>
      </c>
    </row>
    <row r="2841" spans="1:3" ht="15.75" customHeight="1" x14ac:dyDescent="0.25">
      <c r="A2841" s="2" t="s">
        <v>2843</v>
      </c>
      <c r="B2841" s="3" t="s">
        <v>4</v>
      </c>
      <c r="C2841" s="2" t="str">
        <f ca="1">IFERROR(__xludf.DUMMYFUNCTION("GOOGLETRANSLATE(A2841,""bn"",""en"")"),"The packaging of this dinner set was excellent as each dish was well protected to arrive safely")</f>
        <v>The packaging of this dinner set was excellent as each dish was well protected to arrive safely</v>
      </c>
    </row>
    <row r="2842" spans="1:3" ht="15.75" customHeight="1" x14ac:dyDescent="0.25">
      <c r="A2842" s="2" t="s">
        <v>2844</v>
      </c>
      <c r="B2842" s="3" t="s">
        <v>6</v>
      </c>
      <c r="C2842" s="2" t="str">
        <f ca="1">IFERROR(__xludf.DUMMYFUNCTION("GOOGLETRANSLATE(A2842,""bn"",""en"")"),"The packaged meatballs were rubbery and lacked seasoning that tasted like they had been reheated too many times.")</f>
        <v>The packaged meatballs were rubbery and lacked seasoning that tasted like they had been reheated too many times.</v>
      </c>
    </row>
    <row r="2843" spans="1:3" ht="15.75" customHeight="1" x14ac:dyDescent="0.25">
      <c r="A2843" s="2" t="s">
        <v>2845</v>
      </c>
      <c r="B2843" s="3" t="s">
        <v>4</v>
      </c>
      <c r="C2843" s="2" t="str">
        <f ca="1">IFERROR(__xludf.DUMMYFUNCTION("GOOGLETRANSLATE(A2843,""bn"",""en"")"),"very happy ")</f>
        <v xml:space="preserve">very happy </v>
      </c>
    </row>
    <row r="2844" spans="1:3" ht="15.75" customHeight="1" x14ac:dyDescent="0.25">
      <c r="A2844" s="2" t="s">
        <v>2846</v>
      </c>
      <c r="B2844" s="3" t="s">
        <v>2</v>
      </c>
      <c r="C2844" s="2" t="str">
        <f ca="1">IFERROR(__xludf.DUMMYFUNCTION("GOOGLETRANSLATE(A2844,""bn"",""en"")"),"Racks are effective for drying feet but may not be suitable for all racks")</f>
        <v>Racks are effective for drying feet but may not be suitable for all racks</v>
      </c>
    </row>
    <row r="2845" spans="1:3" ht="15.75" customHeight="1" x14ac:dyDescent="0.25">
      <c r="A2845" s="2" t="s">
        <v>2847</v>
      </c>
      <c r="B2845" s="3" t="s">
        <v>6</v>
      </c>
      <c r="C2845" s="2" t="str">
        <f ca="1">IFERROR(__xludf.DUMMYFUNCTION("GOOGLETRANSLATE(A2845,""bn"",""en"")"),"The texturizing spray left my hair feeling stiff and tangled, lacking natural movement")</f>
        <v>The texturizing spray left my hair feeling stiff and tangled, lacking natural movement</v>
      </c>
    </row>
    <row r="2846" spans="1:3" ht="15.75" customHeight="1" x14ac:dyDescent="0.25">
      <c r="A2846" s="2" t="s">
        <v>2848</v>
      </c>
      <c r="B2846" s="3" t="s">
        <v>4</v>
      </c>
      <c r="C2846" s="2" t="str">
        <f ca="1">IFERROR(__xludf.DUMMYFUNCTION("GOOGLETRANSLATE(A2846,""bn"",""en"")")," Fits comfortably in my ears and feels no discomfort even after prolonged wear")</f>
        <v xml:space="preserve"> Fits comfortably in my ears and feels no discomfort even after prolonged wear</v>
      </c>
    </row>
    <row r="2847" spans="1:3" ht="15.75" customHeight="1" x14ac:dyDescent="0.25">
      <c r="A2847" s="2" t="s">
        <v>2849</v>
      </c>
      <c r="B2847" s="3" t="s">
        <v>4</v>
      </c>
      <c r="C2847" s="2" t="str">
        <f ca="1">IFERROR(__xludf.DUMMYFUNCTION("GOOGLETRANSLATE(A2847,""bn"",""en"")"),"Small size is nice  ")</f>
        <v xml:space="preserve">Small size is nice  </v>
      </c>
    </row>
    <row r="2848" spans="1:3" ht="15.75" customHeight="1" x14ac:dyDescent="0.25">
      <c r="A2848" s="2" t="s">
        <v>2850</v>
      </c>
      <c r="B2848" s="3" t="s">
        <v>4</v>
      </c>
      <c r="C2848" s="2" t="str">
        <f ca="1">IFERROR(__xludf.DUMMYFUNCTION("GOOGLETRANSLATE(A2848,""bn"",""en"")"),"The flower is easy to clean")</f>
        <v>The flower is easy to clean</v>
      </c>
    </row>
    <row r="2849" spans="1:3" ht="15.75" customHeight="1" x14ac:dyDescent="0.25">
      <c r="A2849" s="2" t="s">
        <v>2851</v>
      </c>
      <c r="B2849" s="3" t="s">
        <v>4</v>
      </c>
      <c r="C2849" s="2" t="str">
        <f ca="1">IFERROR(__xludf.DUMMYFUNCTION("GOOGLETRANSLATE(A2849,""bn"",""en"")"),"It works with different textures")</f>
        <v>It works with different textures</v>
      </c>
    </row>
    <row r="2850" spans="1:3" ht="15.75" customHeight="1" x14ac:dyDescent="0.25">
      <c r="A2850" s="2" t="s">
        <v>2852</v>
      </c>
      <c r="B2850" s="3" t="s">
        <v>2</v>
      </c>
      <c r="C2850" s="2" t="str">
        <f ca="1">IFERROR(__xludf.DUMMYFUNCTION("GOOGLETRANSLATE(A2850,""bn"",""en"")"),"Localized version not found")</f>
        <v>Localized version not found</v>
      </c>
    </row>
    <row r="2851" spans="1:3" ht="15.75" customHeight="1" x14ac:dyDescent="0.25">
      <c r="A2851" s="2" t="s">
        <v>2853</v>
      </c>
      <c r="B2851" s="3" t="s">
        <v>4</v>
      </c>
      <c r="C2851" s="2" t="str">
        <f ca="1">IFERROR(__xludf.DUMMYFUNCTION("GOOGLETRANSLATE(A2851,""bn"",""en"")"),"This shampoo works great to get rid of dandruff")</f>
        <v>This shampoo works great to get rid of dandruff</v>
      </c>
    </row>
    <row r="2852" spans="1:3" ht="15.75" customHeight="1" x14ac:dyDescent="0.25">
      <c r="A2852" s="2" t="s">
        <v>2854</v>
      </c>
      <c r="B2852" s="3" t="s">
        <v>2</v>
      </c>
      <c r="C2852" s="2" t="str">
        <f ca="1">IFERROR(__xludf.DUMMYFUNCTION("GOOGLETRANSLATE(A2852,""bn"",""en"")"),"Some things break easily if the ribs are closed")</f>
        <v>Some things break easily if the ribs are closed</v>
      </c>
    </row>
    <row r="2853" spans="1:3" ht="15.75" customHeight="1" x14ac:dyDescent="0.25">
      <c r="A2853" s="2" t="s">
        <v>2855</v>
      </c>
      <c r="B2853" s="3" t="s">
        <v>4</v>
      </c>
      <c r="C2853" s="2" t="str">
        <f ca="1">IFERROR(__xludf.DUMMYFUNCTION("GOOGLETRANSLATE(A2853,""bn"",""en"")"),"The plastic shelf is light and easy to use")</f>
        <v>The plastic shelf is light and easy to use</v>
      </c>
    </row>
    <row r="2854" spans="1:3" ht="15.75" customHeight="1" x14ac:dyDescent="0.25">
      <c r="A2854" s="2" t="s">
        <v>2856</v>
      </c>
      <c r="B2854" s="3" t="s">
        <v>6</v>
      </c>
      <c r="C2854" s="2" t="str">
        <f ca="1">IFERROR(__xludf.DUMMYFUNCTION("GOOGLETRANSLATE(A2854,""bn"",""en"")"),"Dissatisfied with product performance")</f>
        <v>Dissatisfied with product performance</v>
      </c>
    </row>
    <row r="2855" spans="1:3" ht="15.75" customHeight="1" x14ac:dyDescent="0.25">
      <c r="A2855" s="2" t="s">
        <v>2857</v>
      </c>
      <c r="B2855" s="3" t="s">
        <v>6</v>
      </c>
      <c r="C2855" s="2" t="str">
        <f ca="1">IFERROR(__xludf.DUMMYFUNCTION("GOOGLETRANSLATE(A2855,""bn"",""en"")")," Audio output lacked depth and clarity, sounding tinny and distorted")</f>
        <v xml:space="preserve"> Audio output lacked depth and clarity, sounding tinny and distorted</v>
      </c>
    </row>
    <row r="2856" spans="1:3" ht="15.75" customHeight="1" x14ac:dyDescent="0.25">
      <c r="A2856" s="2" t="s">
        <v>2858</v>
      </c>
      <c r="B2856" s="3" t="s">
        <v>2</v>
      </c>
      <c r="C2856" s="2" t="str">
        <f ca="1">IFERROR(__xludf.DUMMYFUNCTION("GOOGLETRANSLATE(A2856,""bn"",""en"")"),"Jersey fabric is comfortable but color fades when washed")</f>
        <v>Jersey fabric is comfortable but color fades when washed</v>
      </c>
    </row>
    <row r="2857" spans="1:3" ht="15.75" customHeight="1" x14ac:dyDescent="0.25">
      <c r="A2857" s="2" t="s">
        <v>2859</v>
      </c>
      <c r="B2857" s="3" t="s">
        <v>6</v>
      </c>
      <c r="C2857" s="2" t="str">
        <f ca="1">IFERROR(__xludf.DUMMYFUNCTION("GOOGLETRANSLATE(A2857,""bn"",""en"")"),"The brushes had an unpleasant smell")</f>
        <v>The brushes had an unpleasant smell</v>
      </c>
    </row>
    <row r="2858" spans="1:3" ht="15.75" customHeight="1" x14ac:dyDescent="0.25">
      <c r="A2858" s="2" t="s">
        <v>2860</v>
      </c>
      <c r="B2858" s="3" t="s">
        <v>2</v>
      </c>
      <c r="C2858" s="2" t="str">
        <f ca="1">IFERROR(__xludf.DUMMYFUNCTION("GOOGLETRANSLATE(A2858,""bn"",""en"")"),"Objective should be improved it is somewhat ok not perfect")</f>
        <v>Objective should be improved it is somewhat ok not perfect</v>
      </c>
    </row>
    <row r="2859" spans="1:3" ht="15.75" customHeight="1" x14ac:dyDescent="0.25">
      <c r="A2859" s="2" t="s">
        <v>2861</v>
      </c>
      <c r="B2859" s="3" t="s">
        <v>6</v>
      </c>
      <c r="C2859" s="2" t="str">
        <f ca="1">IFERROR(__xludf.DUMMYFUNCTION("GOOGLETRANSLATE(A2859,""bn"",""en"")"),"The battery life of the item was significantly less than advertised")</f>
        <v>The battery life of the item was significantly less than advertised</v>
      </c>
    </row>
    <row r="2860" spans="1:3" ht="15.75" customHeight="1" x14ac:dyDescent="0.25">
      <c r="A2860" s="2" t="s">
        <v>2862</v>
      </c>
      <c r="B2860" s="3" t="s">
        <v>2</v>
      </c>
      <c r="C2860" s="2" t="str">
        <f ca="1">IFERROR(__xludf.DUMMYFUNCTION("GOOGLETRANSLATE(A2860,""bn"",""en"")"),"Rubbing lights up but for a very short time")</f>
        <v>Rubbing lights up but for a very short time</v>
      </c>
    </row>
    <row r="2861" spans="1:3" ht="15.75" customHeight="1" x14ac:dyDescent="0.25">
      <c r="A2861" s="2" t="s">
        <v>2863</v>
      </c>
      <c r="B2861" s="3" t="s">
        <v>4</v>
      </c>
      <c r="C2861" s="2" t="str">
        <f ca="1">IFERROR(__xludf.DUMMYFUNCTION("GOOGLETRANSLATE(A2861,""bn"",""en"")"),"The shampoo restores the hair's natural shine")</f>
        <v>The shampoo restores the hair's natural shine</v>
      </c>
    </row>
    <row r="2862" spans="1:3" ht="15.75" customHeight="1" x14ac:dyDescent="0.25">
      <c r="A2862" s="2" t="s">
        <v>2864</v>
      </c>
      <c r="B2862" s="3" t="s">
        <v>2</v>
      </c>
      <c r="C2862" s="2" t="str">
        <f ca="1">IFERROR(__xludf.DUMMYFUNCTION("GOOGLETRANSLATE(A2862,""bn"",""en"")"),"Quality average light weight some stretch")</f>
        <v>Quality average light weight some stretch</v>
      </c>
    </row>
    <row r="2863" spans="1:3" ht="15.75" customHeight="1" x14ac:dyDescent="0.25">
      <c r="A2863" s="2" t="s">
        <v>2865</v>
      </c>
      <c r="B2863" s="3" t="s">
        <v>2</v>
      </c>
      <c r="C2863" s="2" t="str">
        <f ca="1">IFERROR(__xludf.DUMMYFUNCTION("GOOGLETRANSLATE(A2863,""bn"",""en"")"),"This can be a bit challenging to work with")</f>
        <v>This can be a bit challenging to work with</v>
      </c>
    </row>
    <row r="2864" spans="1:3" ht="15.75" customHeight="1" x14ac:dyDescent="0.25">
      <c r="A2864" s="2" t="s">
        <v>2866</v>
      </c>
      <c r="B2864" s="3" t="s">
        <v>4</v>
      </c>
      <c r="C2864" s="2" t="str">
        <f ca="1">IFERROR(__xludf.DUMMYFUNCTION("GOOGLETRANSLATE(A2864,""bn"",""en"")"),"Goes great with tea or coffee")</f>
        <v>Goes great with tea or coffee</v>
      </c>
    </row>
    <row r="2865" spans="1:3" ht="15.75" customHeight="1" x14ac:dyDescent="0.25">
      <c r="A2865" s="2" t="s">
        <v>2867</v>
      </c>
      <c r="B2865" s="3" t="s">
        <v>6</v>
      </c>
      <c r="C2865" s="2" t="str">
        <f ca="1">IFERROR(__xludf.DUMMYFUNCTION("GOOGLETRANSLATE(A2865,""bn"",""en"")"),"The tea leaves were too dry resulting in a thin and weak brew")</f>
        <v>The tea leaves were too dry resulting in a thin and weak brew</v>
      </c>
    </row>
    <row r="2866" spans="1:3" ht="15.75" customHeight="1" x14ac:dyDescent="0.25">
      <c r="A2866" s="2" t="s">
        <v>2868</v>
      </c>
      <c r="B2866" s="3" t="s">
        <v>2</v>
      </c>
      <c r="C2866" s="2" t="str">
        <f ca="1">IFERROR(__xludf.DUMMYFUNCTION("GOOGLETRANSLATE(A2866,""bn"",""en"")"),"Time will tell if the fabric is of good quality and lasts long")</f>
        <v>Time will tell if the fabric is of good quality and lasts long</v>
      </c>
    </row>
    <row r="2867" spans="1:3" ht="15.75" customHeight="1" x14ac:dyDescent="0.25">
      <c r="A2867" s="2" t="s">
        <v>2869</v>
      </c>
      <c r="B2867" s="3" t="s">
        <v>6</v>
      </c>
      <c r="C2867" s="2" t="str">
        <f ca="1">IFERROR(__xludf.DUMMYFUNCTION("GOOGLETRANSLATE(A2867,""bn"",""en"")"),"The colors of the toy were very bright and stylish")</f>
        <v>The colors of the toy were very bright and stylish</v>
      </c>
    </row>
    <row r="2868" spans="1:3" ht="15.75" customHeight="1" x14ac:dyDescent="0.25">
      <c r="A2868" s="2" t="s">
        <v>2870</v>
      </c>
      <c r="B2868" s="3" t="s">
        <v>6</v>
      </c>
      <c r="C2868" s="2" t="str">
        <f ca="1">IFERROR(__xludf.DUMMYFUNCTION("GOOGLETRANSLATE(A2868,""bn"",""en"")"),"The cups were too fragile to break when lightly tapped")</f>
        <v>The cups were too fragile to break when lightly tapped</v>
      </c>
    </row>
    <row r="2869" spans="1:3" ht="15.75" customHeight="1" x14ac:dyDescent="0.25">
      <c r="A2869" s="2" t="s">
        <v>2871</v>
      </c>
      <c r="B2869" s="3" t="s">
        <v>4</v>
      </c>
      <c r="C2869" s="2" t="str">
        <f ca="1">IFERROR(__xludf.DUMMYFUNCTION("GOOGLETRANSLATE(A2869,""bn"",""en"")"),"The night mode of the mobile camera is quite effective")</f>
        <v>The night mode of the mobile camera is quite effective</v>
      </c>
    </row>
    <row r="2870" spans="1:3" ht="15.75" customHeight="1" x14ac:dyDescent="0.25">
      <c r="A2870" s="2" t="s">
        <v>2872</v>
      </c>
      <c r="B2870" s="3" t="s">
        <v>6</v>
      </c>
      <c r="C2870" s="2" t="str">
        <f ca="1">IFERROR(__xludf.DUMMYFUNCTION("GOOGLETRANSLATE(A2870,""bn"",""en"")"),"There was a noticeable delay on the screen when switching between input sources")</f>
        <v>There was a noticeable delay on the screen when switching between input sources</v>
      </c>
    </row>
    <row r="2871" spans="1:3" ht="15.75" customHeight="1" x14ac:dyDescent="0.25">
      <c r="A2871" s="2" t="s">
        <v>2873</v>
      </c>
      <c r="B2871" s="3" t="s">
        <v>6</v>
      </c>
      <c r="C2871" s="2" t="str">
        <f ca="1">IFERROR(__xludf.DUMMYFUNCTION("GOOGLETRANSLATE(A2871,""bn"",""en"")"),"Received a damaged package and a dress with smudged images")</f>
        <v>Received a damaged package and a dress with smudged images</v>
      </c>
    </row>
    <row r="2872" spans="1:3" ht="15.75" customHeight="1" x14ac:dyDescent="0.25">
      <c r="A2872" s="2" t="s">
        <v>2874</v>
      </c>
      <c r="B2872" s="3" t="s">
        <v>6</v>
      </c>
      <c r="C2872" s="2" t="str">
        <f ca="1">IFERROR(__xludf.DUMMYFUNCTION("GOOGLETRANSLATE(A2872,""bn"",""en"")"),"The styling gel made my hair dry and look dull")</f>
        <v>The styling gel made my hair dry and look dull</v>
      </c>
    </row>
    <row r="2873" spans="1:3" ht="15.75" customHeight="1" x14ac:dyDescent="0.25">
      <c r="A2873" s="2" t="s">
        <v>2875</v>
      </c>
      <c r="B2873" s="3" t="s">
        <v>2</v>
      </c>
      <c r="C2873" s="2" t="str">
        <f ca="1">IFERROR(__xludf.DUMMYFUNCTION("GOOGLETRANSLATE(A2873,""bn"",""en"")"),"The table fan blows but is a bit tricky to control")</f>
        <v>The table fan blows but is a bit tricky to control</v>
      </c>
    </row>
    <row r="2874" spans="1:3" ht="15.75" customHeight="1" x14ac:dyDescent="0.25">
      <c r="A2874" s="2" t="s">
        <v>2876</v>
      </c>
      <c r="B2874" s="3" t="s">
        <v>4</v>
      </c>
      <c r="C2874" s="2" t="str">
        <f ca="1">IFERROR(__xludf.DUMMYFUNCTION("GOOGLETRANSLATE(A2874,""bn"",""en"")"),"Got it at a very low price ")</f>
        <v xml:space="preserve">Got it at a very low price </v>
      </c>
    </row>
    <row r="2875" spans="1:3" ht="15.75" customHeight="1" x14ac:dyDescent="0.25">
      <c r="A2875" s="2" t="s">
        <v>2877</v>
      </c>
      <c r="B2875" s="3" t="s">
        <v>2</v>
      </c>
      <c r="C2875" s="2" t="str">
        <f ca="1">IFERROR(__xludf.DUMMYFUNCTION("GOOGLETRANSLATE(A2875,""bn"",""en"")"),"Perfect for a kids paint party but not great")</f>
        <v>Perfect for a kids paint party but not great</v>
      </c>
    </row>
    <row r="2876" spans="1:3" ht="15.75" customHeight="1" x14ac:dyDescent="0.25">
      <c r="A2876" s="2" t="s">
        <v>2878</v>
      </c>
      <c r="B2876" s="3" t="s">
        <v>2</v>
      </c>
      <c r="C2876" s="2" t="str">
        <f ca="1">IFERROR(__xludf.DUMMYFUNCTION("GOOGLETRANSLATE(A2876,""bn"",""en"")"),"Height in centimeters is standard size")</f>
        <v>Height in centimeters is standard size</v>
      </c>
    </row>
    <row r="2877" spans="1:3" ht="15.75" customHeight="1" x14ac:dyDescent="0.25">
      <c r="A2877" s="2" t="s">
        <v>2879</v>
      </c>
      <c r="B2877" s="3" t="s">
        <v>6</v>
      </c>
      <c r="C2877" s="2" t="str">
        <f ca="1">IFERROR(__xludf.DUMMYFUNCTION("GOOGLETRANSLATE(A2877,""bn"",""en"")"),"The tent zipper frequently rips making it difficult to open and close")</f>
        <v>The tent zipper frequently rips making it difficult to open and close</v>
      </c>
    </row>
    <row r="2878" spans="1:3" ht="15.75" customHeight="1" x14ac:dyDescent="0.25">
      <c r="A2878" s="2" t="s">
        <v>2880</v>
      </c>
      <c r="B2878" s="3" t="s">
        <v>6</v>
      </c>
      <c r="C2878" s="2" t="str">
        <f ca="1">IFERROR(__xludf.DUMMYFUNCTION("GOOGLETRANSLATE(A2878,""bn"",""en"")"),"Baby carrier straps dig into parents' shoulders causing discomfort")</f>
        <v>Baby carrier straps dig into parents' shoulders causing discomfort</v>
      </c>
    </row>
    <row r="2879" spans="1:3" ht="15.75" customHeight="1" x14ac:dyDescent="0.25">
      <c r="A2879" s="2" t="s">
        <v>2881</v>
      </c>
      <c r="B2879" s="3" t="s">
        <v>2</v>
      </c>
      <c r="C2879" s="2" t="str">
        <f ca="1">IFERROR(__xludf.DUMMYFUNCTION("GOOGLETRANSLATE(A2879,""bn"",""en"")"),"Great product but not perfect")</f>
        <v>Great product but not perfect</v>
      </c>
    </row>
    <row r="2880" spans="1:3" ht="15.75" customHeight="1" x14ac:dyDescent="0.25">
      <c r="A2880" s="2" t="s">
        <v>2882</v>
      </c>
      <c r="B2880" s="3" t="s">
        <v>4</v>
      </c>
      <c r="C2880" s="2" t="str">
        <f ca="1">IFERROR(__xludf.DUMMYFUNCTION("GOOGLETRANSLATE(A2880,""bn"",""en"")"),"Your skin will be healthy by using this body wash")</f>
        <v>Your skin will be healthy by using this body wash</v>
      </c>
    </row>
    <row r="2881" spans="1:3" ht="15.75" customHeight="1" x14ac:dyDescent="0.25">
      <c r="A2881" s="2" t="s">
        <v>2883</v>
      </c>
      <c r="B2881" s="3" t="s">
        <v>4</v>
      </c>
      <c r="C2881" s="2" t="str">
        <f ca="1">IFERROR(__xludf.DUMMYFUNCTION("GOOGLETRANSLATE(A2881,""bn"",""en"")"),"The rapid cooling ability is remarkable")</f>
        <v>The rapid cooling ability is remarkable</v>
      </c>
    </row>
    <row r="2882" spans="1:3" ht="15.75" customHeight="1" x14ac:dyDescent="0.25">
      <c r="A2882" s="2" t="s">
        <v>2884</v>
      </c>
      <c r="B2882" s="3" t="s">
        <v>6</v>
      </c>
      <c r="C2882" s="2" t="str">
        <f ca="1">IFERROR(__xludf.DUMMYFUNCTION("GOOGLETRANSLATE(A2882,""bn"",""en"")"),"Egg containers do not keep playdo soft")</f>
        <v>Egg containers do not keep playdo soft</v>
      </c>
    </row>
    <row r="2883" spans="1:3" ht="15.75" customHeight="1" x14ac:dyDescent="0.25">
      <c r="A2883" s="2" t="s">
        <v>2885</v>
      </c>
      <c r="B2883" s="3" t="s">
        <v>4</v>
      </c>
      <c r="C2883" s="2" t="str">
        <f ca="1">IFERROR(__xludf.DUMMYFUNCTION("GOOGLETRANSLATE(A2883,""bn"",""en"")"),"Every page was extremely entertaining")</f>
        <v>Every page was extremely entertaining</v>
      </c>
    </row>
    <row r="2884" spans="1:3" ht="15.75" customHeight="1" x14ac:dyDescent="0.25">
      <c r="A2884" s="2" t="s">
        <v>2886</v>
      </c>
      <c r="B2884" s="3" t="s">
        <v>4</v>
      </c>
      <c r="C2884" s="2" t="str">
        <f ca="1">IFERROR(__xludf.DUMMYFUNCTION("GOOGLETRANSLATE(A2884,""bn"",""en"")"),"After drinking this coffee I feel like the day will go better")</f>
        <v>After drinking this coffee I feel like the day will go better</v>
      </c>
    </row>
    <row r="2885" spans="1:3" ht="15.75" customHeight="1" x14ac:dyDescent="0.25">
      <c r="A2885" s="2" t="s">
        <v>2887</v>
      </c>
      <c r="B2885" s="3" t="s">
        <v>2</v>
      </c>
      <c r="C2885" s="2" t="str">
        <f ca="1">IFERROR(__xludf.DUMMYFUNCTION("GOOGLETRANSLATE(A2885,""bn"",""en"")"),"It is easy to wash but takes a long time to dry")</f>
        <v>It is easy to wash but takes a long time to dry</v>
      </c>
    </row>
    <row r="2886" spans="1:3" ht="15.75" customHeight="1" x14ac:dyDescent="0.25">
      <c r="A2886" s="2" t="s">
        <v>2888</v>
      </c>
      <c r="B2886" s="3" t="s">
        <v>4</v>
      </c>
      <c r="C2886" s="2" t="str">
        <f ca="1">IFERROR(__xludf.DUMMYFUNCTION("GOOGLETRANSLATE(A2886,""bn"",""en"")"),"The flower garden in our park is very beautiful")</f>
        <v>The flower garden in our park is very beautiful</v>
      </c>
    </row>
    <row r="2887" spans="1:3" ht="15.75" customHeight="1" x14ac:dyDescent="0.25">
      <c r="A2887" s="2" t="s">
        <v>2889</v>
      </c>
      <c r="B2887" s="3" t="s">
        <v>2</v>
      </c>
      <c r="C2887" s="2" t="str">
        <f ca="1">IFERROR(__xludf.DUMMYFUNCTION("GOOGLETRANSLATE(A2887,""bn"",""en"")"),"Packaging could be improved")</f>
        <v>Packaging could be improved</v>
      </c>
    </row>
    <row r="2888" spans="1:3" ht="15.75" customHeight="1" x14ac:dyDescent="0.25">
      <c r="A2888" s="2" t="s">
        <v>2890</v>
      </c>
      <c r="B2888" s="3" t="s">
        <v>2</v>
      </c>
      <c r="C2888" s="2" t="str">
        <f ca="1">IFERROR(__xludf.DUMMYFUNCTION("GOOGLETRANSLATE(A2888,""bn"",""en"")"),"The material of the product is of fair quality")</f>
        <v>The material of the product is of fair quality</v>
      </c>
    </row>
    <row r="2889" spans="1:3" ht="15.75" customHeight="1" x14ac:dyDescent="0.25">
      <c r="A2889" s="2" t="s">
        <v>2891</v>
      </c>
      <c r="B2889" s="3" t="s">
        <v>4</v>
      </c>
      <c r="C2889" s="2" t="str">
        <f ca="1">IFERROR(__xludf.DUMMYFUNCTION("GOOGLETRANSLATE(A2889,""bn"",""en"")"),"First of all, we have to talk about its crispiness")</f>
        <v>First of all, we have to talk about its crispiness</v>
      </c>
    </row>
    <row r="2890" spans="1:3" ht="15.75" customHeight="1" x14ac:dyDescent="0.25">
      <c r="A2890" s="2" t="s">
        <v>2892</v>
      </c>
      <c r="B2890" s="3" t="s">
        <v>6</v>
      </c>
      <c r="C2890" s="2" t="str">
        <f ca="1">IFERROR(__xludf.DUMMYFUNCTION("GOOGLETRANSLATE(A2890,""bn"",""en"")"),"Clogged filters in portable coffee makers slow down the brewing process")</f>
        <v>Clogged filters in portable coffee makers slow down the brewing process</v>
      </c>
    </row>
    <row r="2891" spans="1:3" ht="15.75" customHeight="1" x14ac:dyDescent="0.25">
      <c r="A2891" s="2" t="s">
        <v>2893</v>
      </c>
      <c r="B2891" s="3" t="s">
        <v>6</v>
      </c>
      <c r="C2891" s="2" t="str">
        <f ca="1">IFERROR(__xludf.DUMMYFUNCTION("GOOGLETRANSLATE(A2891,""bn"",""en"")")," The defrost function does not work effectively leaving food partially frozen")</f>
        <v xml:space="preserve"> The defrost function does not work effectively leaving food partially frozen</v>
      </c>
    </row>
    <row r="2892" spans="1:3" ht="15.75" customHeight="1" x14ac:dyDescent="0.25">
      <c r="A2892" s="2" t="s">
        <v>2894</v>
      </c>
      <c r="B2892" s="3" t="s">
        <v>2</v>
      </c>
      <c r="C2892" s="2" t="str">
        <f ca="1">IFERROR(__xludf.DUMMYFUNCTION("GOOGLETRANSLATE(A2892,""bn"",""en"")"),"Fairly standard compared to other brands")</f>
        <v>Fairly standard compared to other brands</v>
      </c>
    </row>
    <row r="2893" spans="1:3" ht="15.75" customHeight="1" x14ac:dyDescent="0.25">
      <c r="A2893" s="2" t="s">
        <v>2895</v>
      </c>
      <c r="B2893" s="3" t="s">
        <v>6</v>
      </c>
      <c r="C2893" s="2" t="str">
        <f ca="1">IFERROR(__xludf.DUMMYFUNCTION("GOOGLETRANSLATE(A2893,""bn"",""en"")"),"Brushes were poorly shaped hampering detail work")</f>
        <v>Brushes were poorly shaped hampering detail work</v>
      </c>
    </row>
    <row r="2894" spans="1:3" ht="15.75" customHeight="1" x14ac:dyDescent="0.25">
      <c r="A2894" s="2" t="s">
        <v>2896</v>
      </c>
      <c r="B2894" s="3" t="s">
        <v>4</v>
      </c>
      <c r="C2894" s="2" t="str">
        <f ca="1">IFERROR(__xludf.DUMMYFUNCTION("GOOGLETRANSLATE(A2894,""bn"",""en"")"),"I recently purchased this dinner set and am very happy with it and am impressed with how well it looks on the table during serving")</f>
        <v>I recently purchased this dinner set and am very happy with it and am impressed with how well it looks on the table during serving</v>
      </c>
    </row>
    <row r="2895" spans="1:3" ht="15.75" customHeight="1" x14ac:dyDescent="0.25">
      <c r="A2895" s="2" t="s">
        <v>2897</v>
      </c>
      <c r="B2895" s="3" t="s">
        <v>2</v>
      </c>
      <c r="C2895" s="2" t="str">
        <f ca="1">IFERROR(__xludf.DUMMYFUNCTION("GOOGLETRANSLATE(A2895,""bn"",""en"")"),"The color is bright but the fabric is stiff")</f>
        <v>The color is bright but the fabric is stiff</v>
      </c>
    </row>
    <row r="2896" spans="1:3" ht="15.75" customHeight="1" x14ac:dyDescent="0.25">
      <c r="A2896" s="2" t="s">
        <v>2898</v>
      </c>
      <c r="B2896" s="3" t="s">
        <v>2</v>
      </c>
      <c r="C2896" s="2" t="str">
        <f ca="1">IFERROR(__xludf.DUMMYFUNCTION("GOOGLETRANSLATE(A2896,""bn"",""en"")"),"Be careful while cleaning")</f>
        <v>Be careful while cleaning</v>
      </c>
    </row>
    <row r="2897" spans="1:3" ht="15.75" customHeight="1" x14ac:dyDescent="0.25">
      <c r="A2897" s="2" t="s">
        <v>2899</v>
      </c>
      <c r="B2897" s="3" t="s">
        <v>6</v>
      </c>
      <c r="C2897" s="2" t="str">
        <f ca="1">IFERROR(__xludf.DUMMYFUNCTION("GOOGLETRANSLATE(A2897,""bn"",""en"")")," The door gasket is torn which allows steam to escape during cooking")</f>
        <v xml:space="preserve"> The door gasket is torn which allows steam to escape during cooking</v>
      </c>
    </row>
    <row r="2898" spans="1:3" ht="15.75" customHeight="1" x14ac:dyDescent="0.25">
      <c r="A2898" s="2" t="s">
        <v>2900</v>
      </c>
      <c r="B2898" s="3" t="s">
        <v>2</v>
      </c>
      <c r="C2898" s="2" t="str">
        <f ca="1">IFERROR(__xludf.DUMMYFUNCTION("GOOGLETRANSLATE(A2898,""bn"",""en"")"),"Infrared thermometer measures temperature but battery drains quickly")</f>
        <v>Infrared thermometer measures temperature but battery drains quickly</v>
      </c>
    </row>
    <row r="2899" spans="1:3" ht="15.75" customHeight="1" x14ac:dyDescent="0.25">
      <c r="A2899" s="2" t="s">
        <v>2901</v>
      </c>
      <c r="B2899" s="3" t="s">
        <v>4</v>
      </c>
      <c r="C2899" s="2" t="str">
        <f ca="1">IFERROR(__xludf.DUMMYFUNCTION("GOOGLETRANSLATE(A2899,""bn"",""en"")"),"The quality of these earrings is amazing for the price I will definitely buy again")</f>
        <v>The quality of these earrings is amazing for the price I will definitely buy again</v>
      </c>
    </row>
    <row r="2900" spans="1:3" ht="15.75" customHeight="1" x14ac:dyDescent="0.25">
      <c r="A2900" s="2" t="s">
        <v>2902</v>
      </c>
      <c r="B2900" s="3" t="s">
        <v>2</v>
      </c>
      <c r="C2900" s="2" t="str">
        <f ca="1">IFERROR(__xludf.DUMMYFUNCTION("GOOGLETRANSLATE(A2900,""bn"",""en"")"),"Delivery was on time no exception")</f>
        <v>Delivery was on time no exception</v>
      </c>
    </row>
    <row r="2901" spans="1:3" ht="15.75" customHeight="1" x14ac:dyDescent="0.25">
      <c r="A2901" s="2" t="s">
        <v>2903</v>
      </c>
      <c r="B2901" s="3" t="s">
        <v>2</v>
      </c>
      <c r="C2901" s="2" t="str">
        <f ca="1">IFERROR(__xludf.DUMMYFUNCTION("GOOGLETRANSLATE(A2901,""bn"",""en"")"),"Fresh but quite high in sweetness")</f>
        <v>Fresh but quite high in sweetness</v>
      </c>
    </row>
    <row r="2902" spans="1:3" ht="15.75" customHeight="1" x14ac:dyDescent="0.25">
      <c r="A2902" s="2" t="s">
        <v>2904</v>
      </c>
      <c r="B2902" s="3" t="s">
        <v>4</v>
      </c>
      <c r="C2902" s="2" t="str">
        <f ca="1">IFERROR(__xludf.DUMMYFUNCTION("GOOGLETRANSLATE(A2902,""bn"",""en"")"),"Hair is very soft after using this shampoo")</f>
        <v>Hair is very soft after using this shampoo</v>
      </c>
    </row>
    <row r="2903" spans="1:3" ht="15.75" customHeight="1" x14ac:dyDescent="0.25">
      <c r="A2903" s="2" t="s">
        <v>2905</v>
      </c>
      <c r="B2903" s="3" t="s">
        <v>4</v>
      </c>
      <c r="C2903" s="2" t="str">
        <f ca="1">IFERROR(__xludf.DUMMYFUNCTION("GOOGLETRANSLATE(A2903,""bn"",""en"")"),"This body wash will make your skin soft")</f>
        <v>This body wash will make your skin soft</v>
      </c>
    </row>
    <row r="2904" spans="1:3" ht="15.75" customHeight="1" x14ac:dyDescent="0.25">
      <c r="A2904" s="2" t="s">
        <v>2906</v>
      </c>
      <c r="B2904" s="3" t="s">
        <v>2</v>
      </c>
      <c r="C2904" s="2" t="str">
        <f ca="1">IFERROR(__xludf.DUMMYFUNCTION("GOOGLETRANSLATE(A2904,""bn"",""en"")"),"It takes some getting used to")</f>
        <v>It takes some getting used to</v>
      </c>
    </row>
    <row r="2905" spans="1:3" ht="15.75" customHeight="1" x14ac:dyDescent="0.25">
      <c r="A2905" s="2" t="s">
        <v>2907</v>
      </c>
      <c r="B2905" s="3" t="s">
        <v>6</v>
      </c>
      <c r="C2905" s="2" t="str">
        <f ca="1">IFERROR(__xludf.DUMMYFUNCTION("GOOGLETRANSLATE(A2905,""bn"",""en"")"),"The fabric of the dress feels stiff and rigid, thus lacking the expected fluidity and movement of the style")</f>
        <v>The fabric of the dress feels stiff and rigid, thus lacking the expected fluidity and movement of the style</v>
      </c>
    </row>
    <row r="2906" spans="1:3" ht="15.75" customHeight="1" x14ac:dyDescent="0.25">
      <c r="A2906" s="2" t="s">
        <v>2908</v>
      </c>
      <c r="B2906" s="3" t="s">
        <v>6</v>
      </c>
      <c r="C2906" s="2" t="str">
        <f ca="1">IFERROR(__xludf.DUMMYFUNCTION("GOOGLETRANSLATE(A2906,""bn"",""en"")"),"The limited capacity kept me constantly refilling throughout the day")</f>
        <v>The limited capacity kept me constantly refilling throughout the day</v>
      </c>
    </row>
    <row r="2907" spans="1:3" ht="15.75" customHeight="1" x14ac:dyDescent="0.25">
      <c r="A2907" s="2" t="s">
        <v>2909</v>
      </c>
      <c r="B2907" s="3" t="s">
        <v>6</v>
      </c>
      <c r="C2907" s="2" t="str">
        <f ca="1">IFERROR(__xludf.DUMMYFUNCTION("GOOGLETRANSLATE(A2907,""bn"",""en"")"),"The brushes had flimsy handles that tended to snap")</f>
        <v>The brushes had flimsy handles that tended to snap</v>
      </c>
    </row>
    <row r="2908" spans="1:3" ht="15.75" customHeight="1" x14ac:dyDescent="0.25">
      <c r="A2908" s="2" t="s">
        <v>2910</v>
      </c>
      <c r="B2908" s="3" t="s">
        <v>6</v>
      </c>
      <c r="C2908" s="2" t="str">
        <f ca="1">IFERROR(__xludf.DUMMYFUNCTION("GOOGLETRANSLATE(A2908,""bn"",""en"")"),"The butter feels very thin and sticks to my clothes")</f>
        <v>The butter feels very thin and sticks to my clothes</v>
      </c>
    </row>
    <row r="2909" spans="1:3" ht="15.75" customHeight="1" x14ac:dyDescent="0.25">
      <c r="A2909" s="2" t="s">
        <v>2911</v>
      </c>
      <c r="B2909" s="3" t="s">
        <v>2</v>
      </c>
      <c r="C2909" s="2" t="str">
        <f ca="1">IFERROR(__xludf.DUMMYFUNCTION("GOOGLETRANSLATE(A2909,""bn"",""en"")"),"A car air purifier cleans the air but the filter gets dirty quickly")</f>
        <v>A car air purifier cleans the air but the filter gets dirty quickly</v>
      </c>
    </row>
    <row r="2910" spans="1:3" ht="15.75" customHeight="1" x14ac:dyDescent="0.25">
      <c r="A2910" s="2" t="s">
        <v>2912</v>
      </c>
      <c r="B2910" s="3" t="s">
        <v>2</v>
      </c>
      <c r="C2910" s="2" t="str">
        <f ca="1">IFERROR(__xludf.DUMMYFUNCTION("GOOGLETRANSLATE(A2910,""bn"",""en"")"),"There may be problems in connecting value for money")</f>
        <v>There may be problems in connecting value for money</v>
      </c>
    </row>
    <row r="2911" spans="1:3" ht="15.75" customHeight="1" x14ac:dyDescent="0.25">
      <c r="A2911" s="2" t="s">
        <v>2913</v>
      </c>
      <c r="B2911" s="3" t="s">
        <v>2</v>
      </c>
      <c r="C2911" s="2" t="str">
        <f ca="1">IFERROR(__xludf.DUMMYFUNCTION("GOOGLETRANSLATE(A2911,""bn"",""en"")"),"The Smart Wine Bottle Opener works but struggles with tough corks")</f>
        <v>The Smart Wine Bottle Opener works but struggles with tough corks</v>
      </c>
    </row>
    <row r="2912" spans="1:3" ht="15.75" customHeight="1" x14ac:dyDescent="0.25">
      <c r="A2912" s="2" t="s">
        <v>2914</v>
      </c>
      <c r="B2912" s="3" t="s">
        <v>2</v>
      </c>
      <c r="C2912" s="2" t="str">
        <f ca="1">IFERROR(__xludf.DUMMYFUNCTION("GOOGLETRANSLATE(A2912,""bn"",""en"")"),"The product is low quality but easy to clean")</f>
        <v>The product is low quality but easy to clean</v>
      </c>
    </row>
    <row r="2913" spans="1:3" ht="15.75" customHeight="1" x14ac:dyDescent="0.25">
      <c r="A2913" s="2" t="s">
        <v>2915</v>
      </c>
      <c r="B2913" s="3" t="s">
        <v>6</v>
      </c>
      <c r="C2913" s="2" t="str">
        <f ca="1">IFERROR(__xludf.DUMMYFUNCTION("GOOGLETRANSLATE(A2913,""bn"",""en"")"),"Hair oil makes my hair look greasy and attracts dirt making it look unwashed")</f>
        <v>Hair oil makes my hair look greasy and attracts dirt making it look unwashed</v>
      </c>
    </row>
    <row r="2914" spans="1:3" ht="15.75" customHeight="1" x14ac:dyDescent="0.25">
      <c r="A2914" s="2" t="s">
        <v>2916</v>
      </c>
      <c r="B2914" s="3" t="s">
        <v>2</v>
      </c>
      <c r="C2914" s="2" t="str">
        <f ca="1">IFERROR(__xludf.DUMMYFUNCTION("GOOGLETRANSLATE(A2914,""bn"",""en"")"),"Duration of heating is approx")</f>
        <v>Duration of heating is approx</v>
      </c>
    </row>
    <row r="2915" spans="1:3" ht="15.75" customHeight="1" x14ac:dyDescent="0.25">
      <c r="A2915" s="2" t="s">
        <v>2917</v>
      </c>
      <c r="B2915" s="3" t="s">
        <v>2</v>
      </c>
      <c r="C2915" s="2" t="str">
        <f ca="1">IFERROR(__xludf.DUMMYFUNCTION("GOOGLETRANSLATE(A2915,""bn"",""en"")"),"There is some uncertainty about eco-friendly ingredients")</f>
        <v>There is some uncertainty about eco-friendly ingredients</v>
      </c>
    </row>
    <row r="2916" spans="1:3" ht="15.75" customHeight="1" x14ac:dyDescent="0.25">
      <c r="A2916" s="2" t="s">
        <v>2918</v>
      </c>
      <c r="B2916" s="3" t="s">
        <v>2</v>
      </c>
      <c r="C2916" s="2" t="str">
        <f ca="1">IFERROR(__xludf.DUMMYFUNCTION("GOOGLETRANSLATE(A2916,""bn"",""en"")"),"The surface remains dry")</f>
        <v>The surface remains dry</v>
      </c>
    </row>
    <row r="2917" spans="1:3" ht="15.75" customHeight="1" x14ac:dyDescent="0.25">
      <c r="A2917" s="2" t="s">
        <v>2919</v>
      </c>
      <c r="B2917" s="3" t="s">
        <v>6</v>
      </c>
      <c r="C2917" s="2" t="str">
        <f ca="1">IFERROR(__xludf.DUMMYFUNCTION("GOOGLETRANSLATE(A2917,""bn"",""en"")"),"The voice-controlled TV remote occasionally loses connection and is frustratingly inconsistent")</f>
        <v>The voice-controlled TV remote occasionally loses connection and is frustratingly inconsistent</v>
      </c>
    </row>
    <row r="2918" spans="1:3" ht="15.75" customHeight="1" x14ac:dyDescent="0.25">
      <c r="A2918" s="2" t="s">
        <v>2920</v>
      </c>
      <c r="B2918" s="3" t="s">
        <v>2</v>
      </c>
      <c r="C2918" s="2" t="str">
        <f ca="1">IFERROR(__xludf.DUMMYFUNCTION("GOOGLETRANSLATE(A2918,""bn"",""en"")"),"Makes a sound when pressed but the sound is not attractive")</f>
        <v>Makes a sound when pressed but the sound is not attractive</v>
      </c>
    </row>
    <row r="2919" spans="1:3" ht="15.75" customHeight="1" x14ac:dyDescent="0.25">
      <c r="A2919" s="2" t="s">
        <v>2921</v>
      </c>
      <c r="B2919" s="3" t="s">
        <v>2</v>
      </c>
      <c r="C2919" s="2" t="str">
        <f ca="1">IFERROR(__xludf.DUMMYFUNCTION("GOOGLETRANSLATE(A2919,""bn"",""en"")"),"It may not be suitable for smaller devices")</f>
        <v>It may not be suitable for smaller devices</v>
      </c>
    </row>
    <row r="2920" spans="1:3" ht="15.75" customHeight="1" x14ac:dyDescent="0.25">
      <c r="A2920" s="2" t="s">
        <v>2922</v>
      </c>
      <c r="B2920" s="3" t="s">
        <v>4</v>
      </c>
      <c r="C2920" s="2" t="str">
        <f ca="1">IFERROR(__xludf.DUMMYFUNCTION("GOOGLETRANSLATE(A2920,""bn"",""en"")"),"Hair is very healthy and beautiful with the use of shampoo")</f>
        <v>Hair is very healthy and beautiful with the use of shampoo</v>
      </c>
    </row>
    <row r="2921" spans="1:3" ht="15.75" customHeight="1" x14ac:dyDescent="0.25">
      <c r="A2921" s="2" t="s">
        <v>2923</v>
      </c>
      <c r="B2921" s="3" t="s">
        <v>6</v>
      </c>
      <c r="C2921" s="2" t="str">
        <f ca="1">IFERROR(__xludf.DUMMYFUNCTION("GOOGLETRANSLATE(A2921,""bn"",""en"")"),"Not impressed by the trivial design")</f>
        <v>Not impressed by the trivial design</v>
      </c>
    </row>
    <row r="2922" spans="1:3" ht="15.75" customHeight="1" x14ac:dyDescent="0.25">
      <c r="A2922" s="2" t="s">
        <v>2924</v>
      </c>
      <c r="B2922" s="3" t="s">
        <v>2</v>
      </c>
      <c r="C2922" s="2" t="str">
        <f ca="1">IFERROR(__xludf.DUMMYFUNCTION("GOOGLETRANSLATE(A2922,""bn"",""en"")"),"These are just beads and can cost a lot more money")</f>
        <v>These are just beads and can cost a lot more money</v>
      </c>
    </row>
    <row r="2923" spans="1:3" ht="15.75" customHeight="1" x14ac:dyDescent="0.25">
      <c r="A2923" s="2" t="s">
        <v>2925</v>
      </c>
      <c r="B2923" s="3" t="s">
        <v>6</v>
      </c>
      <c r="C2923" s="2" t="str">
        <f ca="1">IFERROR(__xludf.DUMMYFUNCTION("GOOGLETRANSLATE(A2923,""bn"",""en"")"),"The fragrance was weak with a slight hint of the advertised flavor")</f>
        <v>The fragrance was weak with a slight hint of the advertised flavor</v>
      </c>
    </row>
    <row r="2924" spans="1:3" ht="15.75" customHeight="1" x14ac:dyDescent="0.25">
      <c r="A2924" s="2" t="s">
        <v>2926</v>
      </c>
      <c r="B2924" s="3" t="s">
        <v>4</v>
      </c>
      <c r="C2924" s="2" t="str">
        <f ca="1">IFERROR(__xludf.DUMMYFUNCTION("GOOGLETRANSLATE(A2924,""bn"",""en"")"),"It provides peace in hot weather")</f>
        <v>It provides peace in hot weather</v>
      </c>
    </row>
    <row r="2925" spans="1:3" ht="15.75" customHeight="1" x14ac:dyDescent="0.25">
      <c r="A2925" s="2" t="s">
        <v>2927</v>
      </c>
      <c r="B2925" s="3" t="s">
        <v>6</v>
      </c>
      <c r="C2925" s="2" t="str">
        <f ca="1">IFERROR(__xludf.DUMMYFUNCTION("GOOGLETRANSLATE(A2925,""bn"",""en"")"),"The tea leaves were broken and of poor quality which affected the taste of the brew")</f>
        <v>The tea leaves were broken and of poor quality which affected the taste of the brew</v>
      </c>
    </row>
    <row r="2926" spans="1:3" ht="15.75" customHeight="1" x14ac:dyDescent="0.25">
      <c r="A2926" s="2" t="s">
        <v>2928</v>
      </c>
      <c r="B2926" s="3" t="s">
        <v>4</v>
      </c>
      <c r="C2926" s="2" t="str">
        <f ca="1">IFERROR(__xludf.DUMMYFUNCTION("GOOGLETRANSLATE(A2926,""bn"",""en"")"),"This body wash removes dryness of the skin")</f>
        <v>This body wash removes dryness of the skin</v>
      </c>
    </row>
    <row r="2927" spans="1:3" ht="15.75" customHeight="1" x14ac:dyDescent="0.25">
      <c r="A2927" s="2" t="s">
        <v>2929</v>
      </c>
      <c r="B2927" s="3" t="s">
        <v>2</v>
      </c>
      <c r="C2927" s="2" t="str">
        <f ca="1">IFERROR(__xludf.DUMMYFUNCTION("GOOGLETRANSLATE(A2927,""bn"",""en"")"),"The look is fixable but not perfect")</f>
        <v>The look is fixable but not perfect</v>
      </c>
    </row>
    <row r="2928" spans="1:3" ht="15.75" customHeight="1" x14ac:dyDescent="0.25">
      <c r="A2928" s="2" t="s">
        <v>2930</v>
      </c>
      <c r="B2928" s="3" t="s">
        <v>4</v>
      </c>
      <c r="C2928" s="2" t="str">
        <f ca="1">IFERROR(__xludf.DUMMYFUNCTION("GOOGLETRANSLATE(A2928,""bn"",""en"")"),"The dressing table mirror is very clean")</f>
        <v>The dressing table mirror is very clean</v>
      </c>
    </row>
    <row r="2929" spans="1:3" ht="15.75" customHeight="1" x14ac:dyDescent="0.25">
      <c r="A2929" s="2" t="s">
        <v>2931</v>
      </c>
      <c r="B2929" s="3" t="s">
        <v>6</v>
      </c>
      <c r="C2929" s="2" t="str">
        <f ca="1">IFERROR(__xludf.DUMMYFUNCTION("GOOGLETRANSLATE(A2929,""bn"",""en"")"),"The cups had visible seams suggesting poor craftsmanship")</f>
        <v>The cups had visible seams suggesting poor craftsmanship</v>
      </c>
    </row>
    <row r="2930" spans="1:3" ht="15.75" customHeight="1" x14ac:dyDescent="0.25">
      <c r="A2930" s="2" t="s">
        <v>2932</v>
      </c>
      <c r="B2930" s="3" t="s">
        <v>2</v>
      </c>
      <c r="C2930" s="2" t="str">
        <f ca="1">IFERROR(__xludf.DUMMYFUNCTION("GOOGLETRANSLATE(A2930,""bn"",""en"")"),"Reflections are clear but not outstanding")</f>
        <v>Reflections are clear but not outstanding</v>
      </c>
    </row>
    <row r="2931" spans="1:3" ht="15.75" customHeight="1" x14ac:dyDescent="0.25">
      <c r="A2931" s="2" t="s">
        <v>2933</v>
      </c>
      <c r="B2931" s="3" t="s">
        <v>2</v>
      </c>
      <c r="C2931" s="2" t="str">
        <f ca="1">IFERROR(__xludf.DUMMYFUNCTION("GOOGLETRANSLATE(A2931,""bn"",""en"")"),"Value for money is just right not worth the premium")</f>
        <v>Value for money is just right not worth the premium</v>
      </c>
    </row>
    <row r="2932" spans="1:3" ht="15.75" customHeight="1" x14ac:dyDescent="0.25">
      <c r="A2932" s="2" t="s">
        <v>2934</v>
      </c>
      <c r="B2932" s="3" t="s">
        <v>6</v>
      </c>
      <c r="C2932" s="2" t="str">
        <f ca="1">IFERROR(__xludf.DUMMYFUNCTION("GOOGLETRANSLATE(A2932,""bn"",""en"")")," The power button was faulty and required multiple attempts to turn it on")</f>
        <v xml:space="preserve"> The power button was faulty and required multiple attempts to turn it on</v>
      </c>
    </row>
    <row r="2933" spans="1:3" ht="15.75" customHeight="1" x14ac:dyDescent="0.25">
      <c r="A2933" s="2" t="s">
        <v>2935</v>
      </c>
      <c r="B2933" s="3" t="s">
        <v>4</v>
      </c>
      <c r="C2933" s="2" t="str">
        <f ca="1">IFERROR(__xludf.DUMMYFUNCTION("GOOGLETRANSLATE(A2933,""bn"",""en"")"),"Much better at a lower price ")</f>
        <v xml:space="preserve">Much better at a lower price </v>
      </c>
    </row>
    <row r="2934" spans="1:3" ht="15.75" customHeight="1" x14ac:dyDescent="0.25">
      <c r="A2934" s="2" t="s">
        <v>2936</v>
      </c>
      <c r="B2934" s="3" t="s">
        <v>2</v>
      </c>
      <c r="C2934" s="2" t="str">
        <f ca="1">IFERROR(__xludf.DUMMYFUNCTION("GOOGLETRANSLATE(A2934,""bn"",""en"")"),"The virtual keyboard allows typing but the feel is unusual")</f>
        <v>The virtual keyboard allows typing but the feel is unusual</v>
      </c>
    </row>
    <row r="2935" spans="1:3" ht="15.75" customHeight="1" x14ac:dyDescent="0.25">
      <c r="A2935" s="2" t="s">
        <v>2937</v>
      </c>
      <c r="B2935" s="3" t="s">
        <v>6</v>
      </c>
      <c r="C2935" s="2" t="str">
        <f ca="1">IFERROR(__xludf.DUMMYFUNCTION("GOOGLETRANSLATE(A2935,""bn"",""en"")")," The remote control had a limited range requiring close proximity to the set")</f>
        <v xml:space="preserve"> The remote control had a limited range requiring close proximity to the set</v>
      </c>
    </row>
    <row r="2936" spans="1:3" ht="15.75" customHeight="1" x14ac:dyDescent="0.25">
      <c r="A2936" s="2" t="s">
        <v>2938</v>
      </c>
      <c r="B2936" s="3" t="s">
        <v>2</v>
      </c>
      <c r="C2936" s="2" t="str">
        <f ca="1">IFERROR(__xludf.DUMMYFUNCTION("GOOGLETRANSLATE(A2936,""bn"",""en"")"),"Cold drinks taste good but have a bit more added sugar")</f>
        <v>Cold drinks taste good but have a bit more added sugar</v>
      </c>
    </row>
    <row r="2937" spans="1:3" ht="15.75" customHeight="1" x14ac:dyDescent="0.25">
      <c r="A2937" s="2" t="s">
        <v>2939</v>
      </c>
      <c r="B2937" s="3" t="s">
        <v>6</v>
      </c>
      <c r="C2937" s="2" t="str">
        <f ca="1">IFERROR(__xludf.DUMMYFUNCTION("GOOGLETRANSLATE(A2937,""bn"",""en"")"),"The poor quality of the fabric is evident from its tendency to wrinkle and crease easily and requires constant ironing and maintenance")</f>
        <v>The poor quality of the fabric is evident from its tendency to wrinkle and crease easily and requires constant ironing and maintenance</v>
      </c>
    </row>
    <row r="2938" spans="1:3" ht="15.75" customHeight="1" x14ac:dyDescent="0.25">
      <c r="A2938" s="2" t="s">
        <v>2940</v>
      </c>
      <c r="B2938" s="3" t="s">
        <v>6</v>
      </c>
      <c r="C2938" s="2" t="str">
        <f ca="1">IFERROR(__xludf.DUMMYFUNCTION("GOOGLETRANSLATE(A2938,""bn"",""en"")"),"While the jewelry looks elegant in the pictures, it lacks the advertised shine and is tarnished and dull.")</f>
        <v>While the jewelry looks elegant in the pictures, it lacks the advertised shine and is tarnished and dull.</v>
      </c>
    </row>
    <row r="2939" spans="1:3" ht="15.75" customHeight="1" x14ac:dyDescent="0.25">
      <c r="A2939" s="2" t="s">
        <v>2941</v>
      </c>
      <c r="B2939" s="3" t="s">
        <v>6</v>
      </c>
      <c r="C2939" s="2" t="str">
        <f ca="1">IFERROR(__xludf.DUMMYFUNCTION("GOOGLETRANSLATE(A2939,""bn"",""en"")"),"Loose lids are causing problems due to repeated opening")</f>
        <v>Loose lids are causing problems due to repeated opening</v>
      </c>
    </row>
    <row r="2940" spans="1:3" ht="15.75" customHeight="1" x14ac:dyDescent="0.25">
      <c r="A2940" s="2" t="s">
        <v>2942</v>
      </c>
      <c r="B2940" s="3" t="s">
        <v>4</v>
      </c>
      <c r="C2940" s="2" t="str">
        <f ca="1">IFERROR(__xludf.DUMMYFUNCTION("GOOGLETRANSLATE(A2940,""bn"",""en"")"),"Time indicators are clear and visible")</f>
        <v>Time indicators are clear and visible</v>
      </c>
    </row>
    <row r="2941" spans="1:3" ht="15.75" customHeight="1" x14ac:dyDescent="0.25">
      <c r="A2941" s="2" t="s">
        <v>2943</v>
      </c>
      <c r="B2941" s="3" t="s">
        <v>2</v>
      </c>
      <c r="C2941" s="2" t="str">
        <f ca="1">IFERROR(__xludf.DUMMYFUNCTION("GOOGLETRANSLATE(A2941,""bn"",""en"")"),"Although the yield increase was slight, the effect of the fertilizer was not long-lasting")</f>
        <v>Although the yield increase was slight, the effect of the fertilizer was not long-lasting</v>
      </c>
    </row>
    <row r="2942" spans="1:3" ht="15.75" customHeight="1" x14ac:dyDescent="0.25">
      <c r="A2942" s="2" t="s">
        <v>2944</v>
      </c>
      <c r="B2942" s="3" t="s">
        <v>2</v>
      </c>
      <c r="C2942" s="2" t="str">
        <f ca="1">IFERROR(__xludf.DUMMYFUNCTION("GOOGLETRANSLATE(A2942,""bn"",""en"")"),"Not so good but still works")</f>
        <v>Not so good but still works</v>
      </c>
    </row>
    <row r="2943" spans="1:3" ht="15.75" customHeight="1" x14ac:dyDescent="0.25">
      <c r="A2943" s="2" t="s">
        <v>2945</v>
      </c>
      <c r="B2943" s="3" t="s">
        <v>6</v>
      </c>
      <c r="C2943" s="2" t="str">
        <f ca="1">IFERROR(__xludf.DUMMYFUNCTION("GOOGLETRANSLATE(A2943,""bn"",""en"")"),"The tea lid was not flat allowing the tea to escape")</f>
        <v>The tea lid was not flat allowing the tea to escape</v>
      </c>
    </row>
    <row r="2944" spans="1:3" ht="15.75" customHeight="1" x14ac:dyDescent="0.25">
      <c r="A2944" s="2" t="s">
        <v>2946</v>
      </c>
      <c r="B2944" s="3" t="s">
        <v>2</v>
      </c>
      <c r="C2944" s="2" t="str">
        <f ca="1">IFERROR(__xludf.DUMMYFUNCTION("GOOGLETRANSLATE(A2944,""bn"",""en"")"),"It is user friendly but may be a bit overrated")</f>
        <v>It is user friendly but may be a bit overrated</v>
      </c>
    </row>
    <row r="2945" spans="1:3" ht="15.75" customHeight="1" x14ac:dyDescent="0.25">
      <c r="A2945" s="2" t="s">
        <v>2947</v>
      </c>
      <c r="B2945" s="3" t="s">
        <v>6</v>
      </c>
      <c r="C2945" s="2" t="str">
        <f ca="1">IFERROR(__xludf.DUMMYFUNCTION("GOOGLETRANSLATE(A2945,""bn"",""en"")"),"Fraudulent sizes hold less liquid than expected")</f>
        <v>Fraudulent sizes hold less liquid than expected</v>
      </c>
    </row>
    <row r="2946" spans="1:3" ht="15.75" customHeight="1" x14ac:dyDescent="0.25">
      <c r="A2946" s="2" t="s">
        <v>2948</v>
      </c>
      <c r="B2946" s="3" t="s">
        <v>6</v>
      </c>
      <c r="C2946" s="2" t="str">
        <f ca="1">IFERROR(__xludf.DUMMYFUNCTION("GOOGLETRANSLATE(A2946,""bn"",""en"")"),"The construction of the toy was flimsy and broke easily")</f>
        <v>The construction of the toy was flimsy and broke easily</v>
      </c>
    </row>
    <row r="2947" spans="1:3" ht="15.75" customHeight="1" x14ac:dyDescent="0.25">
      <c r="A2947" s="2" t="s">
        <v>2949</v>
      </c>
      <c r="B2947" s="3" t="s">
        <v>6</v>
      </c>
      <c r="C2947" s="2" t="str">
        <f ca="1">IFERROR(__xludf.DUMMYFUNCTION("GOOGLETRANSLATE(A2947,""bn"",""en"")"),"Despite repeated attempts to wash this mug, the stench persisted")</f>
        <v>Despite repeated attempts to wash this mug, the stench persisted</v>
      </c>
    </row>
    <row r="2948" spans="1:3" ht="15.75" customHeight="1" x14ac:dyDescent="0.25">
      <c r="A2948" s="2" t="s">
        <v>2950</v>
      </c>
      <c r="B2948" s="3" t="s">
        <v>2</v>
      </c>
      <c r="C2948" s="2" t="str">
        <f ca="1">IFERROR(__xludf.DUMMYFUNCTION("GOOGLETRANSLATE(A2948,""bn"",""en"")"),"After washing the dye with a good amount of baking soda the fabric softened although there are some minor issues")</f>
        <v>After washing the dye with a good amount of baking soda the fabric softened although there are some minor issues</v>
      </c>
    </row>
    <row r="2949" spans="1:3" ht="15.75" customHeight="1" x14ac:dyDescent="0.25">
      <c r="A2949" s="2" t="s">
        <v>2951</v>
      </c>
      <c r="B2949" s="3" t="s">
        <v>2</v>
      </c>
      <c r="C2949" s="2" t="str">
        <f ca="1">IFERROR(__xludf.DUMMYFUNCTION("GOOGLETRANSLATE(A2949,""bn"",""en"")"),"Available in different sizes")</f>
        <v>Available in different sizes</v>
      </c>
    </row>
    <row r="2950" spans="1:3" ht="15.75" customHeight="1" x14ac:dyDescent="0.25">
      <c r="A2950" s="2" t="s">
        <v>2952</v>
      </c>
      <c r="B2950" s="3" t="s">
        <v>4</v>
      </c>
      <c r="C2950" s="2" t="str">
        <f ca="1">IFERROR(__xludf.DUMMYFUNCTION("GOOGLETRANSLATE(A2950,""bn"",""en"")"),"The makeup brush is comfortable to use")</f>
        <v>The makeup brush is comfortable to use</v>
      </c>
    </row>
    <row r="2951" spans="1:3" ht="15.75" customHeight="1" x14ac:dyDescent="0.25">
      <c r="A2951" s="2" t="s">
        <v>2953</v>
      </c>
      <c r="B2951" s="3" t="s">
        <v>2</v>
      </c>
      <c r="C2951" s="2" t="str">
        <f ca="1">IFERROR(__xludf.DUMMYFUNCTION("GOOGLETRANSLATE(A2951,""bn"",""en"")"),"Good for fashion but not for everyday use")</f>
        <v>Good for fashion but not for everyday use</v>
      </c>
    </row>
    <row r="2952" spans="1:3" ht="15.75" customHeight="1" x14ac:dyDescent="0.25">
      <c r="A2952" s="2" t="s">
        <v>2954</v>
      </c>
      <c r="B2952" s="3" t="s">
        <v>6</v>
      </c>
      <c r="C2952" s="2" t="str">
        <f ca="1">IFERROR(__xludf.DUMMYFUNCTION("GOOGLETRANSLATE(A2952,""bn"",""en"")"),"Inadequate wattage struggles to support system components")</f>
        <v>Inadequate wattage struggles to support system components</v>
      </c>
    </row>
    <row r="2953" spans="1:3" ht="15.75" customHeight="1" x14ac:dyDescent="0.25">
      <c r="A2953" s="2" t="s">
        <v>2955</v>
      </c>
      <c r="B2953" s="3" t="s">
        <v>4</v>
      </c>
      <c r="C2953" s="2" t="str">
        <f ca="1">IFERROR(__xludf.DUMMYFUNCTION("GOOGLETRANSLATE(A2953,""bn"",""en"")"),"The child is playing all day with his new toy")</f>
        <v>The child is playing all day with his new toy</v>
      </c>
    </row>
    <row r="2954" spans="1:3" ht="15.75" customHeight="1" x14ac:dyDescent="0.25">
      <c r="A2954" s="2" t="s">
        <v>2956</v>
      </c>
      <c r="B2954" s="3" t="s">
        <v>6</v>
      </c>
      <c r="C2954" s="2" t="str">
        <f ca="1">IFERROR(__xludf.DUMMYFUNCTION("GOOGLETRANSLATE(A2954,""bn"",""en"")"),"The brow gel is too thick and clumpy which makes the brows look unnatural")</f>
        <v>The brow gel is too thick and clumpy which makes the brows look unnatural</v>
      </c>
    </row>
    <row r="2955" spans="1:3" ht="15.75" customHeight="1" x14ac:dyDescent="0.25">
      <c r="A2955" s="2" t="s">
        <v>2957</v>
      </c>
      <c r="B2955" s="3" t="s">
        <v>6</v>
      </c>
      <c r="C2955" s="2" t="str">
        <f ca="1">IFERROR(__xludf.DUMMYFUNCTION("GOOGLETRANSLATE(A2955,""bn"",""en"")"),"Incorrect temperature readings on smart thermostats waste energy")</f>
        <v>Incorrect temperature readings on smart thermostats waste energy</v>
      </c>
    </row>
    <row r="2956" spans="1:3" ht="15.75" customHeight="1" x14ac:dyDescent="0.25">
      <c r="A2956" s="2" t="s">
        <v>2958</v>
      </c>
      <c r="B2956" s="3" t="s">
        <v>6</v>
      </c>
      <c r="C2956" s="2" t="str">
        <f ca="1">IFERROR(__xludf.DUMMYFUNCTION("GOOGLETRANSLATE(A2956,""bn"",""en"")"),"The tip of the lip liner makes it difficult to properly outline blunt lips")</f>
        <v>The tip of the lip liner makes it difficult to properly outline blunt lips</v>
      </c>
    </row>
    <row r="2957" spans="1:3" ht="15.75" customHeight="1" x14ac:dyDescent="0.25">
      <c r="A2957" s="2" t="s">
        <v>2959</v>
      </c>
      <c r="B2957" s="3" t="s">
        <v>4</v>
      </c>
      <c r="C2957" s="2" t="str">
        <f ca="1">IFERROR(__xludf.DUMMYFUNCTION("GOOGLETRANSLATE(A2957,""bn"",""en"")"),"This dinner set is very beautiful and quality")</f>
        <v>This dinner set is very beautiful and quality</v>
      </c>
    </row>
    <row r="2958" spans="1:3" ht="15.75" customHeight="1" x14ac:dyDescent="0.25">
      <c r="A2958" s="2" t="s">
        <v>2960</v>
      </c>
      <c r="B2958" s="3" t="s">
        <v>4</v>
      </c>
      <c r="C2958" s="2" t="str">
        <f ca="1">IFERROR(__xludf.DUMMYFUNCTION("GOOGLETRANSLATE(A2958,""bn"",""en"")"),"With every kiss I feel its high seed quality")</f>
        <v>With every kiss I feel its high seed quality</v>
      </c>
    </row>
    <row r="2959" spans="1:3" ht="15.75" customHeight="1" x14ac:dyDescent="0.25">
      <c r="A2959" s="2" t="s">
        <v>2961</v>
      </c>
      <c r="B2959" s="3" t="s">
        <v>2</v>
      </c>
      <c r="C2959" s="2" t="str">
        <f ca="1">IFERROR(__xludf.DUMMYFUNCTION("GOOGLETRANSLATE(A2959,""bn"",""en"")"),"Value for money is ok")</f>
        <v>Value for money is ok</v>
      </c>
    </row>
    <row r="2960" spans="1:3" ht="15.75" customHeight="1" x14ac:dyDescent="0.25">
      <c r="A2960" s="2" t="s">
        <v>2962</v>
      </c>
      <c r="B2960" s="3" t="s">
        <v>4</v>
      </c>
      <c r="C2960" s="2" t="str">
        <f ca="1">IFERROR(__xludf.DUMMYFUNCTION("GOOGLETRANSLATE(A2960,""bn"",""en"")"),"The night mode of the device's camera is amazing")</f>
        <v>The night mode of the device's camera is amazing</v>
      </c>
    </row>
    <row r="2961" spans="1:3" ht="15.75" customHeight="1" x14ac:dyDescent="0.25">
      <c r="A2961" s="2" t="s">
        <v>2963</v>
      </c>
      <c r="B2961" s="3" t="s">
        <v>4</v>
      </c>
      <c r="C2961" s="2" t="str">
        <f ca="1">IFERROR(__xludf.DUMMYFUNCTION("GOOGLETRANSLATE(A2961,""bn"",""en"")"),"The new school project was very educational")</f>
        <v>The new school project was very educational</v>
      </c>
    </row>
    <row r="2962" spans="1:3" ht="15.75" customHeight="1" x14ac:dyDescent="0.25">
      <c r="A2962" s="2" t="s">
        <v>2964</v>
      </c>
      <c r="B2962" s="3" t="s">
        <v>2</v>
      </c>
      <c r="C2962" s="2" t="str">
        <f ca="1">IFERROR(__xludf.DUMMYFUNCTION("GOOGLETRANSLATE(A2962,""bn"",""en"")"),"Has a digital thermostat")</f>
        <v>Has a digital thermostat</v>
      </c>
    </row>
    <row r="2963" spans="1:3" ht="15.75" customHeight="1" x14ac:dyDescent="0.25">
      <c r="A2963" s="2" t="s">
        <v>2965</v>
      </c>
      <c r="B2963" s="3" t="s">
        <v>2</v>
      </c>
      <c r="C2963" s="2" t="str">
        <f ca="1">IFERROR(__xludf.DUMMYFUNCTION("GOOGLETRANSLATE(A2963,""bn"",""en"")"),"The toothpaste packaging is simple")</f>
        <v>The toothpaste packaging is simple</v>
      </c>
    </row>
    <row r="2964" spans="1:3" ht="15.75" customHeight="1" x14ac:dyDescent="0.25">
      <c r="A2964" s="2" t="s">
        <v>2966</v>
      </c>
      <c r="B2964" s="3" t="s">
        <v>4</v>
      </c>
      <c r="C2964" s="2" t="str">
        <f ca="1">IFERROR(__xludf.DUMMYFUNCTION("GOOGLETRANSLATE(A2964,""bn"",""en"")"),"Attractive and usable")</f>
        <v>Attractive and usable</v>
      </c>
    </row>
    <row r="2965" spans="1:3" ht="15.75" customHeight="1" x14ac:dyDescent="0.25">
      <c r="A2965" s="2" t="s">
        <v>2967</v>
      </c>
      <c r="B2965" s="3" t="s">
        <v>2</v>
      </c>
      <c r="C2965" s="2" t="str">
        <f ca="1">IFERROR(__xludf.DUMMYFUNCTION("GOOGLETRANSLATE(A2965,""bn"",""en"")"),"Like the original")</f>
        <v>Like the original</v>
      </c>
    </row>
    <row r="2966" spans="1:3" ht="15.75" customHeight="1" x14ac:dyDescent="0.25">
      <c r="A2966" s="2" t="s">
        <v>2968</v>
      </c>
      <c r="B2966" s="3" t="s">
        <v>6</v>
      </c>
      <c r="C2966" s="2" t="str">
        <f ca="1">IFERROR(__xludf.DUMMYFUNCTION("GOOGLETRANSLATE(A2966,""bn"",""en"")"),"Overheated exterior makes it unsafe to touch")</f>
        <v>Overheated exterior makes it unsafe to touch</v>
      </c>
    </row>
    <row r="2967" spans="1:3" ht="15.75" customHeight="1" x14ac:dyDescent="0.25">
      <c r="A2967" s="2" t="s">
        <v>2969</v>
      </c>
      <c r="B2967" s="3" t="s">
        <v>2</v>
      </c>
      <c r="C2967" s="2" t="str">
        <f ca="1">IFERROR(__xludf.DUMMYFUNCTION("GOOGLETRANSLATE(A2967,""bn"",""en"")"),"The mop cloth holds the dust occasionally")</f>
        <v>The mop cloth holds the dust occasionally</v>
      </c>
    </row>
    <row r="2968" spans="1:3" ht="15.75" customHeight="1" x14ac:dyDescent="0.25">
      <c r="A2968" s="2" t="s">
        <v>2970</v>
      </c>
      <c r="B2968" s="3" t="s">
        <v>2</v>
      </c>
      <c r="C2968" s="2" t="str">
        <f ca="1">IFERROR(__xludf.DUMMYFUNCTION("GOOGLETRANSLATE(A2968,""bn"",""en"")"),"Easy to clean but takes time to dry")</f>
        <v>Easy to clean but takes time to dry</v>
      </c>
    </row>
    <row r="2969" spans="1:3" ht="15.75" customHeight="1" x14ac:dyDescent="0.25">
      <c r="A2969" s="2" t="s">
        <v>2971</v>
      </c>
      <c r="B2969" s="3" t="s">
        <v>4</v>
      </c>
      <c r="C2969" s="2" t="str">
        <f ca="1">IFERROR(__xludf.DUMMYFUNCTION("GOOGLETRANSLATE(A2969,""bn"",""en"")"),"The bookcase helped me make better use of the space in my room")</f>
        <v>The bookcase helped me make better use of the space in my room</v>
      </c>
    </row>
    <row r="2970" spans="1:3" ht="15.75" customHeight="1" x14ac:dyDescent="0.25">
      <c r="A2970" s="2" t="s">
        <v>2972</v>
      </c>
      <c r="B2970" s="3" t="s">
        <v>6</v>
      </c>
      <c r="C2970" s="2" t="str">
        <f ca="1">IFERROR(__xludf.DUMMYFUNCTION("GOOGLETRANSLATE(A2970,""bn"",""en"")")," The stitching came undone after a few weeks of use leaving me disappointed due to its poor quality construction")</f>
        <v xml:space="preserve"> The stitching came undone after a few weeks of use leaving me disappointed due to its poor quality construction</v>
      </c>
    </row>
    <row r="2971" spans="1:3" ht="15.75" customHeight="1" x14ac:dyDescent="0.25">
      <c r="A2971" s="2" t="s">
        <v>2973</v>
      </c>
      <c r="B2971" s="3" t="s">
        <v>4</v>
      </c>
      <c r="C2971" s="2" t="str">
        <f ca="1">IFERROR(__xludf.DUMMYFUNCTION("GOOGLETRANSLATE(A2971,""bn"",""en"")"),"The child completes his school homework every day")</f>
        <v>The child completes his school homework every day</v>
      </c>
    </row>
    <row r="2972" spans="1:3" ht="15.75" customHeight="1" x14ac:dyDescent="0.25">
      <c r="A2972" s="2" t="s">
        <v>2974</v>
      </c>
      <c r="B2972" s="3" t="s">
        <v>2</v>
      </c>
      <c r="C2972" s="2" t="str">
        <f ca="1">IFERROR(__xludf.DUMMYFUNCTION("GOOGLETRANSLATE(A2972,""bn"",""en"")"),"Indoor cameras can sometimes have errors")</f>
        <v>Indoor cameras can sometimes have errors</v>
      </c>
    </row>
    <row r="2973" spans="1:3" ht="15.75" customHeight="1" x14ac:dyDescent="0.25">
      <c r="A2973" s="2" t="s">
        <v>2975</v>
      </c>
      <c r="B2973" s="3" t="s">
        <v>2</v>
      </c>
      <c r="C2973" s="2" t="str">
        <f ca="1">IFERROR(__xludf.DUMMYFUNCTION("GOOGLETRANSLATE(A2973,""bn"",""en"")"),"Needs some improvement but usable")</f>
        <v>Needs some improvement but usable</v>
      </c>
    </row>
    <row r="2974" spans="1:3" ht="15.75" customHeight="1" x14ac:dyDescent="0.25">
      <c r="A2974" s="2" t="s">
        <v>2976</v>
      </c>
      <c r="B2974" s="3" t="s">
        <v>2</v>
      </c>
      <c r="C2974" s="2" t="str">
        <f ca="1">IFERROR(__xludf.DUMMYFUNCTION("GOOGLETRANSLATE(A2974,""bn"",""en"")"),"Size is decent but not great")</f>
        <v>Size is decent but not great</v>
      </c>
    </row>
    <row r="2975" spans="1:3" ht="15.75" customHeight="1" x14ac:dyDescent="0.25">
      <c r="A2975" s="2" t="s">
        <v>2977</v>
      </c>
      <c r="B2975" s="3" t="s">
        <v>2</v>
      </c>
      <c r="C2975" s="2" t="str">
        <f ca="1">IFERROR(__xludf.DUMMYFUNCTION("GOOGLETRANSLATE(A2975,""bn"",""en"")"),"Quality is average")</f>
        <v>Quality is average</v>
      </c>
    </row>
    <row r="2976" spans="1:3" ht="15.75" customHeight="1" x14ac:dyDescent="0.25">
      <c r="A2976" s="2" t="s">
        <v>2978</v>
      </c>
      <c r="B2976" s="3" t="s">
        <v>4</v>
      </c>
      <c r="C2976" s="2" t="str">
        <f ca="1">IFERROR(__xludf.DUMMYFUNCTION("GOOGLETRANSLATE(A2976,""bn"",""en"")"),"Makeup brushes can be used in a variety of ways")</f>
        <v>Makeup brushes can be used in a variety of ways</v>
      </c>
    </row>
    <row r="2977" spans="1:3" ht="15.75" customHeight="1" x14ac:dyDescent="0.25">
      <c r="A2977" s="2" t="s">
        <v>2979</v>
      </c>
      <c r="B2977" s="3" t="s">
        <v>2</v>
      </c>
      <c r="C2977" s="2" t="str">
        <f ca="1">IFERROR(__xludf.DUMMYFUNCTION("GOOGLETRANSLATE(A2977,""bn"",""en"")"),"Maybe it won't reduce the warmth")</f>
        <v>Maybe it won't reduce the warmth</v>
      </c>
    </row>
    <row r="2978" spans="1:3" ht="15.75" customHeight="1" x14ac:dyDescent="0.25">
      <c r="A2978" s="2" t="s">
        <v>2980</v>
      </c>
      <c r="B2978" s="3" t="s">
        <v>6</v>
      </c>
      <c r="C2978" s="2" t="str">
        <f ca="1">IFERROR(__xludf.DUMMYFUNCTION("GOOGLETRANSLATE(A2978,""bn"",""en"")"),"The LED indicator is very dim making it difficult to see in bright environments")</f>
        <v>The LED indicator is very dim making it difficult to see in bright environments</v>
      </c>
    </row>
    <row r="2979" spans="1:3" ht="15.75" customHeight="1" x14ac:dyDescent="0.25">
      <c r="A2979" s="2" t="s">
        <v>2981</v>
      </c>
      <c r="B2979" s="3" t="s">
        <v>6</v>
      </c>
      <c r="C2979" s="2" t="str">
        <f ca="1">IFERROR(__xludf.DUMMYFUNCTION("GOOGLETRANSLATE(A2979,""bn"",""en"")"),"Wardrobe assembly hardware is flimsy and tends to strip, making it difficult to assemble pieces properly.")</f>
        <v>Wardrobe assembly hardware is flimsy and tends to strip, making it difficult to assemble pieces properly.</v>
      </c>
    </row>
    <row r="2980" spans="1:3" ht="15.75" customHeight="1" x14ac:dyDescent="0.25">
      <c r="A2980" s="2" t="s">
        <v>2982</v>
      </c>
      <c r="B2980" s="3" t="s">
        <v>6</v>
      </c>
      <c r="C2980" s="2" t="str">
        <f ca="1">IFERROR(__xludf.DUMMYFUNCTION("GOOGLETRANSLATE(A2980,""bn"",""en"")"),"Makeup remover wipes leave an oily residue on the skin that causes breakouts")</f>
        <v>Makeup remover wipes leave an oily residue on the skin that causes breakouts</v>
      </c>
    </row>
    <row r="2981" spans="1:3" ht="15.75" customHeight="1" x14ac:dyDescent="0.25">
      <c r="A2981" s="2" t="s">
        <v>2983</v>
      </c>
      <c r="B2981" s="3" t="s">
        <v>2</v>
      </c>
      <c r="C2981" s="2" t="str">
        <f ca="1">IFERROR(__xludf.DUMMYFUNCTION("GOOGLETRANSLATE(A2981,""bn"",""en"")"),"Paper quality is good but printing errors are noticeable at places")</f>
        <v>Paper quality is good but printing errors are noticeable at places</v>
      </c>
    </row>
    <row r="2982" spans="1:3" ht="15.75" customHeight="1" x14ac:dyDescent="0.25">
      <c r="A2982" s="2" t="s">
        <v>2984</v>
      </c>
      <c r="B2982" s="3" t="s">
        <v>2</v>
      </c>
      <c r="C2982" s="2" t="str">
        <f ca="1">IFERROR(__xludf.DUMMYFUNCTION("GOOGLETRANSLATE(A2982,""bn"",""en"")"),"A slight difference in the taste of two consecutive batches was observed")</f>
        <v>A slight difference in the taste of two consecutive batches was observed</v>
      </c>
    </row>
    <row r="2983" spans="1:3" ht="15.75" customHeight="1" x14ac:dyDescent="0.25">
      <c r="A2983" s="2" t="s">
        <v>2985</v>
      </c>
      <c r="B2983" s="3" t="s">
        <v>6</v>
      </c>
      <c r="C2983" s="2" t="str">
        <f ca="1">IFERROR(__xludf.DUMMYFUNCTION("GOOGLETRANSLATE(A2983,""bn"",""en"")"),"Portable fan battery life requires less frequent recharging")</f>
        <v>Portable fan battery life requires less frequent recharging</v>
      </c>
    </row>
    <row r="2984" spans="1:3" ht="15.75" customHeight="1" x14ac:dyDescent="0.25">
      <c r="A2984" s="2" t="s">
        <v>2986</v>
      </c>
      <c r="B2984" s="3" t="s">
        <v>4</v>
      </c>
      <c r="C2984" s="2" t="str">
        <f ca="1">IFERROR(__xludf.DUMMYFUNCTION("GOOGLETRANSLATE(A2984,""bn"",""en"")"),"The body of the speaker is very sturdy, but nothing happens if it is accidentally dropped")</f>
        <v>The body of the speaker is very sturdy, but nothing happens if it is accidentally dropped</v>
      </c>
    </row>
    <row r="2985" spans="1:3" ht="15.75" customHeight="1" x14ac:dyDescent="0.25">
      <c r="A2985" s="2" t="s">
        <v>2987</v>
      </c>
      <c r="B2985" s="3" t="s">
        <v>4</v>
      </c>
      <c r="C2985" s="2" t="str">
        <f ca="1">IFERROR(__xludf.DUMMYFUNCTION("GOOGLETRANSLATE(A2985,""bn"",""en"")"),"The foundation blends very well on the face")</f>
        <v>The foundation blends very well on the face</v>
      </c>
    </row>
    <row r="2986" spans="1:3" ht="15.75" customHeight="1" x14ac:dyDescent="0.25">
      <c r="A2986" s="2" t="s">
        <v>2988</v>
      </c>
      <c r="B2986" s="3" t="s">
        <v>2</v>
      </c>
      <c r="C2986" s="2" t="str">
        <f ca="1">IFERROR(__xludf.DUMMYFUNCTION("GOOGLETRANSLATE(A2986,""bn"",""en"")"),"Football gear packs are comfortable but less space-saving")</f>
        <v>Football gear packs are comfortable but less space-saving</v>
      </c>
    </row>
    <row r="2987" spans="1:3" ht="15.75" customHeight="1" x14ac:dyDescent="0.25">
      <c r="A2987" s="2" t="s">
        <v>2989</v>
      </c>
      <c r="B2987" s="3" t="s">
        <v>6</v>
      </c>
      <c r="C2987" s="2" t="str">
        <f ca="1">IFERROR(__xludf.DUMMYFUNCTION("GOOGLETRANSLATE(A2987,""bn"",""en"")"),"The bed frame is poorly designed with sharp edges that pose a safety hazard to children and pets")</f>
        <v>The bed frame is poorly designed with sharp edges that pose a safety hazard to children and pets</v>
      </c>
    </row>
    <row r="2988" spans="1:3" ht="15.75" customHeight="1" x14ac:dyDescent="0.25">
      <c r="A2988" s="2" t="s">
        <v>2990</v>
      </c>
      <c r="B2988" s="3" t="s">
        <v>6</v>
      </c>
      <c r="C2988" s="2" t="str">
        <f ca="1">IFERROR(__xludf.DUMMYFUNCTION("GOOGLETRANSLATE(A2988,""bn"",""en"")"),"The boxed rice pilaf had a sticky texture and artificial flavor that lacked the aroma of freshly cooked rice")</f>
        <v>The boxed rice pilaf had a sticky texture and artificial flavor that lacked the aroma of freshly cooked rice</v>
      </c>
    </row>
    <row r="2989" spans="1:3" ht="15.75" customHeight="1" x14ac:dyDescent="0.25">
      <c r="A2989" s="2" t="s">
        <v>2991</v>
      </c>
      <c r="B2989" s="3" t="s">
        <v>4</v>
      </c>
      <c r="C2989" s="2" t="str">
        <f ca="1">IFERROR(__xludf.DUMMYFUNCTION("GOOGLETRANSLATE(A2989,""bn"",""en"")"),"The child is very happy with his new toy")</f>
        <v>The child is very happy with his new toy</v>
      </c>
    </row>
    <row r="2990" spans="1:3" ht="15.75" customHeight="1" x14ac:dyDescent="0.25">
      <c r="A2990" s="2" t="s">
        <v>2992</v>
      </c>
      <c r="B2990" s="3" t="s">
        <v>4</v>
      </c>
      <c r="C2990" s="2" t="str">
        <f ca="1">IFERROR(__xludf.DUMMYFUNCTION("GOOGLETRANSLATE(A2990,""bn"",""en"")"),"The color used on the inside of the cupboard makes the books look more beautiful")</f>
        <v>The color used on the inside of the cupboard makes the books look more beautiful</v>
      </c>
    </row>
    <row r="2991" spans="1:3" ht="15.75" customHeight="1" x14ac:dyDescent="0.25">
      <c r="A2991" s="2" t="s">
        <v>2993</v>
      </c>
      <c r="B2991" s="3" t="s">
        <v>4</v>
      </c>
      <c r="C2991" s="2" t="str">
        <f ca="1">IFERROR(__xludf.DUMMYFUNCTION("GOOGLETRANSLATE(A2991,""bn"",""en"")"),"You will feel happy after using this body wash")</f>
        <v>You will feel happy after using this body wash</v>
      </c>
    </row>
    <row r="2992" spans="1:3" ht="15.75" customHeight="1" x14ac:dyDescent="0.25">
      <c r="A2992" s="2" t="s">
        <v>2994</v>
      </c>
      <c r="B2992" s="3" t="s">
        <v>6</v>
      </c>
      <c r="C2992" s="2" t="str">
        <f ca="1">IFERROR(__xludf.DUMMYFUNCTION("GOOGLETRANSLATE(A2992,""bn"",""en"")"),"Uncomfortable and poorly packaged ")</f>
        <v xml:space="preserve">Uncomfortable and poorly packaged </v>
      </c>
    </row>
    <row r="2993" spans="1:3" ht="15.75" customHeight="1" x14ac:dyDescent="0.25">
      <c r="A2993" s="2" t="s">
        <v>2995</v>
      </c>
      <c r="B2993" s="3" t="s">
        <v>4</v>
      </c>
      <c r="C2993" s="2" t="str">
        <f ca="1">IFERROR(__xludf.DUMMYFUNCTION("GOOGLETRANSLATE(A2993,""bn"",""en"")"),"The top of each piece is extremely smooth and scratch resistant")</f>
        <v>The top of each piece is extremely smooth and scratch resistant</v>
      </c>
    </row>
    <row r="2994" spans="1:3" ht="15.75" customHeight="1" x14ac:dyDescent="0.25">
      <c r="A2994" s="2" t="s">
        <v>2996</v>
      </c>
      <c r="B2994" s="3" t="s">
        <v>4</v>
      </c>
      <c r="C2994" s="2" t="str">
        <f ca="1">IFERROR(__xludf.DUMMYFUNCTION("GOOGLETRANSLATE(A2994,""bn"",""en"")"),"The watch shows the time very comfortably")</f>
        <v>The watch shows the time very comfortably</v>
      </c>
    </row>
    <row r="2995" spans="1:3" ht="15.75" customHeight="1" x14ac:dyDescent="0.25">
      <c r="A2995" s="2" t="s">
        <v>2997</v>
      </c>
      <c r="B2995" s="3" t="s">
        <v>4</v>
      </c>
      <c r="C2995" s="2" t="str">
        <f ca="1">IFERROR(__xludf.DUMMYFUNCTION("GOOGLETRANSLATE(A2995,""bn"",""en"")"),"Every time I drink this coffee I am filled with new energy")</f>
        <v>Every time I drink this coffee I am filled with new energy</v>
      </c>
    </row>
    <row r="2996" spans="1:3" ht="15.75" customHeight="1" x14ac:dyDescent="0.25">
      <c r="A2996" s="2" t="s">
        <v>2998</v>
      </c>
      <c r="B2996" s="3" t="s">
        <v>2</v>
      </c>
      <c r="C2996" s="2" t="str">
        <f ca="1">IFERROR(__xludf.DUMMYFUNCTION("GOOGLETRANSLATE(A2996,""bn"",""en"")"),"The content is educational although some parts are repetitive")</f>
        <v>The content is educational although some parts are repetitive</v>
      </c>
    </row>
    <row r="2997" spans="1:3" ht="15.75" customHeight="1" x14ac:dyDescent="0.25">
      <c r="A2997" s="2" t="s">
        <v>2999</v>
      </c>
      <c r="B2997" s="3" t="s">
        <v>2</v>
      </c>
      <c r="C2997" s="2" t="str">
        <f ca="1">IFERROR(__xludf.DUMMYFUNCTION("GOOGLETRANSLATE(A2997,""bn"",""en"")"),"It can be placed at the entrance")</f>
        <v>It can be placed at the entrance</v>
      </c>
    </row>
    <row r="2998" spans="1:3" ht="15.75" customHeight="1" x14ac:dyDescent="0.25">
      <c r="A2998" s="2" t="s">
        <v>3000</v>
      </c>
      <c r="B2998" s="3" t="s">
        <v>2</v>
      </c>
      <c r="C2998" s="2" t="str">
        <f ca="1">IFERROR(__xludf.DUMMYFUNCTION("GOOGLETRANSLATE(A2998,""bn"",""en"")"),"Can be used wet if necessary")</f>
        <v>Can be used wet if necessary</v>
      </c>
    </row>
    <row r="2999" spans="1:3" ht="15.75" customHeight="1" x14ac:dyDescent="0.25">
      <c r="A2999" s="2" t="s">
        <v>3001</v>
      </c>
      <c r="B2999" s="3" t="s">
        <v>6</v>
      </c>
      <c r="C2999" s="2" t="str">
        <f ca="1">IFERROR(__xludf.DUMMYFUNCTION("GOOGLETRANSLATE(A2999,""bn"",""en"")")," There were and their main ones were lack of freshness and taste")</f>
        <v xml:space="preserve"> There were and their main ones were lack of freshness and taste</v>
      </c>
    </row>
    <row r="3000" spans="1:3" ht="15.75" customHeight="1" x14ac:dyDescent="0.25">
      <c r="A3000" s="2" t="s">
        <v>3002</v>
      </c>
      <c r="B3000" s="3" t="s">
        <v>2</v>
      </c>
      <c r="C3000" s="2" t="str">
        <f ca="1">IFERROR(__xludf.DUMMYFUNCTION("GOOGLETRANSLATE(A3000,""bn"",""en"")"),"Price is not the only determinant of product reliability")</f>
        <v>Price is not the only determinant of product reliability</v>
      </c>
    </row>
    <row r="3001" spans="1:3" ht="15.75" customHeight="1" x14ac:dyDescent="0.25">
      <c r="A3001" s="2" t="s">
        <v>3003</v>
      </c>
      <c r="B3001" s="3" t="s">
        <v>2</v>
      </c>
      <c r="C3001" s="2" t="str">
        <f ca="1">IFERROR(__xludf.DUMMYFUNCTION("GOOGLETRANSLATE(A3001,""bn"",""en"")"),"The color is quite nice")</f>
        <v>The color is quite nice</v>
      </c>
    </row>
    <row r="3002" spans="1:3" ht="15.75" customHeight="1" x14ac:dyDescent="0.25">
      <c r="A3002" s="2" t="s">
        <v>3004</v>
      </c>
      <c r="B3002" s="3" t="s">
        <v>4</v>
      </c>
      <c r="C3002" s="2" t="str">
        <f ca="1">IFERROR(__xludf.DUMMYFUNCTION("GOOGLETRANSLATE(A3002,""bn"",""en"")"),"The wireless charging feature of the device is very convenient")</f>
        <v>The wireless charging feature of the device is very convenient</v>
      </c>
    </row>
    <row r="3003" spans="1:3" ht="15.75" customHeight="1" x14ac:dyDescent="0.25">
      <c r="A3003" s="2" t="s">
        <v>3005</v>
      </c>
      <c r="B3003" s="3" t="s">
        <v>4</v>
      </c>
      <c r="C3003" s="2" t="str">
        <f ca="1">IFERROR(__xludf.DUMMYFUNCTION("GOOGLETRANSLATE(A3003,""bn"",""en"")"),"The plastic flower is safe for children")</f>
        <v>The plastic flower is safe for children</v>
      </c>
    </row>
    <row r="3004" spans="1:3" ht="15.75" customHeight="1" x14ac:dyDescent="0.25">
      <c r="A3004" s="2" t="s">
        <v>3006</v>
      </c>
      <c r="B3004" s="3" t="s">
        <v>2</v>
      </c>
      <c r="C3004" s="2" t="str">
        <f ca="1">IFERROR(__xludf.DUMMYFUNCTION("GOOGLETRANSLATE(A3004,""bn"",""en"")"),"Design is attractive but problem after wash")</f>
        <v>Design is attractive but problem after wash</v>
      </c>
    </row>
    <row r="3005" spans="1:3" ht="15.75" customHeight="1" x14ac:dyDescent="0.25">
      <c r="A3005" s="2" t="s">
        <v>3007</v>
      </c>
      <c r="B3005" s="3" t="s">
        <v>6</v>
      </c>
      <c r="C3005" s="2" t="str">
        <f ca="1">IFERROR(__xludf.DUMMYFUNCTION("GOOGLETRANSLATE(A3005,""bn"",""en"")"),"Solar powered outdoor fan blades are too small for insufficient airflow")</f>
        <v>Solar powered outdoor fan blades are too small for insufficient airflow</v>
      </c>
    </row>
    <row r="3006" spans="1:3" ht="15.75" customHeight="1" x14ac:dyDescent="0.25">
      <c r="A3006" s="2" t="s">
        <v>3008</v>
      </c>
      <c r="B3006" s="3" t="s">
        <v>4</v>
      </c>
      <c r="C3006" s="2" t="str">
        <f ca="1">IFERROR(__xludf.DUMMYFUNCTION("GOOGLETRANSLATE(A3006,""bn"",""en"")"),"Each product in the kit blends easily into the skin")</f>
        <v>Each product in the kit blends easily into the skin</v>
      </c>
    </row>
    <row r="3007" spans="1:3" ht="15.75" customHeight="1" x14ac:dyDescent="0.25">
      <c r="A3007" s="2" t="s">
        <v>3009</v>
      </c>
      <c r="B3007" s="3" t="s">
        <v>4</v>
      </c>
      <c r="C3007" s="2" t="str">
        <f ca="1">IFERROR(__xludf.DUMMYFUNCTION("GOOGLETRANSLATE(A3007,""bn"",""en"")"),"The colors on my new phone screen are very bright")</f>
        <v>The colors on my new phone screen are very bright</v>
      </c>
    </row>
    <row r="3008" spans="1:3" ht="15.75" customHeight="1" x14ac:dyDescent="0.25">
      <c r="A3008" s="2" t="s">
        <v>3010</v>
      </c>
      <c r="B3008" s="3" t="s">
        <v>4</v>
      </c>
      <c r="C3008" s="2" t="str">
        <f ca="1">IFERROR(__xludf.DUMMYFUNCTION("GOOGLETRANSLATE(A3008,""bn"",""en"")"),"Cheap and effective")</f>
        <v>Cheap and effective</v>
      </c>
    </row>
    <row r="3009" spans="1:3" ht="15.75" customHeight="1" x14ac:dyDescent="0.25">
      <c r="A3009" s="2" t="s">
        <v>3011</v>
      </c>
      <c r="B3009" s="3" t="s">
        <v>2</v>
      </c>
      <c r="C3009" s="2" t="str">
        <f ca="1">IFERROR(__xludf.DUMMYFUNCTION("GOOGLETRANSLATE(A3009,""bn"",""en"")"),"The packaging is ok but a bit heavy on the taste")</f>
        <v>The packaging is ok but a bit heavy on the taste</v>
      </c>
    </row>
    <row r="3010" spans="1:3" ht="15.75" customHeight="1" x14ac:dyDescent="0.25">
      <c r="A3010" s="2" t="s">
        <v>3012</v>
      </c>
      <c r="B3010" s="3" t="s">
        <v>4</v>
      </c>
      <c r="C3010" s="2" t="str">
        <f ca="1">IFERROR(__xludf.DUMMYFUNCTION("GOOGLETRANSLATE(A3010,""bn"",""en"")"),"The headphone cushions are comfortable for long periods of time")</f>
        <v>The headphone cushions are comfortable for long periods of time</v>
      </c>
    </row>
    <row r="3011" spans="1:3" ht="15.75" customHeight="1" x14ac:dyDescent="0.25">
      <c r="A3011" s="2" t="s">
        <v>3013</v>
      </c>
      <c r="B3011" s="3" t="s">
        <v>6</v>
      </c>
      <c r="C3011" s="2" t="str">
        <f ca="1">IFERROR(__xludf.DUMMYFUNCTION("GOOGLETRANSLATE(A3011,""bn"",""en"")")," The filling of the feeding pillow is lumpy, making it uncomfortable for the baby to sleep on")</f>
        <v xml:space="preserve"> The filling of the feeding pillow is lumpy, making it uncomfortable for the baby to sleep on</v>
      </c>
    </row>
    <row r="3012" spans="1:3" ht="15.75" customHeight="1" x14ac:dyDescent="0.25">
      <c r="A3012" s="2" t="s">
        <v>3014</v>
      </c>
      <c r="B3012" s="3" t="s">
        <v>4</v>
      </c>
      <c r="C3012" s="2" t="str">
        <f ca="1">IFERROR(__xludf.DUMMYFUNCTION("GOOGLETRANSLATE(A3012,""bn"",""en"")"),"The build quality of the mobile is strong and durable")</f>
        <v>The build quality of the mobile is strong and durable</v>
      </c>
    </row>
    <row r="3013" spans="1:3" ht="15.75" customHeight="1" x14ac:dyDescent="0.25">
      <c r="A3013" s="2" t="s">
        <v>3015</v>
      </c>
      <c r="B3013" s="3" t="s">
        <v>4</v>
      </c>
      <c r="C3013" s="2" t="str">
        <f ca="1">IFERROR(__xludf.DUMMYFUNCTION("GOOGLETRANSLATE(A3013,""bn"",""en"")"),"This air conditioner is suitable for cool air")</f>
        <v>This air conditioner is suitable for cool air</v>
      </c>
    </row>
    <row r="3014" spans="1:3" ht="15.75" customHeight="1" x14ac:dyDescent="0.25">
      <c r="A3014" s="2" t="s">
        <v>3016</v>
      </c>
      <c r="B3014" s="3" t="s">
        <v>6</v>
      </c>
      <c r="C3014" s="2" t="str">
        <f ca="1">IFERROR(__xludf.DUMMYFUNCTION("GOOGLETRANSLATE(A3014,""bn"",""en"")"),"  Time will tell if the zippers work smoothly and last")</f>
        <v xml:space="preserve">  Time will tell if the zippers work smoothly and last</v>
      </c>
    </row>
    <row r="3015" spans="1:3" ht="15.75" customHeight="1" x14ac:dyDescent="0.25">
      <c r="A3015" s="2" t="s">
        <v>3017</v>
      </c>
      <c r="B3015" s="3" t="s">
        <v>2</v>
      </c>
      <c r="C3015" s="2" t="str">
        <f ca="1">IFERROR(__xludf.DUMMYFUNCTION("GOOGLETRANSLATE(A3015,""bn"",""en"")"),"Light weight but feels unstable because of it")</f>
        <v>Light weight but feels unstable because of it</v>
      </c>
    </row>
    <row r="3016" spans="1:3" ht="15.75" customHeight="1" x14ac:dyDescent="0.25">
      <c r="A3016" s="2" t="s">
        <v>3018</v>
      </c>
      <c r="B3016" s="3" t="s">
        <v>4</v>
      </c>
      <c r="C3016" s="2" t="str">
        <f ca="1">IFERROR(__xludf.DUMMYFUNCTION("GOOGLETRANSLATE(A3016,""bn"",""en"")"),"Nice headset great product very nice")</f>
        <v>Nice headset great product very nice</v>
      </c>
    </row>
    <row r="3017" spans="1:3" ht="15.75" customHeight="1" x14ac:dyDescent="0.25">
      <c r="A3017" s="2" t="s">
        <v>3019</v>
      </c>
      <c r="B3017" s="3" t="s">
        <v>6</v>
      </c>
      <c r="C3017" s="2" t="str">
        <f ca="1">IFERROR(__xludf.DUMMYFUNCTION("GOOGLETRANSLATE(A3017,""bn"",""en"")"),"The zippers keep getting stuck which makes it a hassle to access my devices and other essentials on the go")</f>
        <v>The zippers keep getting stuck which makes it a hassle to access my devices and other essentials on the go</v>
      </c>
    </row>
    <row r="3018" spans="1:3" ht="15.75" customHeight="1" x14ac:dyDescent="0.25">
      <c r="A3018" s="2" t="s">
        <v>3020</v>
      </c>
      <c r="B3018" s="3" t="s">
        <v>2</v>
      </c>
      <c r="C3018" s="2" t="str">
        <f ca="1">IFERROR(__xludf.DUMMYFUNCTION("GOOGLETRANSLATE(A3018,""bn"",""en"")"),"Not great but pretty good")</f>
        <v>Not great but pretty good</v>
      </c>
    </row>
    <row r="3019" spans="1:3" ht="15.75" customHeight="1" x14ac:dyDescent="0.25">
      <c r="A3019" s="2" t="s">
        <v>3021</v>
      </c>
      <c r="B3019" s="3" t="s">
        <v>2</v>
      </c>
      <c r="C3019" s="2" t="str">
        <f ca="1">IFERROR(__xludf.DUMMYFUNCTION("GOOGLETRANSLATE(A3019,""bn"",""en"")"),"Available in different shapes but all perform the same function")</f>
        <v>Available in different shapes but all perform the same function</v>
      </c>
    </row>
    <row r="3020" spans="1:3" ht="15.75" customHeight="1" x14ac:dyDescent="0.25">
      <c r="A3020" s="2" t="s">
        <v>3022</v>
      </c>
      <c r="B3020" s="3" t="s">
        <v>2</v>
      </c>
      <c r="C3020" s="2" t="str">
        <f ca="1">IFERROR(__xludf.DUMMYFUNCTION("GOOGLETRANSLATE(A3020,""bn"",""en"")"),"The dress is comfortable but the cut is not right")</f>
        <v>The dress is comfortable but the cut is not right</v>
      </c>
    </row>
    <row r="3021" spans="1:3" ht="15.75" customHeight="1" x14ac:dyDescent="0.25">
      <c r="A3021" s="2" t="s">
        <v>3023</v>
      </c>
      <c r="B3021" s="3" t="s">
        <v>2</v>
      </c>
      <c r="C3021" s="2" t="str">
        <f ca="1">IFERROR(__xludf.DUMMYFUNCTION("GOOGLETRANSLATE(A3021,""bn"",""en"")"),"The back of my organizer is used as a barrier to keep cats out with some limitations")</f>
        <v>The back of my organizer is used as a barrier to keep cats out with some limitations</v>
      </c>
    </row>
    <row r="3022" spans="1:3" ht="15.75" customHeight="1" x14ac:dyDescent="0.25">
      <c r="A3022" s="2" t="s">
        <v>3024</v>
      </c>
      <c r="B3022" s="3" t="s">
        <v>4</v>
      </c>
      <c r="C3022" s="2" t="str">
        <f ca="1">IFERROR(__xludf.DUMMYFUNCTION("GOOGLETRANSLATE(A3022,""bn"",""en"")"),"Provides high performance")</f>
        <v>Provides high performance</v>
      </c>
    </row>
    <row r="3023" spans="1:3" ht="15.75" customHeight="1" x14ac:dyDescent="0.25">
      <c r="A3023" s="2" t="s">
        <v>3025</v>
      </c>
      <c r="B3023" s="3" t="s">
        <v>6</v>
      </c>
      <c r="C3023" s="2" t="str">
        <f ca="1">IFERROR(__xludf.DUMMYFUNCTION("GOOGLETRANSLATE(A3023,""bn"",""en"")"),"The stiffness of the fabric restricts movement and does not make the garment wearable")</f>
        <v>The stiffness of the fabric restricts movement and does not make the garment wearable</v>
      </c>
    </row>
    <row r="3024" spans="1:3" ht="15.75" customHeight="1" x14ac:dyDescent="0.25">
      <c r="A3024" s="2" t="s">
        <v>3026</v>
      </c>
      <c r="B3024" s="3" t="s">
        <v>4</v>
      </c>
      <c r="C3024" s="2" t="str">
        <f ca="1">IFERROR(__xludf.DUMMYFUNCTION("GOOGLETRANSLATE(A3024,""bn"",""en"")"),"The handle of the umbrella is also comfortable to hold for long periods of time")</f>
        <v>The handle of the umbrella is also comfortable to hold for long periods of time</v>
      </c>
    </row>
    <row r="3025" spans="1:3" ht="15.75" customHeight="1" x14ac:dyDescent="0.25">
      <c r="A3025" s="2" t="s">
        <v>3027</v>
      </c>
      <c r="B3025" s="3" t="s">
        <v>4</v>
      </c>
      <c r="C3025" s="2" t="str">
        <f ca="1">IFERROR(__xludf.DUMMYFUNCTION("GOOGLETRANSLATE(A3025,""bn"",""en"")"),"Every chapter of the book is very interesting")</f>
        <v>Every chapter of the book is very interesting</v>
      </c>
    </row>
    <row r="3026" spans="1:3" ht="15.75" customHeight="1" x14ac:dyDescent="0.25">
      <c r="A3026" s="2" t="s">
        <v>3028</v>
      </c>
      <c r="B3026" s="3" t="s">
        <v>2</v>
      </c>
      <c r="C3026" s="2" t="str">
        <f ca="1">IFERROR(__xludf.DUMMYFUNCTION("GOOGLETRANSLATE(A3026,""bn"",""en"")"),"The color is typical with no interesting features")</f>
        <v>The color is typical with no interesting features</v>
      </c>
    </row>
    <row r="3027" spans="1:3" ht="15.75" customHeight="1" x14ac:dyDescent="0.25">
      <c r="A3027" s="2" t="s">
        <v>3029</v>
      </c>
      <c r="B3027" s="3" t="s">
        <v>4</v>
      </c>
      <c r="C3027" s="2" t="str">
        <f ca="1">IFERROR(__xludf.DUMMYFUNCTION("GOOGLETRANSLATE(A3027,""bn"",""en"")"),"In a word, amazing")</f>
        <v>In a word, amazing</v>
      </c>
    </row>
    <row r="3028" spans="1:3" ht="15.75" customHeight="1" x14ac:dyDescent="0.25">
      <c r="A3028" s="2" t="s">
        <v>3030</v>
      </c>
      <c r="B3028" s="3" t="s">
        <v>2</v>
      </c>
      <c r="C3028" s="2" t="str">
        <f ca="1">IFERROR(__xludf.DUMMYFUNCTION("GOOGLETRANSLATE(A3028,""bn"",""en"")"),"The color is bright but not quite natural")</f>
        <v>The color is bright but not quite natural</v>
      </c>
    </row>
    <row r="3029" spans="1:3" ht="15.75" customHeight="1" x14ac:dyDescent="0.25">
      <c r="A3029" s="2" t="s">
        <v>3031</v>
      </c>
      <c r="B3029" s="3" t="s">
        <v>2</v>
      </c>
      <c r="C3029" s="2" t="str">
        <f ca="1">IFERROR(__xludf.DUMMYFUNCTION("GOOGLETRANSLATE(A3029,""bn"",""en"")"),"The weave is fine and the packaging is fairly fine")</f>
        <v>The weave is fine and the packaging is fairly fine</v>
      </c>
    </row>
    <row r="3030" spans="1:3" ht="15.75" customHeight="1" x14ac:dyDescent="0.25">
      <c r="A3030" s="2" t="s">
        <v>3032</v>
      </c>
      <c r="B3030" s="3" t="s">
        <v>6</v>
      </c>
      <c r="C3030" s="2" t="str">
        <f ca="1">IFERROR(__xludf.DUMMYFUNCTION("GOOGLETRANSLATE(A3030,""bn"",""en"")"),"The combination mechanism of the bike lock is jammed preventing access to the bike")</f>
        <v>The combination mechanism of the bike lock is jammed preventing access to the bike</v>
      </c>
    </row>
    <row r="3031" spans="1:3" ht="15.75" customHeight="1" x14ac:dyDescent="0.25">
      <c r="A3031" s="2" t="s">
        <v>3033</v>
      </c>
      <c r="B3031" s="3" t="s">
        <v>6</v>
      </c>
      <c r="C3031" s="2" t="str">
        <f ca="1">IFERROR(__xludf.DUMMYFUNCTION("GOOGLETRANSLATE(A3031,""bn"",""en"")"),"Not very cute or fun")</f>
        <v>Not very cute or fun</v>
      </c>
    </row>
    <row r="3032" spans="1:3" ht="15.75" customHeight="1" x14ac:dyDescent="0.25">
      <c r="A3032" s="2" t="s">
        <v>3034</v>
      </c>
      <c r="B3032" s="3" t="s">
        <v>4</v>
      </c>
      <c r="C3032" s="2" t="str">
        <f ca="1">IFERROR(__xludf.DUMMYFUNCTION("GOOGLETRANSLATE(A3032,""bn"",""en"")"),"This body wash removes excess dead skin cells")</f>
        <v>This body wash removes excess dead skin cells</v>
      </c>
    </row>
    <row r="3033" spans="1:3" ht="15.75" customHeight="1" x14ac:dyDescent="0.25">
      <c r="A3033" s="2" t="s">
        <v>3035</v>
      </c>
      <c r="B3033" s="3" t="s">
        <v>2</v>
      </c>
      <c r="C3033" s="2" t="str">
        <f ca="1">IFERROR(__xludf.DUMMYFUNCTION("GOOGLETRANSLATE(A3033,""bn"",""en"")"),"A little big but quality sound and long battery life")</f>
        <v>A little big but quality sound and long battery life</v>
      </c>
    </row>
    <row r="3034" spans="1:3" ht="15.75" customHeight="1" x14ac:dyDescent="0.25">
      <c r="A3034" s="2" t="s">
        <v>3036</v>
      </c>
      <c r="B3034" s="3" t="s">
        <v>6</v>
      </c>
      <c r="C3034" s="2" t="str">
        <f ca="1">IFERROR(__xludf.DUMMYFUNCTION("GOOGLETRANSLATE(A3034,""bn"",""en"")"),"Unsightly limescale build-up ruins the look")</f>
        <v>Unsightly limescale build-up ruins the look</v>
      </c>
    </row>
    <row r="3035" spans="1:3" ht="15.75" customHeight="1" x14ac:dyDescent="0.25">
      <c r="A3035" s="2" t="s">
        <v>3037</v>
      </c>
      <c r="B3035" s="3" t="s">
        <v>2</v>
      </c>
      <c r="C3035" s="2" t="str">
        <f ca="1">IFERROR(__xludf.DUMMYFUNCTION("GOOGLETRANSLATE(A3035,""bn"",""en"")"),"Can be used dry or wet")</f>
        <v>Can be used dry or wet</v>
      </c>
    </row>
    <row r="3036" spans="1:3" ht="15.75" customHeight="1" x14ac:dyDescent="0.25">
      <c r="A3036" s="2" t="s">
        <v>3038</v>
      </c>
      <c r="B3036" s="3" t="s">
        <v>6</v>
      </c>
      <c r="C3036" s="2" t="str">
        <f ca="1">IFERROR(__xludf.DUMMYFUNCTION("GOOGLETRANSLATE(A3036,""bn"",""en"")")," Door latch mechanism is prone to jamming and requires manual intervention to open")</f>
        <v xml:space="preserve"> Door latch mechanism is prone to jamming and requires manual intervention to open</v>
      </c>
    </row>
    <row r="3037" spans="1:3" ht="15.75" customHeight="1" x14ac:dyDescent="0.25">
      <c r="A3037" s="2" t="s">
        <v>3039</v>
      </c>
      <c r="B3037" s="3" t="s">
        <v>6</v>
      </c>
      <c r="C3037" s="2" t="str">
        <f ca="1">IFERROR(__xludf.DUMMYFUNCTION("GOOGLETRANSLATE(A3037,""bn"",""en"")"),"Shrink after washing despite following instructions")</f>
        <v>Shrink after washing despite following instructions</v>
      </c>
    </row>
    <row r="3038" spans="1:3" ht="15.75" customHeight="1" x14ac:dyDescent="0.25">
      <c r="A3038" s="2" t="s">
        <v>3040</v>
      </c>
      <c r="B3038" s="3" t="s">
        <v>2</v>
      </c>
      <c r="C3038" s="2" t="str">
        <f ca="1">IFERROR(__xludf.DUMMYFUNCTION("GOOGLETRANSLATE(A3038,""bn"",""en"")"),"Glasses case is good but heavy")</f>
        <v>Glasses case is good but heavy</v>
      </c>
    </row>
    <row r="3039" spans="1:3" ht="15.75" customHeight="1" x14ac:dyDescent="0.25">
      <c r="A3039" s="2" t="s">
        <v>3041</v>
      </c>
      <c r="B3039" s="3" t="s">
        <v>6</v>
      </c>
      <c r="C3039" s="2" t="str">
        <f ca="1">IFERROR(__xludf.DUMMYFUNCTION("GOOGLETRANSLATE(A3039,""bn"",""en"")"),"Hemming detracts from the overall aesthetic by showing irregularities")</f>
        <v>Hemming detracts from the overall aesthetic by showing irregularities</v>
      </c>
    </row>
    <row r="3040" spans="1:3" ht="15.75" customHeight="1" x14ac:dyDescent="0.25">
      <c r="A3040" s="2" t="s">
        <v>3042</v>
      </c>
      <c r="B3040" s="3" t="s">
        <v>6</v>
      </c>
      <c r="C3040" s="2" t="str">
        <f ca="1">IFERROR(__xludf.DUMMYFUNCTION("GOOGLETRANSLATE(A3040,""bn"",""en"")"),"The minimalist design of the gadget was attractive but its lack of durability made it a short-term investment")</f>
        <v>The minimalist design of the gadget was attractive but its lack of durability made it a short-term investment</v>
      </c>
    </row>
    <row r="3041" spans="1:3" ht="15.75" customHeight="1" x14ac:dyDescent="0.25">
      <c r="A3041" s="2" t="s">
        <v>3043</v>
      </c>
      <c r="B3041" s="3" t="s">
        <v>2</v>
      </c>
      <c r="C3041" s="2" t="str">
        <f ca="1">IFERROR(__xludf.DUMMYFUNCTION("GOOGLETRANSLATE(A3041,""bn"",""en"")"),"The packaging is ordinary nothing special")</f>
        <v>The packaging is ordinary nothing special</v>
      </c>
    </row>
    <row r="3042" spans="1:3" ht="15.75" customHeight="1" x14ac:dyDescent="0.25">
      <c r="A3042" s="2" t="s">
        <v>3044</v>
      </c>
      <c r="B3042" s="3" t="s">
        <v>4</v>
      </c>
      <c r="C3042" s="2" t="str">
        <f ca="1">IFERROR(__xludf.DUMMYFUNCTION("GOOGLETRANSLATE(A3042,""bn"",""en"")"),"Enhances the beauty of other items in the house")</f>
        <v>Enhances the beauty of other items in the house</v>
      </c>
    </row>
    <row r="3043" spans="1:3" ht="15.75" customHeight="1" x14ac:dyDescent="0.25">
      <c r="A3043" s="2" t="s">
        <v>3045</v>
      </c>
      <c r="B3043" s="3" t="s">
        <v>4</v>
      </c>
      <c r="C3043" s="2" t="str">
        <f ca="1">IFERROR(__xludf.DUMMYFUNCTION("GOOGLETRANSLATE(A3043,""bn"",""en"")"),"Nice little camera")</f>
        <v>Nice little camera</v>
      </c>
    </row>
    <row r="3044" spans="1:3" ht="15.75" customHeight="1" x14ac:dyDescent="0.25">
      <c r="A3044" s="2" t="s">
        <v>3046</v>
      </c>
      <c r="B3044" s="3" t="s">
        <v>4</v>
      </c>
      <c r="C3044" s="2" t="str">
        <f ca="1">IFERROR(__xludf.DUMMYFUNCTION("GOOGLETRANSLATE(A3044,""bn"",""en"")"),"I can't understand the severity of winter")</f>
        <v>I can't understand the severity of winter</v>
      </c>
    </row>
    <row r="3045" spans="1:3" ht="15.75" customHeight="1" x14ac:dyDescent="0.25">
      <c r="A3045" s="2" t="s">
        <v>3047</v>
      </c>
      <c r="B3045" s="3" t="s">
        <v>6</v>
      </c>
      <c r="C3045" s="2" t="str">
        <f ca="1">IFERROR(__xludf.DUMMYFUNCTION("GOOGLETRANSLATE(A3045,""bn"",""en"")"),"The sounds of the toys were too loud, possibly damaging the children's hearing")</f>
        <v>The sounds of the toys were too loud, possibly damaging the children's hearing</v>
      </c>
    </row>
    <row r="3046" spans="1:3" ht="15.75" customHeight="1" x14ac:dyDescent="0.25">
      <c r="A3046" s="2" t="s">
        <v>3048</v>
      </c>
      <c r="B3046" s="3" t="s">
        <v>4</v>
      </c>
      <c r="C3046" s="2" t="str">
        <f ca="1">IFERROR(__xludf.DUMMYFUNCTION("GOOGLETRANSLATE(A3046,""bn"",""en"")"),"The child is very happy with his toy")</f>
        <v>The child is very happy with his toy</v>
      </c>
    </row>
    <row r="3047" spans="1:3" ht="15.75" customHeight="1" x14ac:dyDescent="0.25">
      <c r="A3047" s="2" t="s">
        <v>3049</v>
      </c>
      <c r="B3047" s="3" t="s">
        <v>2</v>
      </c>
      <c r="C3047" s="2" t="str">
        <f ca="1">IFERROR(__xludf.DUMMYFUNCTION("GOOGLETRANSLATE(A3047,""bn"",""en"")"),"May help improve sleep quality")</f>
        <v>May help improve sleep quality</v>
      </c>
    </row>
    <row r="3048" spans="1:3" ht="15.75" customHeight="1" x14ac:dyDescent="0.25">
      <c r="A3048" s="2" t="s">
        <v>3050</v>
      </c>
      <c r="B3048" s="3" t="s">
        <v>6</v>
      </c>
      <c r="C3048" s="2" t="str">
        <f ca="1">IFERROR(__xludf.DUMMYFUNCTION("GOOGLETRANSLATE(A3048,""bn"",""en"")")," The ear hooks are not adjustable which causes discomfort for users with different ear shapes or sizes")</f>
        <v xml:space="preserve"> The ear hooks are not adjustable which causes discomfort for users with different ear shapes or sizes</v>
      </c>
    </row>
    <row r="3049" spans="1:3" ht="15.75" customHeight="1" x14ac:dyDescent="0.25">
      <c r="A3049" s="2" t="s">
        <v>3051</v>
      </c>
      <c r="B3049" s="3" t="s">
        <v>4</v>
      </c>
      <c r="C3049" s="2" t="str">
        <f ca="1">IFERROR(__xludf.DUMMYFUNCTION("GOOGLETRANSLATE(A3049,""bn"",""en"")"),"The shelf size is very suitable for any room")</f>
        <v>The shelf size is very suitable for any room</v>
      </c>
    </row>
    <row r="3050" spans="1:3" ht="15.75" customHeight="1" x14ac:dyDescent="0.25">
      <c r="A3050" s="2" t="s">
        <v>3052</v>
      </c>
      <c r="B3050" s="3" t="s">
        <v>4</v>
      </c>
      <c r="C3050" s="2" t="str">
        <f ca="1">IFERROR(__xludf.DUMMYFUNCTION("GOOGLETRANSLATE(A3050,""bn"",""en"")"),"The girl looks very beautiful in the new skirt")</f>
        <v>The girl looks very beautiful in the new skirt</v>
      </c>
    </row>
    <row r="3051" spans="1:3" ht="15.75" customHeight="1" x14ac:dyDescent="0.25">
      <c r="A3051" s="2" t="s">
        <v>3053</v>
      </c>
      <c r="B3051" s="3" t="s">
        <v>4</v>
      </c>
      <c r="C3051" s="2" t="str">
        <f ca="1">IFERROR(__xludf.DUMMYFUNCTION("GOOGLETRANSLATE(A3051,""bn"",""en"")"),"The jewelery used in this ring is very standard")</f>
        <v>The jewelery used in this ring is very standard</v>
      </c>
    </row>
    <row r="3052" spans="1:3" ht="15.75" customHeight="1" x14ac:dyDescent="0.25">
      <c r="A3052" s="2" t="s">
        <v>3054</v>
      </c>
      <c r="B3052" s="3" t="s">
        <v>4</v>
      </c>
      <c r="C3052" s="2" t="str">
        <f ca="1">IFERROR(__xludf.DUMMYFUNCTION("GOOGLETRANSLATE(A3052,""bn"",""en"")"),"I especially like the formfitting feature of these pillows, they fit perfectly to the shape of my head and neck.")</f>
        <v>I especially like the formfitting feature of these pillows, they fit perfectly to the shape of my head and neck.</v>
      </c>
    </row>
    <row r="3053" spans="1:3" ht="15.75" customHeight="1" x14ac:dyDescent="0.25">
      <c r="A3053" s="2" t="s">
        <v>3055</v>
      </c>
      <c r="B3053" s="3" t="s">
        <v>6</v>
      </c>
      <c r="C3053" s="2" t="str">
        <f ca="1">IFERROR(__xludf.DUMMYFUNCTION("GOOGLETRANSLATE(A3053,""bn"",""en"")"),"This leaves it susceptible to damage from bumps and knocks")</f>
        <v>This leaves it susceptible to damage from bumps and knocks</v>
      </c>
    </row>
    <row r="3054" spans="1:3" ht="15.75" customHeight="1" x14ac:dyDescent="0.25">
      <c r="A3054" s="2" t="s">
        <v>3056</v>
      </c>
      <c r="B3054" s="3" t="s">
        <v>4</v>
      </c>
      <c r="C3054" s="2" t="str">
        <f ca="1">IFERROR(__xludf.DUMMYFUNCTION("GOOGLETRANSLATE(A3054,""bn"",""en"")"),"The size of the water bottle is very convenient")</f>
        <v>The size of the water bottle is very convenient</v>
      </c>
    </row>
    <row r="3055" spans="1:3" ht="15.75" customHeight="1" x14ac:dyDescent="0.25">
      <c r="A3055" s="2" t="s">
        <v>3057</v>
      </c>
      <c r="B3055" s="3" t="s">
        <v>2</v>
      </c>
      <c r="C3055" s="2" t="str">
        <f ca="1">IFERROR(__xludf.DUMMYFUNCTION("GOOGLETRANSLATE(A3055,""bn"",""en"")"),"The size of the book is quite convenient but the mallet is not very durable")</f>
        <v>The size of the book is quite convenient but the mallet is not very durable</v>
      </c>
    </row>
    <row r="3056" spans="1:3" ht="15.75" customHeight="1" x14ac:dyDescent="0.25">
      <c r="A3056" s="2" t="s">
        <v>3058</v>
      </c>
      <c r="B3056" s="3" t="s">
        <v>2</v>
      </c>
      <c r="C3056" s="2" t="str">
        <f ca="1">IFERROR(__xludf.DUMMYFUNCTION("GOOGLETRANSLATE(A3056,""bn"",""en"")"),"The hot drink is quite tasty but can be very strong")</f>
        <v>The hot drink is quite tasty but can be very strong</v>
      </c>
    </row>
    <row r="3057" spans="1:3" ht="15.75" customHeight="1" x14ac:dyDescent="0.25">
      <c r="A3057" s="2" t="s">
        <v>3059</v>
      </c>
      <c r="B3057" s="3" t="s">
        <v>4</v>
      </c>
      <c r="C3057" s="2" t="str">
        <f ca="1">IFERROR(__xludf.DUMMYFUNCTION("GOOGLETRANSLATE(A3057,""bn"",""en"")"),"The coffee maker works quickly and efficiently")</f>
        <v>The coffee maker works quickly and efficiently</v>
      </c>
    </row>
    <row r="3058" spans="1:3" ht="15.75" customHeight="1" x14ac:dyDescent="0.25">
      <c r="A3058" s="2" t="s">
        <v>3060</v>
      </c>
      <c r="B3058" s="3" t="s">
        <v>4</v>
      </c>
      <c r="C3058" s="2" t="str">
        <f ca="1">IFERROR(__xludf.DUMMYFUNCTION("GOOGLETRANSLATE(A3058,""bn"",""en"")"),"It really feels like you are in a luxury hotel bed")</f>
        <v>It really feels like you are in a luxury hotel bed</v>
      </c>
    </row>
    <row r="3059" spans="1:3" ht="15.75" customHeight="1" x14ac:dyDescent="0.25">
      <c r="A3059" s="2" t="s">
        <v>3061</v>
      </c>
      <c r="B3059" s="3" t="s">
        <v>4</v>
      </c>
      <c r="C3059" s="2" t="str">
        <f ca="1">IFERROR(__xludf.DUMMYFUNCTION("GOOGLETRANSLATE(A3059,""bn"",""en"")"),"The fingerprint sensor of the device is very fast")</f>
        <v>The fingerprint sensor of the device is very fast</v>
      </c>
    </row>
    <row r="3060" spans="1:3" ht="15.75" customHeight="1" x14ac:dyDescent="0.25">
      <c r="A3060" s="2" t="s">
        <v>3062</v>
      </c>
      <c r="B3060" s="3" t="s">
        <v>2</v>
      </c>
      <c r="C3060" s="2" t="str">
        <f ca="1">IFERROR(__xludf.DUMMYFUNCTION("GOOGLETRANSLATE(A3060,""bn"",""en"")"),"Need unbiased information about quality")</f>
        <v>Need unbiased information about quality</v>
      </c>
    </row>
    <row r="3061" spans="1:3" ht="15.75" customHeight="1" x14ac:dyDescent="0.25">
      <c r="A3061" s="2" t="s">
        <v>3063</v>
      </c>
      <c r="B3061" s="3" t="s">
        <v>2</v>
      </c>
      <c r="C3061" s="2" t="str">
        <f ca="1">IFERROR(__xludf.DUMMYFUNCTION("GOOGLETRANSLATE(A3061,""bn"",""en"")"),"Works adequately, not flawlessly")</f>
        <v>Works adequately, not flawlessly</v>
      </c>
    </row>
    <row r="3062" spans="1:3" ht="15.75" customHeight="1" x14ac:dyDescent="0.25">
      <c r="A3062" s="2" t="s">
        <v>3064</v>
      </c>
      <c r="B3062" s="3" t="s">
        <v>6</v>
      </c>
      <c r="C3062" s="2" t="str">
        <f ca="1">IFERROR(__xludf.DUMMYFUNCTION("GOOGLETRANSLATE(A3062,""bn"",""en"")"),"Cheaply made crooks are not worth it")</f>
        <v>Cheaply made crooks are not worth it</v>
      </c>
    </row>
    <row r="3063" spans="1:3" ht="15.75" customHeight="1" x14ac:dyDescent="0.25">
      <c r="A3063" s="2" t="s">
        <v>3065</v>
      </c>
      <c r="B3063" s="3" t="s">
        <v>6</v>
      </c>
      <c r="C3063" s="2" t="str">
        <f ca="1">IFERROR(__xludf.DUMMYFUNCTION("GOOGLETRANSLATE(A3063,""bn"",""en"")"),"Air purifier does not freshen the air by emitting a bad smell")</f>
        <v>Air purifier does not freshen the air by emitting a bad smell</v>
      </c>
    </row>
    <row r="3064" spans="1:3" ht="15.75" customHeight="1" x14ac:dyDescent="0.25">
      <c r="A3064" s="2" t="s">
        <v>3066</v>
      </c>
      <c r="B3064" s="3" t="s">
        <v>4</v>
      </c>
      <c r="C3064" s="2" t="str">
        <f ca="1">IFERROR(__xludf.DUMMYFUNCTION("GOOGLETRANSLATE(A3064,""bn"",""en"")"),"Every page was very interesting")</f>
        <v>Every page was very interesting</v>
      </c>
    </row>
    <row r="3065" spans="1:3" ht="15.75" customHeight="1" x14ac:dyDescent="0.25">
      <c r="A3065" s="2" t="s">
        <v>3067</v>
      </c>
      <c r="B3065" s="3" t="s">
        <v>4</v>
      </c>
      <c r="C3065" s="2" t="str">
        <f ca="1">IFERROR(__xludf.DUMMYFUNCTION("GOOGLETRANSLATE(A3065,""bn"",""en"")"),"I am getting many benefits by using it daily")</f>
        <v>I am getting many benefits by using it daily</v>
      </c>
    </row>
    <row r="3066" spans="1:3" ht="15.75" customHeight="1" x14ac:dyDescent="0.25">
      <c r="A3066" s="2" t="s">
        <v>3068</v>
      </c>
      <c r="B3066" s="3" t="s">
        <v>2</v>
      </c>
      <c r="C3066" s="2" t="str">
        <f ca="1">IFERROR(__xludf.DUMMYFUNCTION("GOOGLETRANSLATE(A3066,""bn"",""en"")"),"The material is soft but the color has faded after washing")</f>
        <v>The material is soft but the color has faded after washing</v>
      </c>
    </row>
    <row r="3067" spans="1:3" ht="15.75" customHeight="1" x14ac:dyDescent="0.25">
      <c r="A3067" s="2" t="s">
        <v>3069</v>
      </c>
      <c r="B3067" s="3" t="s">
        <v>4</v>
      </c>
      <c r="C3067" s="2" t="str">
        <f ca="1">IFERROR(__xludf.DUMMYFUNCTION("GOOGLETRANSLATE(A3067,""bn"",""en"")"),"Attracts the attention of guests and garners praise")</f>
        <v>Attracts the attention of guests and garners praise</v>
      </c>
    </row>
    <row r="3068" spans="1:3" ht="15.75" customHeight="1" x14ac:dyDescent="0.25">
      <c r="A3068" s="2" t="s">
        <v>3070</v>
      </c>
      <c r="B3068" s="3" t="s">
        <v>6</v>
      </c>
      <c r="C3068" s="2" t="str">
        <f ca="1">IFERROR(__xludf.DUMMYFUNCTION("GOOGLETRANSLATE(A3068,""bn"",""en"")"),"The packaging did not provide information about the origin or flavor profile of the coffee")</f>
        <v>The packaging did not provide information about the origin or flavor profile of the coffee</v>
      </c>
    </row>
    <row r="3069" spans="1:3" ht="15.75" customHeight="1" x14ac:dyDescent="0.25">
      <c r="A3069" s="2" t="s">
        <v>3071</v>
      </c>
      <c r="B3069" s="3" t="s">
        <v>6</v>
      </c>
      <c r="C3069" s="2" t="str">
        <f ca="1">IFERROR(__xludf.DUMMYFUNCTION("GOOGLETRANSLATE(A3069,""bn"",""en"")"),"  The design lacks versatility which limits its use in various occasions")</f>
        <v xml:space="preserve">  The design lacks versatility which limits its use in various occasions</v>
      </c>
    </row>
    <row r="3070" spans="1:3" ht="15.75" customHeight="1" x14ac:dyDescent="0.25">
      <c r="A3070" s="2" t="s">
        <v>3072</v>
      </c>
      <c r="B3070" s="3" t="s">
        <v>4</v>
      </c>
      <c r="C3070" s="2" t="str">
        <f ca="1">IFERROR(__xludf.DUMMYFUNCTION("GOOGLETRANSLATE(A3070,""bn"",""en"")"),"Every episode of this TV series is very interesting")</f>
        <v>Every episode of this TV series is very interesting</v>
      </c>
    </row>
    <row r="3071" spans="1:3" ht="15.75" customHeight="1" x14ac:dyDescent="0.25">
      <c r="A3071" s="2" t="s">
        <v>3073</v>
      </c>
      <c r="B3071" s="3" t="s">
        <v>6</v>
      </c>
      <c r="C3071" s="2" t="str">
        <f ca="1">IFERROR(__xludf.DUMMYFUNCTION("GOOGLETRANSLATE(A3071,""bn"",""en"")"),"In a pinch hardly works much better")</f>
        <v>In a pinch hardly works much better</v>
      </c>
    </row>
    <row r="3072" spans="1:3" ht="15.75" customHeight="1" x14ac:dyDescent="0.25">
      <c r="A3072" s="2" t="s">
        <v>3074</v>
      </c>
      <c r="B3072" s="3" t="s">
        <v>4</v>
      </c>
      <c r="C3072" s="2" t="str">
        <f ca="1">IFERROR(__xludf.DUMMYFUNCTION("GOOGLETRANSLATE(A3072,""bn"",""en"")"),"Works great especially for older computers")</f>
        <v>Works great especially for older computers</v>
      </c>
    </row>
    <row r="3073" spans="1:3" ht="15.75" customHeight="1" x14ac:dyDescent="0.25">
      <c r="A3073" s="2" t="s">
        <v>3075</v>
      </c>
      <c r="B3073" s="3" t="s">
        <v>4</v>
      </c>
      <c r="C3073" s="2" t="str">
        <f ca="1">IFERROR(__xludf.DUMMYFUNCTION("GOOGLETRANSLATE(A3073,""bn"",""en"")"),"Birds are always chirping in our garden")</f>
        <v>Birds are always chirping in our garden</v>
      </c>
    </row>
    <row r="3074" spans="1:3" ht="15.75" customHeight="1" x14ac:dyDescent="0.25">
      <c r="A3074" s="2" t="s">
        <v>3076</v>
      </c>
      <c r="B3074" s="3" t="s">
        <v>4</v>
      </c>
      <c r="C3074" s="2" t="str">
        <f ca="1">IFERROR(__xludf.DUMMYFUNCTION("GOOGLETRANSLATE(A3074,""bn"",""en"")"),"It is effective in any skin problem")</f>
        <v>It is effective in any skin problem</v>
      </c>
    </row>
    <row r="3075" spans="1:3" ht="15.75" customHeight="1" x14ac:dyDescent="0.25">
      <c r="A3075" s="2" t="s">
        <v>3077</v>
      </c>
      <c r="B3075" s="3" t="s">
        <v>2</v>
      </c>
      <c r="C3075" s="2" t="str">
        <f ca="1">IFERROR(__xludf.DUMMYFUNCTION("GOOGLETRANSLATE(A3075,""bn"",""en"")"),"Digital carpet cleaner removes dust but the tank is small")</f>
        <v>Digital carpet cleaner removes dust but the tank is small</v>
      </c>
    </row>
    <row r="3076" spans="1:3" ht="15.75" customHeight="1" x14ac:dyDescent="0.25">
      <c r="A3076" s="2" t="s">
        <v>3078</v>
      </c>
      <c r="B3076" s="3" t="s">
        <v>2</v>
      </c>
      <c r="C3076" s="2" t="str">
        <f ca="1">IFERROR(__xludf.DUMMYFUNCTION("GOOGLETRANSLATE(A3076,""bn"",""en"")"),"The rain cover of the backpack is a little difficult to fold")</f>
        <v>The rain cover of the backpack is a little difficult to fold</v>
      </c>
    </row>
    <row r="3077" spans="1:3" ht="15.75" customHeight="1" x14ac:dyDescent="0.25">
      <c r="A3077" s="2" t="s">
        <v>3079</v>
      </c>
      <c r="B3077" s="3" t="s">
        <v>4</v>
      </c>
      <c r="C3077" s="2" t="str">
        <f ca="1">IFERROR(__xludf.DUMMYFUNCTION("GOOGLETRANSLATE(A3077,""bn"",""en"")"),"Very impressive")</f>
        <v>Very impressive</v>
      </c>
    </row>
    <row r="3078" spans="1:3" ht="15.75" customHeight="1" x14ac:dyDescent="0.25">
      <c r="A3078" s="2" t="s">
        <v>3080</v>
      </c>
      <c r="B3078" s="3" t="s">
        <v>6</v>
      </c>
      <c r="C3078" s="2" t="str">
        <f ca="1">IFERROR(__xludf.DUMMYFUNCTION("GOOGLETRANSLATE(A3078,""bn"",""en"")"),"The texture of the canvas was rough and interesting")</f>
        <v>The texture of the canvas was rough and interesting</v>
      </c>
    </row>
    <row r="3079" spans="1:3" ht="15.75" customHeight="1" x14ac:dyDescent="0.25">
      <c r="A3079" s="2" t="s">
        <v>3081</v>
      </c>
      <c r="B3079" s="3" t="s">
        <v>6</v>
      </c>
      <c r="C3079" s="2" t="str">
        <f ca="1">IFERROR(__xludf.DUMMYFUNCTION("GOOGLETRANSLATE(A3079,""bn"",""en"")"),"Portable fan batteries quickly drain inefficient cooling")</f>
        <v>Portable fan batteries quickly drain inefficient cooling</v>
      </c>
    </row>
    <row r="3080" spans="1:3" ht="15.75" customHeight="1" x14ac:dyDescent="0.25">
      <c r="A3080" s="2" t="s">
        <v>3082</v>
      </c>
      <c r="B3080" s="3" t="s">
        <v>2</v>
      </c>
      <c r="C3080" s="2" t="str">
        <f ca="1">IFERROR(__xludf.DUMMYFUNCTION("GOOGLETRANSLATE(A3080,""bn"",""en"")"),"It is not quite suitable for oil pastels")</f>
        <v>It is not quite suitable for oil pastels</v>
      </c>
    </row>
    <row r="3081" spans="1:3" ht="15.75" customHeight="1" x14ac:dyDescent="0.25">
      <c r="A3081" s="2" t="s">
        <v>3083</v>
      </c>
      <c r="B3081" s="3" t="s">
        <v>4</v>
      </c>
      <c r="C3081" s="2" t="str">
        <f ca="1">IFERROR(__xludf.DUMMYFUNCTION("GOOGLETRANSLATE(A3081,""bn"",""en"")"),"I will order again")</f>
        <v>I will order again</v>
      </c>
    </row>
    <row r="3082" spans="1:3" ht="15.75" customHeight="1" x14ac:dyDescent="0.25">
      <c r="A3082" s="2" t="s">
        <v>3084</v>
      </c>
      <c r="B3082" s="3" t="s">
        <v>2</v>
      </c>
      <c r="C3082" s="2" t="str">
        <f ca="1">IFERROR(__xludf.DUMMYFUNCTION("GOOGLETRANSLATE(A3082,""bn"",""en"")"),"Good for fashion but cut is not good")</f>
        <v>Good for fashion but cut is not good</v>
      </c>
    </row>
    <row r="3083" spans="1:3" ht="15.75" customHeight="1" x14ac:dyDescent="0.25">
      <c r="A3083" s="2" t="s">
        <v>3085</v>
      </c>
      <c r="B3083" s="3" t="s">
        <v>6</v>
      </c>
      <c r="C3083" s="2" t="str">
        <f ca="1">IFERROR(__xludf.DUMMYFUNCTION("GOOGLETRANSLATE(A3083,""bn"",""en"")"),"Robotic pet feeders are unreliable by dispensing food at random times")</f>
        <v>Robotic pet feeders are unreliable by dispensing food at random times</v>
      </c>
    </row>
    <row r="3084" spans="1:3" ht="15.75" customHeight="1" x14ac:dyDescent="0.25">
      <c r="A3084" s="2" t="s">
        <v>3086</v>
      </c>
      <c r="B3084" s="3" t="s">
        <v>2</v>
      </c>
      <c r="C3084" s="2" t="str">
        <f ca="1">IFERROR(__xludf.DUMMYFUNCTION("GOOGLETRANSLATE(A3084,""bn"",""en"")"),"Can be used with one hand")</f>
        <v>Can be used with one hand</v>
      </c>
    </row>
    <row r="3085" spans="1:3" ht="15.75" customHeight="1" x14ac:dyDescent="0.25">
      <c r="A3085" s="2" t="s">
        <v>3087</v>
      </c>
      <c r="B3085" s="3" t="s">
        <v>6</v>
      </c>
      <c r="C3085" s="2" t="str">
        <f ca="1">IFERROR(__xludf.DUMMYFUNCTION("GOOGLETRANSLATE(A3085,""bn"",""en"")")," Using the onscreen keyboard was cumbersome, especially for entering passwords")</f>
        <v xml:space="preserve"> Using the onscreen keyboard was cumbersome, especially for entering passwords</v>
      </c>
    </row>
    <row r="3086" spans="1:3" ht="15.75" customHeight="1" x14ac:dyDescent="0.25">
      <c r="A3086" s="2" t="s">
        <v>3088</v>
      </c>
      <c r="B3086" s="3" t="s">
        <v>6</v>
      </c>
      <c r="C3086" s="2" t="str">
        <f ca="1">IFERROR(__xludf.DUMMYFUNCTION("GOOGLETRANSLATE(A3086,""bn"",""en"")"),"Inconsistent manufacturing quality leads to product defects")</f>
        <v>Inconsistent manufacturing quality leads to product defects</v>
      </c>
    </row>
    <row r="3087" spans="1:3" ht="15.75" customHeight="1" x14ac:dyDescent="0.25">
      <c r="A3087" s="2" t="s">
        <v>3089</v>
      </c>
      <c r="B3087" s="3" t="s">
        <v>2</v>
      </c>
      <c r="C3087" s="2" t="str">
        <f ca="1">IFERROR(__xludf.DUMMYFUNCTION("GOOGLETRANSLATE(A3087,""bn"",""en"")"),"Although crop growth was high, overall yield was not satisfactory")</f>
        <v>Although crop growth was high, overall yield was not satisfactory</v>
      </c>
    </row>
    <row r="3088" spans="1:3" ht="15.75" customHeight="1" x14ac:dyDescent="0.25">
      <c r="A3088" s="2" t="s">
        <v>3090</v>
      </c>
      <c r="B3088" s="3" t="s">
        <v>6</v>
      </c>
      <c r="C3088" s="2" t="str">
        <f ca="1">IFERROR(__xludf.DUMMYFUNCTION("GOOGLETRANSLATE(A3088,""bn"",""en"")"),"When multiple devices are connected together, the charging speed of the power bank slows down significantly")</f>
        <v>When multiple devices are connected together, the charging speed of the power bank slows down significantly</v>
      </c>
    </row>
    <row r="3089" spans="1:3" ht="15.75" customHeight="1" x14ac:dyDescent="0.25">
      <c r="A3089" s="2" t="s">
        <v>3091</v>
      </c>
      <c r="B3089" s="3" t="s">
        <v>6</v>
      </c>
      <c r="C3089" s="2" t="str">
        <f ca="1">IFERROR(__xludf.DUMMYFUNCTION("GOOGLETRANSLATE(A3089,""bn"",""en"")")," Stitches start to separate after a few weeks of use")</f>
        <v xml:space="preserve"> Stitches start to separate after a few weeks of use</v>
      </c>
    </row>
    <row r="3090" spans="1:3" ht="15.75" customHeight="1" x14ac:dyDescent="0.25">
      <c r="A3090" s="2" t="s">
        <v>3092</v>
      </c>
      <c r="B3090" s="3" t="s">
        <v>2</v>
      </c>
      <c r="C3090" s="2" t="str">
        <f ca="1">IFERROR(__xludf.DUMMYFUNCTION("GOOGLETRANSLATE(A3090,""bn"",""en"")"),"Quite sweet and savory but the lemon flavor didn't blend well")</f>
        <v>Quite sweet and savory but the lemon flavor didn't blend well</v>
      </c>
    </row>
    <row r="3091" spans="1:3" ht="15.75" customHeight="1" x14ac:dyDescent="0.25">
      <c r="A3091" s="2" t="s">
        <v>3093</v>
      </c>
      <c r="B3091" s="3" t="s">
        <v>4</v>
      </c>
      <c r="C3091" s="2" t="str">
        <f ca="1">IFERROR(__xludf.DUMMYFUNCTION("GOOGLETRANSLATE(A3091,""bn"",""en"")"),"The girl came first in the dance competition")</f>
        <v>The girl came first in the dance competition</v>
      </c>
    </row>
    <row r="3092" spans="1:3" ht="15.75" customHeight="1" x14ac:dyDescent="0.25">
      <c r="A3092" s="2" t="s">
        <v>3094</v>
      </c>
      <c r="B3092" s="3" t="s">
        <v>2</v>
      </c>
      <c r="C3092" s="2" t="str">
        <f ca="1">IFERROR(__xludf.DUMMYFUNCTION("GOOGLETRANSLATE(A3092,""bn"",""en"")"),"Does not stain the nails and is fairly effective")</f>
        <v>Does not stain the nails and is fairly effective</v>
      </c>
    </row>
    <row r="3093" spans="1:3" ht="15.75" customHeight="1" x14ac:dyDescent="0.25">
      <c r="A3093" s="2" t="s">
        <v>3095</v>
      </c>
      <c r="B3093" s="3" t="s">
        <v>6</v>
      </c>
      <c r="C3093" s="2" t="str">
        <f ca="1">IFERROR(__xludf.DUMMYFUNCTION("GOOGLETRANSLATE(A3093,""bn"",""en"")"),"A baby bathtub drain plug is difficult to remove as it makes it difficult to drain the water")</f>
        <v>A baby bathtub drain plug is difficult to remove as it makes it difficult to drain the water</v>
      </c>
    </row>
    <row r="3094" spans="1:3" ht="15.75" customHeight="1" x14ac:dyDescent="0.25">
      <c r="A3094" s="2" t="s">
        <v>3096</v>
      </c>
      <c r="B3094" s="3" t="s">
        <v>6</v>
      </c>
      <c r="C3094" s="2" t="str">
        <f ca="1">IFERROR(__xludf.DUMMYFUNCTION("GOOGLETRANSLATE(A3094,""bn"",""en"")"),"  The inner pockets are very shallow which causes things to fall out easily")</f>
        <v xml:space="preserve">  The inner pockets are very shallow which causes things to fall out easily</v>
      </c>
    </row>
    <row r="3095" spans="1:3" ht="15.75" customHeight="1" x14ac:dyDescent="0.25">
      <c r="A3095" s="2" t="s">
        <v>3097</v>
      </c>
      <c r="B3095" s="3" t="s">
        <v>2</v>
      </c>
      <c r="C3095" s="2" t="str">
        <f ca="1">IFERROR(__xludf.DUMMYFUNCTION("GOOGLETRANSLATE(A3095,""bn"",""en"")"),"Delicious but the drink is a little too artificial")</f>
        <v>Delicious but the drink is a little too artificial</v>
      </c>
    </row>
    <row r="3096" spans="1:3" ht="15.75" customHeight="1" x14ac:dyDescent="0.25">
      <c r="A3096" s="2" t="s">
        <v>3098</v>
      </c>
      <c r="B3096" s="3" t="s">
        <v>4</v>
      </c>
      <c r="C3096" s="2" t="str">
        <f ca="1">IFERROR(__xludf.DUMMYFUNCTION("GOOGLETRANSLATE(A3096,""bn"",""en"")"),"Good for car charging")</f>
        <v>Good for car charging</v>
      </c>
    </row>
    <row r="3097" spans="1:3" ht="15.75" customHeight="1" x14ac:dyDescent="0.25">
      <c r="A3097" s="2" t="s">
        <v>3099</v>
      </c>
      <c r="B3097" s="3" t="s">
        <v>6</v>
      </c>
      <c r="C3097" s="2" t="str">
        <f ca="1">IFERROR(__xludf.DUMMYFUNCTION("GOOGLETRANSLATE(A3097,""bn"",""en"")"),"Limited dynamic range leads to loss of detail in shadow areas")</f>
        <v>Limited dynamic range leads to loss of detail in shadow areas</v>
      </c>
    </row>
    <row r="3098" spans="1:3" ht="15.75" customHeight="1" x14ac:dyDescent="0.25">
      <c r="A3098" s="2" t="s">
        <v>3100</v>
      </c>
      <c r="B3098" s="3" t="s">
        <v>6</v>
      </c>
      <c r="C3098" s="2" t="str">
        <f ca="1">IFERROR(__xludf.DUMMYFUNCTION("GOOGLETRANSLATE(A3098,""bn"",""en"")"),"The compartments were poorly designed causing my accessories to become a tangled mess")</f>
        <v>The compartments were poorly designed causing my accessories to become a tangled mess</v>
      </c>
    </row>
    <row r="3099" spans="1:3" ht="15.75" customHeight="1" x14ac:dyDescent="0.25">
      <c r="A3099" s="2" t="s">
        <v>3101</v>
      </c>
      <c r="B3099" s="3" t="s">
        <v>6</v>
      </c>
      <c r="C3099" s="2" t="str">
        <f ca="1">IFERROR(__xludf.DUMMYFUNCTION("GOOGLETRANSLATE(A3099,""bn"",""en"")"),"Cloudy surfaces scratch easily and look worn quickly")</f>
        <v>Cloudy surfaces scratch easily and look worn quickly</v>
      </c>
    </row>
    <row r="3100" spans="1:3" ht="15.75" customHeight="1" x14ac:dyDescent="0.25">
      <c r="A3100" s="2" t="s">
        <v>3102</v>
      </c>
      <c r="B3100" s="3" t="s">
        <v>4</v>
      </c>
      <c r="C3100" s="2" t="str">
        <f ca="1">IFERROR(__xludf.DUMMYFUNCTION("GOOGLETRANSLATE(A3100,""bn"",""en"")"),"They are for the price")</f>
        <v>They are for the price</v>
      </c>
    </row>
    <row r="3101" spans="1:3" ht="15.75" customHeight="1" x14ac:dyDescent="0.25">
      <c r="A3101" s="2" t="s">
        <v>3103</v>
      </c>
      <c r="B3101" s="3" t="s">
        <v>2</v>
      </c>
      <c r="C3101" s="2" t="str">
        <f ca="1">IFERROR(__xludf.DUMMYFUNCTION("GOOGLETRANSLATE(A3101,""bn"",""en"")"),"Close to what I was looking for")</f>
        <v>Close to what I was looking for</v>
      </c>
    </row>
    <row r="3102" spans="1:3" ht="15.75" customHeight="1" x14ac:dyDescent="0.25">
      <c r="A3102" s="2" t="s">
        <v>3104</v>
      </c>
      <c r="B3102" s="3" t="s">
        <v>4</v>
      </c>
      <c r="C3102" s="2" t="str">
        <f ca="1">IFERROR(__xludf.DUMMYFUNCTION("GOOGLETRANSLATE(A3102,""bn"",""en"")"),"The height of the cupboard is perfect and fits nicely with the ceiling of my room")</f>
        <v>The height of the cupboard is perfect and fits nicely with the ceiling of my room</v>
      </c>
    </row>
    <row r="3103" spans="1:3" ht="15.75" customHeight="1" x14ac:dyDescent="0.25">
      <c r="A3103" s="2" t="s">
        <v>3105</v>
      </c>
      <c r="B3103" s="3" t="s">
        <v>4</v>
      </c>
      <c r="C3103" s="2" t="str">
        <f ca="1">IFERROR(__xludf.DUMMYFUNCTION("GOOGLETRANSLATE(A3103,""bn"",""en"")"),"Great CPU worked so well I bought a second one")</f>
        <v>Great CPU worked so well I bought a second one</v>
      </c>
    </row>
    <row r="3104" spans="1:3" ht="15.75" customHeight="1" x14ac:dyDescent="0.25">
      <c r="A3104" s="2" t="s">
        <v>3106</v>
      </c>
      <c r="B3104" s="3" t="s">
        <v>4</v>
      </c>
      <c r="C3104" s="2" t="str">
        <f ca="1">IFERROR(__xludf.DUMMYFUNCTION("GOOGLETRANSLATE(A3104,""bn"",""en"")"),"Remains effective for a long time")</f>
        <v>Remains effective for a long time</v>
      </c>
    </row>
    <row r="3105" spans="1:3" ht="15.75" customHeight="1" x14ac:dyDescent="0.25">
      <c r="A3105" s="2" t="s">
        <v>3107</v>
      </c>
      <c r="B3105" s="3" t="s">
        <v>2</v>
      </c>
      <c r="C3105" s="2" t="str">
        <f ca="1">IFERROR(__xludf.DUMMYFUNCTION("GOOGLETRANSLATE(A3105,""bn"",""en"")"),"There are pictures of different outfits but very small")</f>
        <v>There are pictures of different outfits but very small</v>
      </c>
    </row>
    <row r="3106" spans="1:3" ht="15.75" customHeight="1" x14ac:dyDescent="0.25">
      <c r="A3106" s="2" t="s">
        <v>3108</v>
      </c>
      <c r="B3106" s="3" t="s">
        <v>6</v>
      </c>
      <c r="C3106" s="2" t="str">
        <f ca="1">IFERROR(__xludf.DUMMYFUNCTION("GOOGLETRANSLATE(A3106,""bn"",""en"")"),"Less than advertised power bank capacity does not provide enough charge for multiple devices")</f>
        <v>Less than advertised power bank capacity does not provide enough charge for multiple devices</v>
      </c>
    </row>
    <row r="3107" spans="1:3" ht="15.75" customHeight="1" x14ac:dyDescent="0.25">
      <c r="A3107" s="2" t="s">
        <v>3109</v>
      </c>
      <c r="B3107" s="3" t="s">
        <v>4</v>
      </c>
      <c r="C3107" s="2" t="str">
        <f ca="1">IFERROR(__xludf.DUMMYFUNCTION("GOOGLETRANSLATE(A3107,""bn"",""en"")"),"Charges and stays very good more than met my needs ")</f>
        <v xml:space="preserve">Charges and stays very good more than met my needs </v>
      </c>
    </row>
    <row r="3108" spans="1:3" ht="15.75" customHeight="1" x14ac:dyDescent="0.25">
      <c r="A3108" s="2" t="s">
        <v>3110</v>
      </c>
      <c r="B3108" s="3" t="s">
        <v>4</v>
      </c>
      <c r="C3108" s="2" t="str">
        <f ca="1">IFERROR(__xludf.DUMMYFUNCTION("GOOGLETRANSLATE(A3108,""bn"",""en"")"),"Functional and has clean edges ")</f>
        <v xml:space="preserve">Functional and has clean edges </v>
      </c>
    </row>
    <row r="3109" spans="1:3" ht="15.75" customHeight="1" x14ac:dyDescent="0.25">
      <c r="A3109" s="2" t="s">
        <v>3111</v>
      </c>
      <c r="B3109" s="3" t="s">
        <v>6</v>
      </c>
      <c r="C3109" s="2" t="str">
        <f ca="1">IFERROR(__xludf.DUMMYFUNCTION("GOOGLETRANSLATE(A3109,""bn"",""en"")"),"Image quality on portable projectors is poor, blurry and pixelated")</f>
        <v>Image quality on portable projectors is poor, blurry and pixelated</v>
      </c>
    </row>
    <row r="3110" spans="1:3" ht="15.75" customHeight="1" x14ac:dyDescent="0.25">
      <c r="A3110" s="2" t="s">
        <v>3112</v>
      </c>
      <c r="B3110" s="3" t="s">
        <v>6</v>
      </c>
      <c r="C3110" s="2" t="str">
        <f ca="1">IFERROR(__xludf.DUMMYFUNCTION("GOOGLETRANSLATE(A3110,""bn"",""en"")")," were too oily causing them to clump together in the grinder")</f>
        <v xml:space="preserve"> were too oily causing them to clump together in the grinder</v>
      </c>
    </row>
    <row r="3111" spans="1:3" ht="15.75" customHeight="1" x14ac:dyDescent="0.25">
      <c r="A3111" s="2" t="s">
        <v>3113</v>
      </c>
      <c r="B3111" s="3" t="s">
        <v>2</v>
      </c>
      <c r="C3111" s="2" t="str">
        <f ca="1">IFERROR(__xludf.DUMMYFUNCTION("GOOGLETRANSLATE(A3111,""bn"",""en"")"),"Does not air dry")</f>
        <v>Does not air dry</v>
      </c>
    </row>
    <row r="3112" spans="1:3" ht="15.75" customHeight="1" x14ac:dyDescent="0.25">
      <c r="A3112" s="2" t="s">
        <v>3114</v>
      </c>
      <c r="B3112" s="3" t="s">
        <v>4</v>
      </c>
      <c r="C3112" s="2" t="str">
        <f ca="1">IFERROR(__xludf.DUMMYFUNCTION("GOOGLETRANSLATE(A3112,""bn"",""en"")"),"I can't feel the intensity of winter")</f>
        <v>I can't feel the intensity of winter</v>
      </c>
    </row>
    <row r="3113" spans="1:3" ht="15.75" customHeight="1" x14ac:dyDescent="0.25">
      <c r="A3113" s="2" t="s">
        <v>3115</v>
      </c>
      <c r="B3113" s="3" t="s">
        <v>6</v>
      </c>
      <c r="C3113" s="2" t="str">
        <f ca="1">IFERROR(__xludf.DUMMYFUNCTION("GOOGLETRANSLATE(A3113,""bn"",""en"")"),"The charger cable is too short, limiting flexibility in positioning the device while charging")</f>
        <v>The charger cable is too short, limiting flexibility in positioning the device while charging</v>
      </c>
    </row>
    <row r="3114" spans="1:3" ht="15.75" customHeight="1" x14ac:dyDescent="0.25">
      <c r="A3114" s="2" t="s">
        <v>3116</v>
      </c>
      <c r="B3114" s="3" t="s">
        <v>6</v>
      </c>
      <c r="C3114" s="2" t="str">
        <f ca="1">IFERROR(__xludf.DUMMYFUNCTION("GOOGLETRANSLATE(A3114,""bn"",""en"")"),"Artwork that fails to engage lacks creativity")</f>
        <v>Artwork that fails to engage lacks creativity</v>
      </c>
    </row>
    <row r="3115" spans="1:3" ht="15.75" customHeight="1" x14ac:dyDescent="0.25">
      <c r="A3115" s="2" t="s">
        <v>3117</v>
      </c>
      <c r="B3115" s="3" t="s">
        <v>6</v>
      </c>
      <c r="C3115" s="2" t="str">
        <f ca="1">IFERROR(__xludf.DUMMYFUNCTION("GOOGLETRANSLATE(A3115,""bn"",""en"")"),"Indicates poor durability and construction")</f>
        <v>Indicates poor durability and construction</v>
      </c>
    </row>
    <row r="3116" spans="1:3" ht="15.75" customHeight="1" x14ac:dyDescent="0.25">
      <c r="A3116" s="2" t="s">
        <v>3118</v>
      </c>
      <c r="B3116" s="3" t="s">
        <v>4</v>
      </c>
      <c r="C3116" s="2" t="str">
        <f ca="1">IFERROR(__xludf.DUMMYFUNCTION("GOOGLETRANSLATE(A3116,""bn"",""en"")"),"This toy is very sturdy ")</f>
        <v xml:space="preserve">This toy is very sturdy </v>
      </c>
    </row>
    <row r="3117" spans="1:3" ht="15.75" customHeight="1" x14ac:dyDescent="0.25">
      <c r="A3117" s="2" t="s">
        <v>3119</v>
      </c>
      <c r="B3117" s="3" t="s">
        <v>4</v>
      </c>
      <c r="C3117" s="2" t="str">
        <f ca="1">IFERROR(__xludf.DUMMYFUNCTION("GOOGLETRANSLATE(A3117,""bn"",""en"")"),"The WiFi connectivity of the device is very fast")</f>
        <v>The WiFi connectivity of the device is very fast</v>
      </c>
    </row>
    <row r="3118" spans="1:3" ht="15.75" customHeight="1" x14ac:dyDescent="0.25">
      <c r="A3118" s="2" t="s">
        <v>3120</v>
      </c>
      <c r="B3118" s="3" t="s">
        <v>2</v>
      </c>
      <c r="C3118" s="2" t="str">
        <f ca="1">IFERROR(__xludf.DUMMYFUNCTION("GOOGLETRANSLATE(A3118,""bn"",""en"")"),"Somewhat better or worse than other brands")</f>
        <v>Somewhat better or worse than other brands</v>
      </c>
    </row>
    <row r="3119" spans="1:3" ht="15.75" customHeight="1" x14ac:dyDescent="0.25">
      <c r="A3119" s="2" t="s">
        <v>3121</v>
      </c>
      <c r="B3119" s="3" t="s">
        <v>2</v>
      </c>
      <c r="C3119" s="2" t="str">
        <f ca="1">IFERROR(__xludf.DUMMYFUNCTION("GOOGLETRANSLATE(A3119,""bn"",""en"")"),"Usable in the kitchen but not chemical resistant")</f>
        <v>Usable in the kitchen but not chemical resistant</v>
      </c>
    </row>
    <row r="3120" spans="1:3" ht="15.75" customHeight="1" x14ac:dyDescent="0.25">
      <c r="A3120" s="2" t="s">
        <v>3122</v>
      </c>
      <c r="B3120" s="3" t="s">
        <v>4</v>
      </c>
      <c r="C3120" s="2" t="str">
        <f ca="1">IFERROR(__xludf.DUMMYFUNCTION("GOOGLETRANSLATE(A3120,""bn"",""en"")"),"Even from a distance, the sound quality of this speaker remains the same without any change")</f>
        <v>Even from a distance, the sound quality of this speaker remains the same without any change</v>
      </c>
    </row>
    <row r="3121" spans="1:3" ht="15.75" customHeight="1" x14ac:dyDescent="0.25">
      <c r="A3121" s="2" t="s">
        <v>3123</v>
      </c>
      <c r="B3121" s="3" t="s">
        <v>6</v>
      </c>
      <c r="C3121" s="2" t="str">
        <f ca="1">IFERROR(__xludf.DUMMYFUNCTION("GOOGLETRANSLATE(A3121,""bn"",""en"")"),"The fridge emits a strange smell even after cleaning which goes away")</f>
        <v>The fridge emits a strange smell even after cleaning which goes away</v>
      </c>
    </row>
    <row r="3122" spans="1:3" ht="15.75" customHeight="1" x14ac:dyDescent="0.25">
      <c r="A3122" s="2" t="s">
        <v>3124</v>
      </c>
      <c r="B3122" s="3" t="s">
        <v>2</v>
      </c>
      <c r="C3122" s="2" t="str">
        <f ca="1">IFERROR(__xludf.DUMMYFUNCTION("GOOGLETRANSLATE(A3122,""bn"",""en"")"),"The bristles sometimes fall out")</f>
        <v>The bristles sometimes fall out</v>
      </c>
    </row>
    <row r="3123" spans="1:3" ht="15.75" customHeight="1" x14ac:dyDescent="0.25">
      <c r="A3123" s="2" t="s">
        <v>3125</v>
      </c>
      <c r="B3123" s="3" t="s">
        <v>4</v>
      </c>
      <c r="C3123" s="2" t="str">
        <f ca="1">IFERROR(__xludf.DUMMYFUNCTION("GOOGLETRANSLATE(A3123,""bn"",""en"")"),"The new phone's camera is excellent for taking pictures")</f>
        <v>The new phone's camera is excellent for taking pictures</v>
      </c>
    </row>
    <row r="3124" spans="1:3" ht="15.75" customHeight="1" x14ac:dyDescent="0.25">
      <c r="A3124" s="2" t="s">
        <v>3126</v>
      </c>
      <c r="B3124" s="3" t="s">
        <v>4</v>
      </c>
      <c r="C3124" s="2" t="str">
        <f ca="1">IFERROR(__xludf.DUMMYFUNCTION("GOOGLETRANSLATE(A3124,""bn"",""en"")"),"In a word, great")</f>
        <v>In a word, great</v>
      </c>
    </row>
    <row r="3125" spans="1:3" ht="15.75" customHeight="1" x14ac:dyDescent="0.25">
      <c r="A3125" s="2" t="s">
        <v>3127</v>
      </c>
      <c r="B3125" s="3" t="s">
        <v>6</v>
      </c>
      <c r="C3125" s="2" t="str">
        <f ca="1">IFERROR(__xludf.DUMMYFUNCTION("GOOGLETRANSLATE(A3125,""bn"",""en"")"),"The design of the toy was outdated and unpleasant")</f>
        <v>The design of the toy was outdated and unpleasant</v>
      </c>
    </row>
    <row r="3126" spans="1:3" ht="15.75" customHeight="1" x14ac:dyDescent="0.25">
      <c r="A3126" s="2" t="s">
        <v>3128</v>
      </c>
      <c r="B3126" s="3" t="s">
        <v>6</v>
      </c>
      <c r="C3126" s="2" t="str">
        <f ca="1">IFERROR(__xludf.DUMMYFUNCTION("GOOGLETRANSLATE(A3126,""bn"",""en"")"),"The color of the fabric fades dramatically after just one wash")</f>
        <v>The color of the fabric fades dramatically after just one wash</v>
      </c>
    </row>
    <row r="3127" spans="1:3" ht="15.75" customHeight="1" x14ac:dyDescent="0.25">
      <c r="A3127" s="2" t="s">
        <v>3129</v>
      </c>
      <c r="B3127" s="3" t="s">
        <v>4</v>
      </c>
      <c r="C3127" s="2" t="str">
        <f ca="1">IFERROR(__xludf.DUMMYFUNCTION("GOOGLETRANSLATE(A3127,""bn"",""en"")"),"Your skin will be taken care of with this body wash")</f>
        <v>Your skin will be taken care of with this body wash</v>
      </c>
    </row>
    <row r="3128" spans="1:3" ht="15.75" customHeight="1" x14ac:dyDescent="0.25">
      <c r="A3128" s="2" t="s">
        <v>3130</v>
      </c>
      <c r="B3128" s="3" t="s">
        <v>6</v>
      </c>
      <c r="C3128" s="2" t="str">
        <f ca="1">IFERROR(__xludf.DUMMYFUNCTION("GOOGLETRANSLATE(A3128,""bn"",""en"")")," The carrying case is heavy and cumbersome which makes it inconvenient to carry while traveling or commuting")</f>
        <v xml:space="preserve"> The carrying case is heavy and cumbersome which makes it inconvenient to carry while traveling or commuting</v>
      </c>
    </row>
    <row r="3129" spans="1:3" ht="15.75" customHeight="1" x14ac:dyDescent="0.25">
      <c r="A3129" s="2" t="s">
        <v>3131</v>
      </c>
      <c r="B3129" s="3" t="s">
        <v>6</v>
      </c>
      <c r="C3129" s="2" t="str">
        <f ca="1">IFERROR(__xludf.DUMMYFUNCTION("GOOGLETRANSLATE(A3129,""bn"",""en"")"),"The hair mask didn't wash off properly leaving a heavy residue that weighed my hair down")</f>
        <v>The hair mask didn't wash off properly leaving a heavy residue that weighed my hair down</v>
      </c>
    </row>
    <row r="3130" spans="1:3" ht="15.75" customHeight="1" x14ac:dyDescent="0.25">
      <c r="A3130" s="2" t="s">
        <v>3132</v>
      </c>
      <c r="B3130" s="3" t="s">
        <v>2</v>
      </c>
      <c r="C3130" s="2" t="str">
        <f ca="1">IFERROR(__xludf.DUMMYFUNCTION("GOOGLETRANSLATE(A3130,""bn"",""en"")"),"BPA free plastic is used which is hygienic but the bottle is transparent not opaque")</f>
        <v>BPA free plastic is used which is hygienic but the bottle is transparent not opaque</v>
      </c>
    </row>
    <row r="3131" spans="1:3" ht="15.75" customHeight="1" x14ac:dyDescent="0.25">
      <c r="A3131" s="2" t="s">
        <v>3133</v>
      </c>
      <c r="B3131" s="3" t="s">
        <v>6</v>
      </c>
      <c r="C3131" s="2" t="str">
        <f ca="1">IFERROR(__xludf.DUMMYFUNCTION("GOOGLETRANSLATE(A3131,""bn"",""en"")"),"The lipstick formula is drying and accentuates lip lines and cracks")</f>
        <v>The lipstick formula is drying and accentuates lip lines and cracks</v>
      </c>
    </row>
    <row r="3132" spans="1:3" ht="15.75" customHeight="1" x14ac:dyDescent="0.25">
      <c r="A3132" s="2" t="s">
        <v>3134</v>
      </c>
      <c r="B3132" s="3" t="s">
        <v>6</v>
      </c>
      <c r="C3132" s="2" t="str">
        <f ca="1">IFERROR(__xludf.DUMMYFUNCTION("GOOGLETRANSLATE(A3132,""bn"",""en"")"),"The lid does not close properly which causes spillage in transit")</f>
        <v>The lid does not close properly which causes spillage in transit</v>
      </c>
    </row>
    <row r="3133" spans="1:3" ht="15.75" customHeight="1" x14ac:dyDescent="0.25">
      <c r="A3133" s="2" t="s">
        <v>3135</v>
      </c>
      <c r="B3133" s="3" t="s">
        <v>6</v>
      </c>
      <c r="C3133" s="2" t="str">
        <f ca="1">IFERROR(__xludf.DUMMYFUNCTION("GOOGLETRANSLATE(A3133,""bn"",""en"")"),"Purchase price is not low quality")</f>
        <v>Purchase price is not low quality</v>
      </c>
    </row>
    <row r="3134" spans="1:3" ht="15.75" customHeight="1" x14ac:dyDescent="0.25">
      <c r="A3134" s="2" t="s">
        <v>3136</v>
      </c>
      <c r="B3134" s="3" t="s">
        <v>4</v>
      </c>
      <c r="C3134" s="2" t="str">
        <f ca="1">IFERROR(__xludf.DUMMYFUNCTION("GOOGLETRANSLATE(A3134,""bn"",""en"")"),"A new taste in every bite")</f>
        <v>A new taste in every bite</v>
      </c>
    </row>
    <row r="3135" spans="1:3" ht="15.75" customHeight="1" x14ac:dyDescent="0.25">
      <c r="A3135" s="2" t="s">
        <v>3137</v>
      </c>
      <c r="B3135" s="3" t="s">
        <v>4</v>
      </c>
      <c r="C3135" s="2" t="str">
        <f ca="1">IFERROR(__xludf.DUMMYFUNCTION("GOOGLETRANSLATE(A3135,""bn"",""en"")"),"The salad plates that come with the set are perfect in size ")</f>
        <v xml:space="preserve">The salad plates that come with the set are perfect in size </v>
      </c>
    </row>
    <row r="3136" spans="1:3" ht="15.75" customHeight="1" x14ac:dyDescent="0.25">
      <c r="A3136" s="2" t="s">
        <v>3138</v>
      </c>
      <c r="B3136" s="3" t="s">
        <v>4</v>
      </c>
      <c r="C3136" s="2" t="str">
        <f ca="1">IFERROR(__xludf.DUMMYFUNCTION("GOOGLETRANSLATE(A3136,""bn"",""en"")"),"Very good, the kid likes it, high quality ")</f>
        <v xml:space="preserve">Very good, the kid likes it, high quality </v>
      </c>
    </row>
    <row r="3137" spans="1:3" ht="15.75" customHeight="1" x14ac:dyDescent="0.25">
      <c r="A3137" s="2" t="s">
        <v>3139</v>
      </c>
      <c r="B3137" s="3" t="s">
        <v>6</v>
      </c>
      <c r="C3137" s="2" t="str">
        <f ca="1">IFERROR(__xludf.DUMMYFUNCTION("GOOGLETRANSLATE(A3137,""bn"",""en"")")," A component's tendency to stretch out of shape affects its appearance")</f>
        <v xml:space="preserve"> A component's tendency to stretch out of shape affects its appearance</v>
      </c>
    </row>
    <row r="3138" spans="1:3" ht="15.75" customHeight="1" x14ac:dyDescent="0.25">
      <c r="A3138" s="2" t="s">
        <v>3140</v>
      </c>
      <c r="B3138" s="3" t="s">
        <v>4</v>
      </c>
      <c r="C3138" s="2" t="str">
        <f ca="1">IFERROR(__xludf.DUMMYFUNCTION("GOOGLETRANSLATE(A3138,""bn"",""en"")"),"The fragrance of flowers in our garden is mesmerizing")</f>
        <v>The fragrance of flowers in our garden is mesmerizing</v>
      </c>
    </row>
    <row r="3139" spans="1:3" ht="15.75" customHeight="1" x14ac:dyDescent="0.25">
      <c r="A3139" s="2" t="s">
        <v>3141</v>
      </c>
      <c r="B3139" s="3" t="s">
        <v>6</v>
      </c>
      <c r="C3139" s="2" t="str">
        <f ca="1">IFERROR(__xludf.DUMMYFUNCTION("GOOGLETRANSLATE(A3139,""bn"",""en"")"),"Frustration with incorrect sizing results in an ill-fitting garment")</f>
        <v>Frustration with incorrect sizing results in an ill-fitting garment</v>
      </c>
    </row>
    <row r="3140" spans="1:3" ht="15.75" customHeight="1" x14ac:dyDescent="0.25">
      <c r="A3140" s="2" t="s">
        <v>3142</v>
      </c>
      <c r="B3140" s="3" t="s">
        <v>2</v>
      </c>
      <c r="C3140" s="2" t="str">
        <f ca="1">IFERROR(__xludf.DUMMYFUNCTION("GOOGLETRANSLATE(A3140,""bn"",""en"")"),"It can enhance the beauty of the room a bit")</f>
        <v>It can enhance the beauty of the room a bit</v>
      </c>
    </row>
    <row r="3141" spans="1:3" ht="15.75" customHeight="1" x14ac:dyDescent="0.25">
      <c r="A3141" s="2" t="s">
        <v>3143</v>
      </c>
      <c r="B3141" s="3" t="s">
        <v>4</v>
      </c>
      <c r="C3141" s="2" t="str">
        <f ca="1">IFERROR(__xludf.DUMMYFUNCTION("GOOGLETRANSLATE(A3141,""bn"",""en"")"),"It gives me great relief while lying in bed")</f>
        <v>It gives me great relief while lying in bed</v>
      </c>
    </row>
    <row r="3142" spans="1:3" ht="15.75" customHeight="1" x14ac:dyDescent="0.25">
      <c r="A3142" s="2" t="s">
        <v>3144</v>
      </c>
      <c r="B3142" s="3" t="s">
        <v>6</v>
      </c>
      <c r="C3142" s="2" t="str">
        <f ca="1">IFERROR(__xludf.DUMMYFUNCTION("GOOGLETRANSLATE(A3142,""bn"",""en"")"),"Incorrect oven temperature control causes food to burn easily")</f>
        <v>Incorrect oven temperature control causes food to burn easily</v>
      </c>
    </row>
    <row r="3143" spans="1:3" ht="15.75" customHeight="1" x14ac:dyDescent="0.25">
      <c r="A3143" s="2" t="s">
        <v>3145</v>
      </c>
      <c r="B3143" s="3" t="s">
        <v>6</v>
      </c>
      <c r="C3143" s="2" t="str">
        <f ca="1">IFERROR(__xludf.DUMMYFUNCTION("GOOGLETRANSLATE(A3143,""bn"",""en"")"),"The smell of the lipstick is overwhelming and unpleasant")</f>
        <v>The smell of the lipstick is overwhelming and unpleasant</v>
      </c>
    </row>
    <row r="3144" spans="1:3" ht="15.75" customHeight="1" x14ac:dyDescent="0.25">
      <c r="A3144" s="2" t="s">
        <v>3146</v>
      </c>
      <c r="B3144" s="3" t="s">
        <v>6</v>
      </c>
      <c r="C3144" s="2" t="str">
        <f ca="1">IFERROR(__xludf.DUMMYFUNCTION("GOOGLETRANSLATE(A3144,""bn"",""en"")"),"The curl cream didn't define my curls leaving them frizzy and undefined")</f>
        <v>The curl cream didn't define my curls leaving them frizzy and undefined</v>
      </c>
    </row>
    <row r="3145" spans="1:3" ht="15.75" customHeight="1" x14ac:dyDescent="0.25">
      <c r="A3145" s="2" t="s">
        <v>3147</v>
      </c>
      <c r="B3145" s="3" t="s">
        <v>6</v>
      </c>
      <c r="C3145" s="2" t="str">
        <f ca="1">IFERROR(__xludf.DUMMYFUNCTION("GOOGLETRANSLATE(A3145,""bn"",""en"")"),"These crayons are a joke they skip and leave streaks ruining what you're trying to create.")</f>
        <v>These crayons are a joke they skip and leave streaks ruining what you're trying to create.</v>
      </c>
    </row>
    <row r="3146" spans="1:3" ht="15.75" customHeight="1" x14ac:dyDescent="0.25">
      <c r="A3146" s="2" t="s">
        <v>3148</v>
      </c>
      <c r="B3146" s="3" t="s">
        <v>4</v>
      </c>
      <c r="C3146" s="2" t="str">
        <f ca="1">IFERROR(__xludf.DUMMYFUNCTION("GOOGLETRANSLATE(A3146,""bn"",""en"")"),"Every day brings new joy and encouragement")</f>
        <v>Every day brings new joy and encouragement</v>
      </c>
    </row>
    <row r="3147" spans="1:3" ht="15.75" customHeight="1" x14ac:dyDescent="0.25">
      <c r="A3147" s="2" t="s">
        <v>3149</v>
      </c>
      <c r="B3147" s="3" t="s">
        <v>6</v>
      </c>
      <c r="C3147" s="2" t="str">
        <f ca="1">IFERROR(__xludf.DUMMYFUNCTION("GOOGLETRANSLATE(A3147,""bn"",""en"")"),"  The handle breaks after a short period of use making it impossible to carry")</f>
        <v xml:space="preserve">  The handle breaks after a short period of use making it impossible to carry</v>
      </c>
    </row>
    <row r="3148" spans="1:3" ht="15.75" customHeight="1" x14ac:dyDescent="0.25">
      <c r="A3148" s="2" t="s">
        <v>3150</v>
      </c>
      <c r="B3148" s="3" t="s">
        <v>6</v>
      </c>
      <c r="C3148" s="2" t="str">
        <f ca="1">IFERROR(__xludf.DUMMYFUNCTION("GOOGLETRANSLATE(A3148,""bn"",""en"")"),"Item performance degrades rapidly over time")</f>
        <v>Item performance degrades rapidly over time</v>
      </c>
    </row>
    <row r="3149" spans="1:3" ht="15.75" customHeight="1" x14ac:dyDescent="0.25">
      <c r="A3149" s="2" t="s">
        <v>3151</v>
      </c>
      <c r="B3149" s="3" t="s">
        <v>2</v>
      </c>
      <c r="C3149" s="2" t="str">
        <f ca="1">IFERROR(__xludf.DUMMYFUNCTION("GOOGLETRANSLATE(A3149,""bn"",""en"")"),"The size of the adapter is medium not too big or too small")</f>
        <v>The size of the adapter is medium not too big or too small</v>
      </c>
    </row>
    <row r="3150" spans="1:3" ht="15.75" customHeight="1" x14ac:dyDescent="0.25">
      <c r="A3150" s="2" t="s">
        <v>3152</v>
      </c>
      <c r="B3150" s="3" t="s">
        <v>6</v>
      </c>
      <c r="C3150" s="2" t="str">
        <f ca="1">IFERROR(__xludf.DUMMYFUNCTION("GOOGLETRANSLATE(A3150,""bn"",""en"")"),"Avoid cheaply made rusty screws")</f>
        <v>Avoid cheaply made rusty screws</v>
      </c>
    </row>
    <row r="3151" spans="1:3" ht="15.75" customHeight="1" x14ac:dyDescent="0.25">
      <c r="A3151" s="2" t="s">
        <v>3153</v>
      </c>
      <c r="B3151" s="3" t="s">
        <v>6</v>
      </c>
      <c r="C3151" s="2" t="str">
        <f ca="1">IFERROR(__xludf.DUMMYFUNCTION("GOOGLETRANSLATE(A3151,""bn"",""en"")")," Opening the door with one hand is difficult and requires assistance from the other hand")</f>
        <v xml:space="preserve"> Opening the door with one hand is difficult and requires assistance from the other hand</v>
      </c>
    </row>
    <row r="3152" spans="1:3" ht="15.75" customHeight="1" x14ac:dyDescent="0.25">
      <c r="A3152" s="2" t="s">
        <v>3154</v>
      </c>
      <c r="B3152" s="3" t="s">
        <v>2</v>
      </c>
      <c r="C3152" s="2" t="str">
        <f ca="1">IFERROR(__xludf.DUMMYFUNCTION("GOOGLETRANSLATE(A3152,""bn"",""en"")"),"Fairly decent for the low price")</f>
        <v>Fairly decent for the low price</v>
      </c>
    </row>
    <row r="3153" spans="1:3" ht="15.75" customHeight="1" x14ac:dyDescent="0.25">
      <c r="A3153" s="2" t="s">
        <v>3155</v>
      </c>
      <c r="B3153" s="3" t="s">
        <v>4</v>
      </c>
      <c r="C3153" s="2" t="str">
        <f ca="1">IFERROR(__xludf.DUMMYFUNCTION("GOOGLETRANSLATE(A3153,""bn"",""en"")"),"The room heater heats the room quickly and efficiently")</f>
        <v>The room heater heats the room quickly and efficiently</v>
      </c>
    </row>
    <row r="3154" spans="1:3" ht="15.75" customHeight="1" x14ac:dyDescent="0.25">
      <c r="A3154" s="2" t="s">
        <v>3156</v>
      </c>
      <c r="B3154" s="3" t="s">
        <v>4</v>
      </c>
      <c r="C3154" s="2" t="str">
        <f ca="1">IFERROR(__xludf.DUMMYFUNCTION("GOOGLETRANSLATE(A3154,""bn"",""en"")"),"The bookshelf is perfect for storing small books and articles")</f>
        <v>The bookshelf is perfect for storing small books and articles</v>
      </c>
    </row>
    <row r="3155" spans="1:3" ht="15.75" customHeight="1" x14ac:dyDescent="0.25">
      <c r="A3155" s="2" t="s">
        <v>3157</v>
      </c>
      <c r="B3155" s="3" t="s">
        <v>6</v>
      </c>
      <c r="C3155" s="2" t="str">
        <f ca="1">IFERROR(__xludf.DUMMYFUNCTION("GOOGLETRANSLATE(A3155,""bn"",""en"")"),"Unforgettable illustrations lack originality")</f>
        <v>Unforgettable illustrations lack originality</v>
      </c>
    </row>
    <row r="3156" spans="1:3" ht="15.75" customHeight="1" x14ac:dyDescent="0.25">
      <c r="A3156" s="2" t="s">
        <v>3158</v>
      </c>
      <c r="B3156" s="3" t="s">
        <v>4</v>
      </c>
      <c r="C3156" s="2" t="str">
        <f ca="1">IFERROR(__xludf.DUMMYFUNCTION("GOOGLETRANSLATE(A3156,""bn"",""en"")"),"Great tracking device")</f>
        <v>Great tracking device</v>
      </c>
    </row>
    <row r="3157" spans="1:3" ht="15.75" customHeight="1" x14ac:dyDescent="0.25">
      <c r="A3157" s="2" t="s">
        <v>3159</v>
      </c>
      <c r="B3157" s="3" t="s">
        <v>2</v>
      </c>
      <c r="C3157" s="2" t="str">
        <f ca="1">IFERROR(__xludf.DUMMYFUNCTION("GOOGLETRANSLATE(A3157,""bn"",""en"")"),"It's pretty standard but a bit weak")</f>
        <v>It's pretty standard but a bit weak</v>
      </c>
    </row>
    <row r="3158" spans="1:3" ht="15.75" customHeight="1" x14ac:dyDescent="0.25">
      <c r="A3158" s="2" t="s">
        <v>3160</v>
      </c>
      <c r="B3158" s="3" t="s">
        <v>2</v>
      </c>
      <c r="C3158" s="2" t="str">
        <f ca="1">IFERROR(__xludf.DUMMYFUNCTION("GOOGLETRANSLATE(A3158,""bn"",""en"")"),"Tasty but a little smelly")</f>
        <v>Tasty but a little smelly</v>
      </c>
    </row>
    <row r="3159" spans="1:3" ht="15.75" customHeight="1" x14ac:dyDescent="0.25">
      <c r="A3159" s="2" t="s">
        <v>3161</v>
      </c>
      <c r="B3159" s="3" t="s">
        <v>4</v>
      </c>
      <c r="C3159" s="2" t="str">
        <f ca="1">IFERROR(__xludf.DUMMYFUNCTION("GOOGLETRANSLATE(A3159,""bn"",""en"")"),"It helps reduce skin redness")</f>
        <v>It helps reduce skin redness</v>
      </c>
    </row>
    <row r="3160" spans="1:3" ht="15.75" customHeight="1" x14ac:dyDescent="0.25">
      <c r="A3160" s="2" t="s">
        <v>3162</v>
      </c>
      <c r="B3160" s="3" t="s">
        <v>2</v>
      </c>
      <c r="C3160" s="2" t="str">
        <f ca="1">IFERROR(__xludf.DUMMYFUNCTION("GOOGLETRANSLATE(A3160,""bn"",""en"")"),"The smell is good but the taste is not good")</f>
        <v>The smell is good but the taste is not good</v>
      </c>
    </row>
    <row r="3161" spans="1:3" ht="15.75" customHeight="1" x14ac:dyDescent="0.25">
      <c r="A3161" s="2" t="s">
        <v>3163</v>
      </c>
      <c r="B3161" s="3" t="s">
        <v>6</v>
      </c>
      <c r="C3161" s="2" t="str">
        <f ca="1">IFERROR(__xludf.DUMMYFUNCTION("GOOGLETRANSLATE(A3161,""bn"",""en"")"),"Portable projector fans are very noisy and distracting during movie nights")</f>
        <v>Portable projector fans are very noisy and distracting during movie nights</v>
      </c>
    </row>
    <row r="3162" spans="1:3" ht="15.75" customHeight="1" x14ac:dyDescent="0.25">
      <c r="A3162" s="2" t="s">
        <v>3164</v>
      </c>
      <c r="B3162" s="3" t="s">
        <v>2</v>
      </c>
      <c r="C3162" s="2" t="str">
        <f ca="1">IFERROR(__xludf.DUMMYFUNCTION("GOOGLETRANSLATE(A3162,""bn"",""en"")"),"Keeps warm but not more than other comforters")</f>
        <v>Keeps warm but not more than other comforters</v>
      </c>
    </row>
    <row r="3163" spans="1:3" ht="15.75" customHeight="1" x14ac:dyDescent="0.25">
      <c r="A3163" s="2" t="s">
        <v>3165</v>
      </c>
      <c r="B3163" s="3" t="s">
        <v>6</v>
      </c>
      <c r="C3163" s="2" t="str">
        <f ca="1">IFERROR(__xludf.DUMMYFUNCTION("GOOGLETRANSLATE(A3163,""bn"",""en"")"),"The product was too heavy or cumbersome to use comfortably")</f>
        <v>The product was too heavy or cumbersome to use comfortably</v>
      </c>
    </row>
    <row r="3164" spans="1:3" ht="15.75" customHeight="1" x14ac:dyDescent="0.25">
      <c r="A3164" s="2" t="s">
        <v>3166</v>
      </c>
      <c r="B3164" s="3" t="s">
        <v>4</v>
      </c>
      <c r="C3164" s="2" t="str">
        <f ca="1">IFERROR(__xludf.DUMMYFUNCTION("GOOGLETRANSLATE(A3164,""bn"",""en"")"),"High quality video and extremely bright LED floodlights are all adjustable for precise targeting")</f>
        <v>High quality video and extremely bright LED floodlights are all adjustable for precise targeting</v>
      </c>
    </row>
    <row r="3165" spans="1:3" ht="15.75" customHeight="1" x14ac:dyDescent="0.25">
      <c r="A3165" s="2" t="s">
        <v>3167</v>
      </c>
      <c r="B3165" s="3" t="s">
        <v>4</v>
      </c>
      <c r="C3165" s="2" t="str">
        <f ca="1">IFERROR(__xludf.DUMMYFUNCTION("GOOGLETRANSLATE(A3165,""bn"",""en"")"),"Using it does not cause any kind of injury to the gums")</f>
        <v>Using it does not cause any kind of injury to the gums</v>
      </c>
    </row>
    <row r="3166" spans="1:3" ht="15.75" customHeight="1" x14ac:dyDescent="0.25">
      <c r="A3166" s="2" t="s">
        <v>3168</v>
      </c>
      <c r="B3166" s="3" t="s">
        <v>6</v>
      </c>
      <c r="C3166" s="2" t="str">
        <f ca="1">IFERROR(__xludf.DUMMYFUNCTION("GOOGLETRANSLATE(A3166,""bn"",""en"")"),"The conditions are damp so the experience is bad")</f>
        <v>The conditions are damp so the experience is bad</v>
      </c>
    </row>
    <row r="3167" spans="1:3" ht="15.75" customHeight="1" x14ac:dyDescent="0.25">
      <c r="A3167" s="2" t="s">
        <v>3169</v>
      </c>
      <c r="B3167" s="3" t="s">
        <v>2</v>
      </c>
      <c r="C3167" s="2" t="str">
        <f ca="1">IFERROR(__xludf.DUMMYFUNCTION("GOOGLETRANSLATE(A3167,""bn"",""en"")"),"It gives a stylish look but not fashionable")</f>
        <v>It gives a stylish look but not fashionable</v>
      </c>
    </row>
    <row r="3168" spans="1:3" ht="15.75" customHeight="1" x14ac:dyDescent="0.25">
      <c r="A3168" s="2" t="s">
        <v>3170</v>
      </c>
      <c r="B3168" s="3" t="s">
        <v>4</v>
      </c>
      <c r="C3168" s="2" t="str">
        <f ca="1">IFERROR(__xludf.DUMMYFUNCTION("GOOGLETRANSLATE(A3168,""bn"",""en"")"),"This shampoo is great for keeping hair roots strong")</f>
        <v>This shampoo is great for keeping hair roots strong</v>
      </c>
    </row>
    <row r="3169" spans="1:3" ht="15.75" customHeight="1" x14ac:dyDescent="0.25">
      <c r="A3169" s="2" t="s">
        <v>3171</v>
      </c>
      <c r="B3169" s="3" t="s">
        <v>4</v>
      </c>
      <c r="C3169" s="2" t="str">
        <f ca="1">IFERROR(__xludf.DUMMYFUNCTION("GOOGLETRANSLATE(A3169,""bn"",""en"")"),"Definitely works")</f>
        <v>Definitely works</v>
      </c>
    </row>
    <row r="3170" spans="1:3" ht="15.75" customHeight="1" x14ac:dyDescent="0.25">
      <c r="A3170" s="2" t="s">
        <v>3172</v>
      </c>
      <c r="B3170" s="3" t="s">
        <v>2</v>
      </c>
      <c r="C3170" s="2" t="str">
        <f ca="1">IFERROR(__xludf.DUMMYFUNCTION("GOOGLETRANSLATE(A3170,""bn"",""en"")"),"Energy saving mode is fairly effective")</f>
        <v>Energy saving mode is fairly effective</v>
      </c>
    </row>
    <row r="3171" spans="1:3" ht="15.75" customHeight="1" x14ac:dyDescent="0.25">
      <c r="A3171" s="2" t="s">
        <v>3173</v>
      </c>
      <c r="B3171" s="3" t="s">
        <v>2</v>
      </c>
      <c r="C3171" s="2" t="str">
        <f ca="1">IFERROR(__xludf.DUMMYFUNCTION("GOOGLETRANSLATE(A3171,""bn"",""en"")"),"The torch light is light in weight")</f>
        <v>The torch light is light in weight</v>
      </c>
    </row>
    <row r="3172" spans="1:3" ht="15.75" customHeight="1" x14ac:dyDescent="0.25">
      <c r="A3172" s="2" t="s">
        <v>3174</v>
      </c>
      <c r="B3172" s="3" t="s">
        <v>4</v>
      </c>
      <c r="C3172" s="2" t="str">
        <f ca="1">IFERROR(__xludf.DUMMYFUNCTION("GOOGLETRANSLATE(A3172,""bn"",""en"")"),"The boy's math skills have improved a lot")</f>
        <v>The boy's math skills have improved a lot</v>
      </c>
    </row>
    <row r="3173" spans="1:3" ht="15.75" customHeight="1" x14ac:dyDescent="0.25">
      <c r="A3173" s="2" t="s">
        <v>3175</v>
      </c>
      <c r="B3173" s="3" t="s">
        <v>6</v>
      </c>
      <c r="C3173" s="2" t="str">
        <f ca="1">IFERROR(__xludf.DUMMYFUNCTION("GOOGLETRANSLATE(A3173,""bn"",""en"")"),"The night vision of the solar powered outdoor camera does not see anything weak")</f>
        <v>The night vision of the solar powered outdoor camera does not see anything weak</v>
      </c>
    </row>
    <row r="3174" spans="1:3" ht="15.75" customHeight="1" x14ac:dyDescent="0.25">
      <c r="A3174" s="2" t="s">
        <v>3176</v>
      </c>
      <c r="B3174" s="3" t="s">
        <v>4</v>
      </c>
      <c r="C3174" s="2" t="str">
        <f ca="1">IFERROR(__xludf.DUMMYFUNCTION("GOOGLETRANSLATE(A3174,""bn"",""en"")"),"Its bright colors and beautiful design have given my kitchen a brand new look, making every dish look more appealing")</f>
        <v>Its bright colors and beautiful design have given my kitchen a brand new look, making every dish look more appealing</v>
      </c>
    </row>
    <row r="3175" spans="1:3" ht="15.75" customHeight="1" x14ac:dyDescent="0.25">
      <c r="A3175" s="2" t="s">
        <v>3177</v>
      </c>
      <c r="B3175" s="3" t="s">
        <v>2</v>
      </c>
      <c r="C3175" s="2" t="str">
        <f ca="1">IFERROR(__xludf.DUMMYFUNCTION("GOOGLETRANSLATE(A3175,""bn"",""en"")"),"Value is okay with the price but expectations should be kept limited")</f>
        <v>Value is okay with the price but expectations should be kept limited</v>
      </c>
    </row>
    <row r="3176" spans="1:3" ht="15.75" customHeight="1" x14ac:dyDescent="0.25">
      <c r="A3176" s="2" t="s">
        <v>3178</v>
      </c>
      <c r="B3176" s="3" t="s">
        <v>2</v>
      </c>
      <c r="C3176" s="2" t="str">
        <f ca="1">IFERROR(__xludf.DUMMYFUNCTION("GOOGLETRANSLATE(A3176,""bn"",""en"")"),"Keeps warm but like any other comforter")</f>
        <v>Keeps warm but like any other comforter</v>
      </c>
    </row>
    <row r="3177" spans="1:3" ht="15.75" customHeight="1" x14ac:dyDescent="0.25">
      <c r="A3177" s="2" t="s">
        <v>3179</v>
      </c>
      <c r="B3177" s="3" t="s">
        <v>2</v>
      </c>
      <c r="C3177" s="2" t="str">
        <f ca="1">IFERROR(__xludf.DUMMYFUNCTION("GOOGLETRANSLATE(A3177,""bn"",""en"")"),"The style is good but a bit expensive")</f>
        <v>The style is good but a bit expensive</v>
      </c>
    </row>
    <row r="3178" spans="1:3" ht="15.75" customHeight="1" x14ac:dyDescent="0.25">
      <c r="A3178" s="2" t="s">
        <v>3180</v>
      </c>
      <c r="B3178" s="3" t="s">
        <v>2</v>
      </c>
      <c r="C3178" s="2" t="str">
        <f ca="1">IFERROR(__xludf.DUMMYFUNCTION("GOOGLETRANSLATE(A3178,""bn"",""en"")"),"A garden hose delivers water but gets tangled easily")</f>
        <v>A garden hose delivers water but gets tangled easily</v>
      </c>
    </row>
    <row r="3179" spans="1:3" ht="15.75" customHeight="1" x14ac:dyDescent="0.25">
      <c r="A3179" s="2" t="s">
        <v>3181</v>
      </c>
      <c r="B3179" s="3" t="s">
        <v>4</v>
      </c>
      <c r="C3179" s="2" t="str">
        <f ca="1">IFERROR(__xludf.DUMMYFUNCTION("GOOGLETRANSLATE(A3179,""bn"",""en"")"),"The torch is easy to hold")</f>
        <v>The torch is easy to hold</v>
      </c>
    </row>
    <row r="3180" spans="1:3" ht="15.75" customHeight="1" x14ac:dyDescent="0.25">
      <c r="A3180" s="2" t="s">
        <v>3182</v>
      </c>
      <c r="B3180" s="3" t="s">
        <v>2</v>
      </c>
      <c r="C3180" s="2" t="str">
        <f ca="1">IFERROR(__xludf.DUMMYFUNCTION("GOOGLETRANSLATE(A3180,""bn"",""en"")"),"Used it for land but yield did not increase much")</f>
        <v>Used it for land but yield did not increase much</v>
      </c>
    </row>
    <row r="3181" spans="1:3" ht="15.75" customHeight="1" x14ac:dyDescent="0.25">
      <c r="A3181" s="2" t="s">
        <v>3183</v>
      </c>
      <c r="B3181" s="3" t="s">
        <v>6</v>
      </c>
      <c r="C3181" s="2" t="str">
        <f ca="1">IFERROR(__xludf.DUMMYFUNCTION("GOOGLETRANSLATE(A3181,""bn"",""en"")"),"The thinness of the fabric compromises comfort and modesty")</f>
        <v>The thinness of the fabric compromises comfort and modesty</v>
      </c>
    </row>
    <row r="3182" spans="1:3" ht="15.75" customHeight="1" x14ac:dyDescent="0.25">
      <c r="A3182" s="2" t="s">
        <v>3184</v>
      </c>
      <c r="B3182" s="3" t="s">
        <v>2</v>
      </c>
      <c r="C3182" s="2" t="str">
        <f ca="1">IFERROR(__xludf.DUMMYFUNCTION("GOOGLETRANSLATE(A3182,""bn"",""en"")"),"Quality is average compared to price")</f>
        <v>Quality is average compared to price</v>
      </c>
    </row>
    <row r="3183" spans="1:3" ht="15.75" customHeight="1" x14ac:dyDescent="0.25">
      <c r="A3183" s="2" t="s">
        <v>3185</v>
      </c>
      <c r="B3183" s="3" t="s">
        <v>2</v>
      </c>
      <c r="C3183" s="2" t="str">
        <f ca="1">IFERROR(__xludf.DUMMYFUNCTION("GOOGLETRANSLATE(A3183,""bn"",""en"")"),"Color is nothing special")</f>
        <v>Color is nothing special</v>
      </c>
    </row>
    <row r="3184" spans="1:3" ht="15.75" customHeight="1" x14ac:dyDescent="0.25">
      <c r="A3184" s="2" t="s">
        <v>3186</v>
      </c>
      <c r="B3184" s="3" t="s">
        <v>4</v>
      </c>
      <c r="C3184" s="2" t="str">
        <f ca="1">IFERROR(__xludf.DUMMYFUNCTION("GOOGLETRANSLATE(A3184,""bn"",""en"")"),"The quality is very good for the low price ")</f>
        <v xml:space="preserve">The quality is very good for the low price </v>
      </c>
    </row>
    <row r="3185" spans="1:3" ht="15.75" customHeight="1" x14ac:dyDescent="0.25">
      <c r="A3185" s="2" t="s">
        <v>3187</v>
      </c>
      <c r="B3185" s="3" t="s">
        <v>6</v>
      </c>
      <c r="C3185" s="2" t="str">
        <f ca="1">IFERROR(__xludf.DUMMYFUNCTION("GOOGLETRANSLATE(A3185,""bn"",""en"")"),"The drawers inside the fridge feel flimsy and prone to cracking")</f>
        <v>The drawers inside the fridge feel flimsy and prone to cracking</v>
      </c>
    </row>
    <row r="3186" spans="1:3" ht="15.75" customHeight="1" x14ac:dyDescent="0.25">
      <c r="A3186" s="2" t="s">
        <v>3188</v>
      </c>
      <c r="B3186" s="3" t="s">
        <v>6</v>
      </c>
      <c r="C3186" s="2" t="str">
        <f ca="1">IFERROR(__xludf.DUMMYFUNCTION("GOOGLETRANSLATE(A3186,""bn"",""en"")"),"The bottled pasta sauce was overly sweet and had an artificial flavor")</f>
        <v>The bottled pasta sauce was overly sweet and had an artificial flavor</v>
      </c>
    </row>
    <row r="3187" spans="1:3" ht="15.75" customHeight="1" x14ac:dyDescent="0.25">
      <c r="A3187" s="2" t="s">
        <v>3189</v>
      </c>
      <c r="B3187" s="3" t="s">
        <v>2</v>
      </c>
      <c r="C3187" s="2" t="str">
        <f ca="1">IFERROR(__xludf.DUMMYFUNCTION("GOOGLETRANSLATE(A3187,""bn"",""en"")"),"Its quality is good but the price is high")</f>
        <v>Its quality is good but the price is high</v>
      </c>
    </row>
    <row r="3188" spans="1:3" ht="15.75" customHeight="1" x14ac:dyDescent="0.25">
      <c r="A3188" s="2" t="s">
        <v>3190</v>
      </c>
      <c r="B3188" s="3" t="s">
        <v>6</v>
      </c>
      <c r="C3188" s="2" t="str">
        <f ca="1">IFERROR(__xludf.DUMMYFUNCTION("GOOGLETRANSLATE(A3188,""bn"",""en"")"),"The bed frame is poorly constructed with weak joints that creak loudly with the slightest movement")</f>
        <v>The bed frame is poorly constructed with weak joints that creak loudly with the slightest movement</v>
      </c>
    </row>
    <row r="3189" spans="1:3" ht="15.75" customHeight="1" x14ac:dyDescent="0.25">
      <c r="A3189" s="2" t="s">
        <v>3191</v>
      </c>
      <c r="B3189" s="3" t="s">
        <v>2</v>
      </c>
      <c r="C3189" s="2" t="str">
        <f ca="1">IFERROR(__xludf.DUMMYFUNCTION("GOOGLETRANSLATE(A3189,""bn"",""en"")"),"The bottle takes up some space in storage")</f>
        <v>The bottle takes up some space in storage</v>
      </c>
    </row>
    <row r="3190" spans="1:3" ht="15.75" customHeight="1" x14ac:dyDescent="0.25">
      <c r="A3190" s="2" t="s">
        <v>3192</v>
      </c>
      <c r="B3190" s="3" t="s">
        <v>4</v>
      </c>
      <c r="C3190" s="2" t="str">
        <f ca="1">IFERROR(__xludf.DUMMYFUNCTION("GOOGLETRANSLATE(A3190,""bn"",""en"")"),"There is no chance of harmful effects on health as it is made using healthy ingredients")</f>
        <v>There is no chance of harmful effects on health as it is made using healthy ingredients</v>
      </c>
    </row>
    <row r="3191" spans="1:3" ht="15.75" customHeight="1" x14ac:dyDescent="0.25">
      <c r="A3191" s="2" t="s">
        <v>3193</v>
      </c>
      <c r="B3191" s="3" t="s">
        <v>2</v>
      </c>
      <c r="C3191" s="2" t="str">
        <f ca="1">IFERROR(__xludf.DUMMYFUNCTION("GOOGLETRANSLATE(A3191,""bn"",""en"")"),"The reflection is clear but not too bright")</f>
        <v>The reflection is clear but not too bright</v>
      </c>
    </row>
    <row r="3192" spans="1:3" ht="15.75" customHeight="1" x14ac:dyDescent="0.25">
      <c r="A3192" s="2" t="s">
        <v>3194</v>
      </c>
      <c r="B3192" s="3" t="s">
        <v>4</v>
      </c>
      <c r="C3192" s="2" t="str">
        <f ca="1">IFERROR(__xludf.DUMMYFUNCTION("GOOGLETRANSLATE(A3192,""bn"",""en"")"),"These earrings are the most treasured addition to my collection")</f>
        <v>These earrings are the most treasured addition to my collection</v>
      </c>
    </row>
    <row r="3193" spans="1:3" ht="15.75" customHeight="1" x14ac:dyDescent="0.25">
      <c r="A3193" s="2" t="s">
        <v>3195</v>
      </c>
      <c r="B3193" s="3" t="s">
        <v>4</v>
      </c>
      <c r="C3193" s="2" t="str">
        <f ca="1">IFERROR(__xludf.DUMMYFUNCTION("GOOGLETRANSLATE(A3193,""bn"",""en"")"),"In turbo mode this AC quickly cools the house and it is very useful to come home on a hot afternoon")</f>
        <v>In turbo mode this AC quickly cools the house and it is very useful to come home on a hot afternoon</v>
      </c>
    </row>
    <row r="3194" spans="1:3" ht="15.75" customHeight="1" x14ac:dyDescent="0.25">
      <c r="A3194" s="2" t="s">
        <v>3196</v>
      </c>
      <c r="B3194" s="3" t="s">
        <v>2</v>
      </c>
      <c r="C3194" s="2" t="str">
        <f ca="1">IFERROR(__xludf.DUMMYFUNCTION("GOOGLETRANSLATE(A3194,""bn"",""en"")"),"The toy is ok but nothing special")</f>
        <v>The toy is ok but nothing special</v>
      </c>
    </row>
    <row r="3195" spans="1:3" ht="15.75" customHeight="1" x14ac:dyDescent="0.25">
      <c r="A3195" s="2" t="s">
        <v>3197</v>
      </c>
      <c r="B3195" s="3" t="s">
        <v>2</v>
      </c>
      <c r="C3195" s="2" t="str">
        <f ca="1">IFERROR(__xludf.DUMMYFUNCTION("GOOGLETRANSLATE(A3195,""bn"",""en"")"),"Do not use extra hot water")</f>
        <v>Do not use extra hot water</v>
      </c>
    </row>
    <row r="3196" spans="1:3" ht="15.75" customHeight="1" x14ac:dyDescent="0.25">
      <c r="A3196" s="2" t="s">
        <v>3198</v>
      </c>
      <c r="B3196" s="3" t="s">
        <v>4</v>
      </c>
      <c r="C3196" s="2" t="str">
        <f ca="1">IFERROR(__xludf.DUMMYFUNCTION("GOOGLETRANSLATE(A3196,""bn"",""en"")"),"The aroma of tea is so appealing that I think about it all day long")</f>
        <v>The aroma of tea is so appealing that I think about it all day long</v>
      </c>
    </row>
    <row r="3197" spans="1:3" ht="15.75" customHeight="1" x14ac:dyDescent="0.25">
      <c r="A3197" s="2" t="s">
        <v>3199</v>
      </c>
      <c r="B3197" s="3" t="s">
        <v>6</v>
      </c>
      <c r="C3197" s="2" t="str">
        <f ca="1">IFERROR(__xludf.DUMMYFUNCTION("GOOGLETRANSLATE(A3197,""bn"",""en"")"),"High energy costs lead to inflated utility bills")</f>
        <v>High energy costs lead to inflated utility bills</v>
      </c>
    </row>
    <row r="3198" spans="1:3" ht="15.75" customHeight="1" x14ac:dyDescent="0.25">
      <c r="A3198" s="2" t="s">
        <v>3200</v>
      </c>
      <c r="B3198" s="3" t="s">
        <v>4</v>
      </c>
      <c r="C3198" s="2" t="str">
        <f ca="1">IFERROR(__xludf.DUMMYFUNCTION("GOOGLETRANSLATE(A3198,""bn"",""en"")"),"It gives my hair a massage like feeling on the scalp which is very relaxing")</f>
        <v>It gives my hair a massage like feeling on the scalp which is very relaxing</v>
      </c>
    </row>
    <row r="3199" spans="1:3" ht="15.75" customHeight="1" x14ac:dyDescent="0.25">
      <c r="A3199" s="2" t="s">
        <v>3201</v>
      </c>
      <c r="B3199" s="3" t="s">
        <v>6</v>
      </c>
      <c r="C3199" s="2" t="str">
        <f ca="1">IFERROR(__xludf.DUMMYFUNCTION("GOOGLETRANSLATE(A3199,""bn"",""en"")"),"Poor customer service is an unresolved issue")</f>
        <v>Poor customer service is an unresolved issue</v>
      </c>
    </row>
    <row r="3200" spans="1:3" ht="15.75" customHeight="1" x14ac:dyDescent="0.25">
      <c r="A3200" s="2" t="s">
        <v>3202</v>
      </c>
      <c r="B3200" s="3" t="s">
        <v>2</v>
      </c>
      <c r="C3200" s="2" t="str">
        <f ca="1">IFERROR(__xludf.DUMMYFUNCTION("GOOGLETRANSLATE(A3200,""bn"",""en"")"),"Quality is average")</f>
        <v>Quality is average</v>
      </c>
    </row>
    <row r="3201" spans="1:3" ht="15.75" customHeight="1" x14ac:dyDescent="0.25">
      <c r="A3201" s="2" t="s">
        <v>3203</v>
      </c>
      <c r="B3201" s="3" t="s">
        <v>6</v>
      </c>
      <c r="C3201" s="2" t="str">
        <f ca="1">IFERROR(__xludf.DUMMYFUNCTION("GOOGLETRANSLATE(A3201,""bn"",""en"")"),"Baby bottle nipples break during feeding which causes frustration for the baby")</f>
        <v>Baby bottle nipples break during feeding which causes frustration for the baby</v>
      </c>
    </row>
    <row r="3202" spans="1:3" ht="15.75" customHeight="1" x14ac:dyDescent="0.25">
      <c r="A3202" s="2" t="s">
        <v>3204</v>
      </c>
      <c r="B3202" s="3" t="s">
        <v>4</v>
      </c>
      <c r="C3202" s="2" t="str">
        <f ca="1">IFERROR(__xludf.DUMMYFUNCTION("GOOGLETRANSLATE(A3202,""bn"",""en"")"),"Beauty soap enhances skin radiance")</f>
        <v>Beauty soap enhances skin radiance</v>
      </c>
    </row>
    <row r="3203" spans="1:3" ht="15.75" customHeight="1" x14ac:dyDescent="0.25">
      <c r="A3203" s="2" t="s">
        <v>3205</v>
      </c>
      <c r="B3203" s="3" t="s">
        <v>2</v>
      </c>
      <c r="C3203" s="2" t="str">
        <f ca="1">IFERROR(__xludf.DUMMYFUNCTION("GOOGLETRANSLATE(A3203,""bn"",""en"")"),"Has a stylish look but not too modern")</f>
        <v>Has a stylish look but not too modern</v>
      </c>
    </row>
    <row r="3204" spans="1:3" ht="15.75" customHeight="1" x14ac:dyDescent="0.25">
      <c r="A3204" s="2" t="s">
        <v>3206</v>
      </c>
      <c r="B3204" s="3" t="s">
        <v>4</v>
      </c>
      <c r="C3204" s="2" t="str">
        <f ca="1">IFERROR(__xludf.DUMMYFUNCTION("GOOGLETRANSLATE(A3204,""bn"",""en"")"),"My winter nights are much more pleasant now")</f>
        <v>My winter nights are much more pleasant now</v>
      </c>
    </row>
    <row r="3205" spans="1:3" ht="15.75" customHeight="1" x14ac:dyDescent="0.25">
      <c r="A3205" s="2" t="s">
        <v>3207</v>
      </c>
      <c r="B3205" s="3" t="s">
        <v>2</v>
      </c>
      <c r="C3205" s="2" t="str">
        <f ca="1">IFERROR(__xludf.DUMMYFUNCTION("GOOGLETRANSLATE(A3205,""bn"",""en"")"),"Younger children need the help of an adult while playing")</f>
        <v>Younger children need the help of an adult while playing</v>
      </c>
    </row>
    <row r="3206" spans="1:3" ht="15.75" customHeight="1" x14ac:dyDescent="0.25">
      <c r="A3206" s="2" t="s">
        <v>3208</v>
      </c>
      <c r="B3206" s="3" t="s">
        <v>2</v>
      </c>
      <c r="C3206" s="2" t="str">
        <f ca="1">IFERROR(__xludf.DUMMYFUNCTION("GOOGLETRANSLATE(A3206,""bn"",""en"")"),"The tube of toothpaste has usage instructions")</f>
        <v>The tube of toothpaste has usage instructions</v>
      </c>
    </row>
    <row r="3207" spans="1:3" ht="15.75" customHeight="1" x14ac:dyDescent="0.25">
      <c r="A3207" s="2" t="s">
        <v>3209</v>
      </c>
      <c r="B3207" s="3" t="s">
        <v>6</v>
      </c>
      <c r="C3207" s="2" t="str">
        <f ca="1">IFERROR(__xludf.DUMMYFUNCTION("GOOGLETRANSLATE(A3207,""bn"",""en"")"),"Disappointing quality not recommended")</f>
        <v>Disappointing quality not recommended</v>
      </c>
    </row>
    <row r="3208" spans="1:3" ht="15.75" customHeight="1" x14ac:dyDescent="0.25">
      <c r="A3208" s="2" t="s">
        <v>3210</v>
      </c>
      <c r="B3208" s="3" t="s">
        <v>2</v>
      </c>
      <c r="C3208" s="2" t="str">
        <f ca="1">IFERROR(__xludf.DUMMYFUNCTION("GOOGLETRANSLATE(A3208,""bn"",""en"")"),"Has auto shutdown feature")</f>
        <v>Has auto shutdown feature</v>
      </c>
    </row>
    <row r="3209" spans="1:3" ht="15.75" customHeight="1" x14ac:dyDescent="0.25">
      <c r="A3209" s="2" t="s">
        <v>3211</v>
      </c>
      <c r="B3209" s="3" t="s">
        <v>6</v>
      </c>
      <c r="C3209" s="2" t="str">
        <f ca="1">IFERROR(__xludf.DUMMYFUNCTION("GOOGLETRANSLATE(A3209,""bn"",""en"")"),"The cups were too heavy to use")</f>
        <v>The cups were too heavy to use</v>
      </c>
    </row>
    <row r="3210" spans="1:3" ht="15.75" customHeight="1" x14ac:dyDescent="0.25">
      <c r="A3210" s="2" t="s">
        <v>3212</v>
      </c>
      <c r="B3210" s="3" t="s">
        <v>6</v>
      </c>
      <c r="C3210" s="2" t="str">
        <f ca="1">IFERROR(__xludf.DUMMYFUNCTION("GOOGLETRANSLATE(A3210,""bn"",""en"")")," The serum felt sticky and did not absorb properly")</f>
        <v xml:space="preserve"> The serum felt sticky and did not absorb properly</v>
      </c>
    </row>
    <row r="3211" spans="1:3" ht="15.75" customHeight="1" x14ac:dyDescent="0.25">
      <c r="A3211" s="2" t="s">
        <v>3213</v>
      </c>
      <c r="B3211" s="3" t="s">
        <v>2</v>
      </c>
      <c r="C3211" s="2" t="str">
        <f ca="1">IFERROR(__xludf.DUMMYFUNCTION("GOOGLETRANSLATE(A3211,""bn"",""en"")"),"Induction cooktop looks modern and functional but sometimes food does not cook quickly ")</f>
        <v xml:space="preserve">Induction cooktop looks modern and functional but sometimes food does not cook quickly </v>
      </c>
    </row>
    <row r="3212" spans="1:3" ht="15.75" customHeight="1" x14ac:dyDescent="0.25">
      <c r="A3212" s="2" t="s">
        <v>3214</v>
      </c>
      <c r="B3212" s="3" t="s">
        <v>2</v>
      </c>
      <c r="C3212" s="2" t="str">
        <f ca="1">IFERROR(__xludf.DUMMYFUNCTION("GOOGLETRANSLATE(A3212,""bn"",""en"")"),"Although the plant health improved, the yield was not so good")</f>
        <v>Although the plant health improved, the yield was not so good</v>
      </c>
    </row>
    <row r="3213" spans="1:3" ht="15.75" customHeight="1" x14ac:dyDescent="0.25">
      <c r="A3213" s="2" t="s">
        <v>3215</v>
      </c>
      <c r="B3213" s="3" t="s">
        <v>4</v>
      </c>
      <c r="C3213" s="2" t="str">
        <f ca="1">IFERROR(__xludf.DUMMYFUNCTION("GOOGLETRANSLATE(A3213,""bn"",""en"")"),"This dishwasher is very convenient for the kitchen")</f>
        <v>This dishwasher is very convenient for the kitchen</v>
      </c>
    </row>
    <row r="3214" spans="1:3" ht="15.75" customHeight="1" x14ac:dyDescent="0.25">
      <c r="A3214" s="2" t="s">
        <v>3216</v>
      </c>
      <c r="B3214" s="3" t="s">
        <v>6</v>
      </c>
      <c r="C3214" s="2" t="str">
        <f ca="1">IFERROR(__xludf.DUMMYFUNCTION("GOOGLETRANSLATE(A3214,""bn"",""en"")"),"The base makes it prone to tipping")</f>
        <v>The base makes it prone to tipping</v>
      </c>
    </row>
    <row r="3215" spans="1:3" ht="15.75" customHeight="1" x14ac:dyDescent="0.25">
      <c r="A3215" s="2" t="s">
        <v>3217</v>
      </c>
      <c r="B3215" s="3" t="s">
        <v>2</v>
      </c>
      <c r="C3215" s="2" t="str">
        <f ca="1">IFERROR(__xludf.DUMMYFUNCTION("GOOGLETRANSLATE(A3215,""bn"",""en"")"),"Be careful when working with the mop")</f>
        <v>Be careful when working with the mop</v>
      </c>
    </row>
    <row r="3216" spans="1:3" ht="15.75" customHeight="1" x14ac:dyDescent="0.25">
      <c r="A3216" s="2" t="s">
        <v>3218</v>
      </c>
      <c r="B3216" s="3" t="s">
        <v>2</v>
      </c>
      <c r="C3216" s="2" t="str">
        <f ca="1">IFERROR(__xludf.DUMMYFUNCTION("GOOGLETRANSLATE(A3216,""bn"",""en"")"),"This is useful for projects with few errors")</f>
        <v>This is useful for projects with few errors</v>
      </c>
    </row>
    <row r="3217" spans="1:3" ht="15.75" customHeight="1" x14ac:dyDescent="0.25">
      <c r="A3217" s="2" t="s">
        <v>3219</v>
      </c>
      <c r="B3217" s="3" t="s">
        <v>2</v>
      </c>
      <c r="C3217" s="2" t="str">
        <f ca="1">IFERROR(__xludf.DUMMYFUNCTION("GOOGLETRANSLATE(A3217,""bn"",""en"")"),"Bean size is medium neither too big nor too small")</f>
        <v>Bean size is medium neither too big nor too small</v>
      </c>
    </row>
    <row r="3218" spans="1:3" ht="15.75" customHeight="1" x14ac:dyDescent="0.25">
      <c r="A3218" s="2" t="s">
        <v>3220</v>
      </c>
      <c r="B3218" s="3" t="s">
        <v>2</v>
      </c>
      <c r="C3218" s="2" t="str">
        <f ca="1">IFERROR(__xludf.DUMMYFUNCTION("GOOGLETRANSLATE(A3218,""bn"",""en"")"),"The smell is good but the taste is more natural")</f>
        <v>The smell is good but the taste is more natural</v>
      </c>
    </row>
    <row r="3219" spans="1:3" ht="15.75" customHeight="1" x14ac:dyDescent="0.25">
      <c r="A3219" s="2" t="s">
        <v>3221</v>
      </c>
      <c r="B3219" s="3" t="s">
        <v>6</v>
      </c>
      <c r="C3219" s="2" t="str">
        <f ca="1">IFERROR(__xludf.DUMMYFUNCTION("GOOGLETRANSLATE(A3219,""bn"",""en"")"),"The baby monitor signal is weak resulting in frequent disconnections")</f>
        <v>The baby monitor signal is weak resulting in frequent disconnections</v>
      </c>
    </row>
    <row r="3220" spans="1:3" ht="15.75" customHeight="1" x14ac:dyDescent="0.25">
      <c r="A3220" s="2" t="s">
        <v>3222</v>
      </c>
      <c r="B3220" s="3" t="s">
        <v>2</v>
      </c>
      <c r="C3220" s="2" t="str">
        <f ca="1">IFERROR(__xludf.DUMMYFUNCTION("GOOGLETRANSLATE(A3220,""bn"",""en"")"),"The mop can be cleaned after use")</f>
        <v>The mop can be cleaned after use</v>
      </c>
    </row>
    <row r="3221" spans="1:3" ht="15.75" customHeight="1" x14ac:dyDescent="0.25">
      <c r="A3221" s="2" t="s">
        <v>3223</v>
      </c>
      <c r="B3221" s="3" t="s">
        <v>4</v>
      </c>
      <c r="C3221" s="2" t="str">
        <f ca="1">IFERROR(__xludf.DUMMYFUNCTION("GOOGLETRANSLATE(A3221,""bn"",""en"")"),"The shampoo provides great nourishment to the hair")</f>
        <v>The shampoo provides great nourishment to the hair</v>
      </c>
    </row>
    <row r="3222" spans="1:3" ht="15.75" customHeight="1" x14ac:dyDescent="0.25">
      <c r="A3222" s="2" t="s">
        <v>3224</v>
      </c>
      <c r="B3222" s="3" t="s">
        <v>6</v>
      </c>
      <c r="C3222" s="2" t="str">
        <f ca="1">IFERROR(__xludf.DUMMYFUNCTION("GOOGLETRANSLATE(A3222,""bn"",""en"")"),"The scent of bath salts was strong and artificial")</f>
        <v>The scent of bath salts was strong and artificial</v>
      </c>
    </row>
    <row r="3223" spans="1:3" ht="15.75" customHeight="1" x14ac:dyDescent="0.25">
      <c r="A3223" s="2" t="s">
        <v>3225</v>
      </c>
      <c r="B3223" s="3" t="s">
        <v>6</v>
      </c>
      <c r="C3223" s="2" t="str">
        <f ca="1">IFERROR(__xludf.DUMMYFUNCTION("GOOGLETRANSLATE(A3223,""bn"",""en"")"),"Not great for stenciling")</f>
        <v>Not great for stenciling</v>
      </c>
    </row>
    <row r="3224" spans="1:3" ht="15.75" customHeight="1" x14ac:dyDescent="0.25">
      <c r="A3224" s="2" t="s">
        <v>3226</v>
      </c>
      <c r="B3224" s="3" t="s">
        <v>6</v>
      </c>
      <c r="C3224" s="2" t="str">
        <f ca="1">IFERROR(__xludf.DUMMYFUNCTION("GOOGLETRANSLATE(A3224,""bn"",""en"")"),"Item features were difficult to access or use")</f>
        <v>Item features were difficult to access or use</v>
      </c>
    </row>
    <row r="3225" spans="1:3" ht="15.75" customHeight="1" x14ac:dyDescent="0.25">
      <c r="A3225" s="2" t="s">
        <v>3227</v>
      </c>
      <c r="B3225" s="3" t="s">
        <v>4</v>
      </c>
      <c r="C3225" s="2" t="str">
        <f ca="1">IFERROR(__xludf.DUMMYFUNCTION("GOOGLETRANSLATE(A3225,""bn"",""en"")"),"Airflow control is easy")</f>
        <v>Airflow control is easy</v>
      </c>
    </row>
    <row r="3226" spans="1:3" ht="15.75" customHeight="1" x14ac:dyDescent="0.25">
      <c r="A3226" s="2" t="s">
        <v>3228</v>
      </c>
      <c r="B3226" s="3" t="s">
        <v>6</v>
      </c>
      <c r="C3226" s="2" t="str">
        <f ca="1">IFERROR(__xludf.DUMMYFUNCTION("GOOGLETRANSLATE(A3226,""bn"",""en"")"),"Self-cleaning litter box jam waste accumulation")</f>
        <v>Self-cleaning litter box jam waste accumulation</v>
      </c>
    </row>
    <row r="3227" spans="1:3" ht="15.75" customHeight="1" x14ac:dyDescent="0.25">
      <c r="A3227" s="2" t="s">
        <v>3229</v>
      </c>
      <c r="B3227" s="3" t="s">
        <v>2</v>
      </c>
      <c r="C3227" s="2" t="str">
        <f ca="1">IFERROR(__xludf.DUMMYFUNCTION("GOOGLETRANSLATE(A3227,""bn"",""en"")"),"Provides some useful tips for caring for plants and flowers")</f>
        <v>Provides some useful tips for caring for plants and flowers</v>
      </c>
    </row>
    <row r="3228" spans="1:3" ht="15.75" customHeight="1" x14ac:dyDescent="0.25">
      <c r="A3228" s="2" t="s">
        <v>3230</v>
      </c>
      <c r="B3228" s="3" t="s">
        <v>4</v>
      </c>
      <c r="C3228" s="2" t="str">
        <f ca="1">IFERROR(__xludf.DUMMYFUNCTION("GOOGLETRANSLATE(A3228,""bn"",""en"")"),"After receiving the bed sheet ")</f>
        <v xml:space="preserve">After receiving the bed sheet </v>
      </c>
    </row>
    <row r="3229" spans="1:3" ht="15.75" customHeight="1" x14ac:dyDescent="0.25">
      <c r="A3229" s="2" t="s">
        <v>3231</v>
      </c>
      <c r="B3229" s="3" t="s">
        <v>4</v>
      </c>
      <c r="C3229" s="2" t="str">
        <f ca="1">IFERROR(__xludf.DUMMYFUNCTION("GOOGLETRANSLATE(A3229,""bn"",""en"")"),"Your skin will be attractive by using this body wash")</f>
        <v>Your skin will be attractive by using this body wash</v>
      </c>
    </row>
    <row r="3230" spans="1:3" ht="15.75" customHeight="1" x14ac:dyDescent="0.25">
      <c r="A3230" s="2" t="s">
        <v>3232</v>
      </c>
      <c r="B3230" s="3" t="s">
        <v>6</v>
      </c>
      <c r="C3230" s="2" t="str">
        <f ca="1">IFERROR(__xludf.DUMMYFUNCTION("GOOGLETRANSLATE(A3230,""bn"",""en"")")," Annoyingly noisy with loud screeching when opening or closing door hinges")</f>
        <v xml:space="preserve"> Annoyingly noisy with loud screeching when opening or closing door hinges</v>
      </c>
    </row>
    <row r="3231" spans="1:3" ht="15.75" customHeight="1" x14ac:dyDescent="0.25">
      <c r="A3231" s="2" t="s">
        <v>3233</v>
      </c>
      <c r="B3231" s="3" t="s">
        <v>6</v>
      </c>
      <c r="C3231" s="2" t="str">
        <f ca="1">IFERROR(__xludf.DUMMYFUNCTION("GOOGLETRANSLATE(A3231,""bn"",""en"")"),"Failed to deal with recurring error")</f>
        <v>Failed to deal with recurring error</v>
      </c>
    </row>
    <row r="3232" spans="1:3" ht="15.75" customHeight="1" x14ac:dyDescent="0.25">
      <c r="A3232" s="2" t="s">
        <v>3234</v>
      </c>
      <c r="B3232" s="3" t="s">
        <v>4</v>
      </c>
      <c r="C3232" s="2" t="str">
        <f ca="1">IFERROR(__xludf.DUMMYFUNCTION("GOOGLETRANSLATE(A3232,""bn"",""en"")"),"The details of the paintings are absolutely perfect")</f>
        <v>The details of the paintings are absolutely perfect</v>
      </c>
    </row>
    <row r="3233" spans="1:3" ht="15.75" customHeight="1" x14ac:dyDescent="0.25">
      <c r="A3233" s="2" t="s">
        <v>3235</v>
      </c>
      <c r="B3233" s="3" t="s">
        <v>6</v>
      </c>
      <c r="C3233" s="2" t="str">
        <f ca="1">IFERROR(__xludf.DUMMYFUNCTION("GOOGLETRANSLATE(A3233,""bn"",""en"")"),"Hair conditioner weighs hair down and makes it feel greasy rather than soft and manageable")</f>
        <v>Hair conditioner weighs hair down and makes it feel greasy rather than soft and manageable</v>
      </c>
    </row>
    <row r="3234" spans="1:3" ht="15.75" customHeight="1" x14ac:dyDescent="0.25">
      <c r="A3234" s="2" t="s">
        <v>3236</v>
      </c>
      <c r="B3234" s="3" t="s">
        <v>6</v>
      </c>
      <c r="C3234" s="2" t="str">
        <f ca="1">IFERROR(__xludf.DUMMYFUNCTION("GOOGLETRANSLATE(A3234,""bn"",""en"")"),"Hair oil makes my hair look greasy and unwashed")</f>
        <v>Hair oil makes my hair look greasy and unwashed</v>
      </c>
    </row>
    <row r="3235" spans="1:3" ht="15.75" customHeight="1" x14ac:dyDescent="0.25">
      <c r="A3235" s="2" t="s">
        <v>3237</v>
      </c>
      <c r="B3235" s="3" t="s">
        <v>6</v>
      </c>
      <c r="C3235" s="2" t="str">
        <f ca="1">IFERROR(__xludf.DUMMYFUNCTION("GOOGLETRANSLATE(A3235,""bn"",""en"")"),"The SIM card slot is flimsy and prone to ejecting the SIM card unexpectedly")</f>
        <v>The SIM card slot is flimsy and prone to ejecting the SIM card unexpectedly</v>
      </c>
    </row>
    <row r="3236" spans="1:3" ht="15.75" customHeight="1" x14ac:dyDescent="0.25">
      <c r="A3236" s="2" t="s">
        <v>3238</v>
      </c>
      <c r="B3236" s="3" t="s">
        <v>6</v>
      </c>
      <c r="C3236" s="2" t="str">
        <f ca="1">IFERROR(__xludf.DUMMYFUNCTION("GOOGLETRANSLATE(A3236,""bn"",""en"")"),"The rough interior surface scratches delicate items")</f>
        <v>The rough interior surface scratches delicate items</v>
      </c>
    </row>
    <row r="3237" spans="1:3" ht="15.75" customHeight="1" x14ac:dyDescent="0.25">
      <c r="A3237" s="2" t="s">
        <v>3239</v>
      </c>
      <c r="B3237" s="3" t="s">
        <v>4</v>
      </c>
      <c r="C3237" s="2" t="str">
        <f ca="1">IFERROR(__xludf.DUMMYFUNCTION("GOOGLETRANSLATE(A3237,""bn"",""en"")"),"This ring is very easy to use and suitable for special occasions")</f>
        <v>This ring is very easy to use and suitable for special occasions</v>
      </c>
    </row>
    <row r="3238" spans="1:3" ht="15.75" customHeight="1" x14ac:dyDescent="0.25">
      <c r="A3238" s="2" t="s">
        <v>3240</v>
      </c>
      <c r="B3238" s="3" t="s">
        <v>2</v>
      </c>
      <c r="C3238" s="2" t="str">
        <f ca="1">IFERROR(__xludf.DUMMYFUNCTION("GOOGLETRANSLATE(A3238,""bn"",""en"")"),"The reel is good but some filaments get tangled easily")</f>
        <v>The reel is good but some filaments get tangled easily</v>
      </c>
    </row>
    <row r="3239" spans="1:3" ht="15.75" customHeight="1" x14ac:dyDescent="0.25">
      <c r="A3239" s="2" t="s">
        <v>3241</v>
      </c>
      <c r="B3239" s="3" t="s">
        <v>4</v>
      </c>
      <c r="C3239" s="2" t="str">
        <f ca="1">IFERROR(__xludf.DUMMYFUNCTION("GOOGLETRANSLATE(A3239,""bn"",""en"")"),"This body wash removes harmful substances from the skin")</f>
        <v>This body wash removes harmful substances from the skin</v>
      </c>
    </row>
    <row r="3240" spans="1:3" ht="15.75" customHeight="1" x14ac:dyDescent="0.25">
      <c r="A3240" s="2" t="s">
        <v>3242</v>
      </c>
      <c r="B3240" s="3" t="s">
        <v>4</v>
      </c>
      <c r="C3240" s="2" t="str">
        <f ca="1">IFERROR(__xludf.DUMMYFUNCTION("GOOGLETRANSLATE(A3240,""bn"",""en"")"),"Makeup brushes work with different formulas")</f>
        <v>Makeup brushes work with different formulas</v>
      </c>
    </row>
    <row r="3241" spans="1:3" ht="15.75" customHeight="1" x14ac:dyDescent="0.25">
      <c r="A3241" s="2" t="s">
        <v>3243</v>
      </c>
      <c r="B3241" s="3" t="s">
        <v>6</v>
      </c>
      <c r="C3241" s="2" t="str">
        <f ca="1">IFERROR(__xludf.DUMMYFUNCTION("GOOGLETRANSLATE(A3241,""bn"",""en"")"),"No connectivity option")</f>
        <v>No connectivity option</v>
      </c>
    </row>
    <row r="3242" spans="1:3" ht="15.75" customHeight="1" x14ac:dyDescent="0.25">
      <c r="A3242" s="2" t="s">
        <v>3244</v>
      </c>
      <c r="B3242" s="3" t="s">
        <v>4</v>
      </c>
      <c r="C3242" s="2" t="str">
        <f ca="1">IFERROR(__xludf.DUMMYFUNCTION("GOOGLETRANSLATE(A3242,""bn"",""en"")"),"I am sure it will win your heart")</f>
        <v>I am sure it will win your heart</v>
      </c>
    </row>
    <row r="3243" spans="1:3" ht="15.75" customHeight="1" x14ac:dyDescent="0.25">
      <c r="A3243" s="2" t="s">
        <v>3245</v>
      </c>
      <c r="B3243" s="3" t="s">
        <v>2</v>
      </c>
      <c r="C3243" s="2" t="str">
        <f ca="1">IFERROR(__xludf.DUMMYFUNCTION("GOOGLETRANSLATE(A3243,""bn"",""en"")"),"Corners are generally safe")</f>
        <v>Corners are generally safe</v>
      </c>
    </row>
    <row r="3244" spans="1:3" ht="15.75" customHeight="1" x14ac:dyDescent="0.25">
      <c r="A3244" s="2" t="s">
        <v>3246</v>
      </c>
      <c r="B3244" s="3" t="s">
        <v>2</v>
      </c>
      <c r="C3244" s="2" t="str">
        <f ca="1">IFERROR(__xludf.DUMMYFUNCTION("GOOGLETRANSLATE(A3244,""bn"",""en"")"),"Pretty good but needs some improvement")</f>
        <v>Pretty good but needs some improvement</v>
      </c>
    </row>
    <row r="3245" spans="1:3" ht="15.75" customHeight="1" x14ac:dyDescent="0.25">
      <c r="A3245" s="2" t="s">
        <v>3247</v>
      </c>
      <c r="B3245" s="3" t="s">
        <v>2</v>
      </c>
      <c r="C3245" s="2" t="str">
        <f ca="1">IFERROR(__xludf.DUMMYFUNCTION("GOOGLETRANSLATE(A3245,""bn"",""en"")"),"Easy setup so far no issues questionable durability")</f>
        <v>Easy setup so far no issues questionable durability</v>
      </c>
    </row>
    <row r="3246" spans="1:3" ht="15.75" customHeight="1" x14ac:dyDescent="0.25">
      <c r="A3246" s="2" t="s">
        <v>3248</v>
      </c>
      <c r="B3246" s="3" t="s">
        <v>6</v>
      </c>
      <c r="C3246" s="2" t="str">
        <f ca="1">IFERROR(__xludf.DUMMYFUNCTION("GOOGLETRANSLATE(A3246,""bn"",""en"")"),"Dirty Rabbit is a series of disasters
Visual monotony fails to captivate")</f>
        <v>Dirty Rabbit is a series of disasters
Visual monotony fails to captivate</v>
      </c>
    </row>
    <row r="3247" spans="1:3" ht="15.75" customHeight="1" x14ac:dyDescent="0.25">
      <c r="A3247" s="2" t="s">
        <v>3249</v>
      </c>
      <c r="B3247" s="3" t="s">
        <v>4</v>
      </c>
      <c r="C3247" s="2" t="str">
        <f ca="1">IFERROR(__xludf.DUMMYFUNCTION("GOOGLETRANSLATE(A3247,""bn"",""en"")"),"Compact yet powerful")</f>
        <v>Compact yet powerful</v>
      </c>
    </row>
    <row r="3248" spans="1:3" ht="15.75" customHeight="1" x14ac:dyDescent="0.25">
      <c r="A3248" s="2" t="s">
        <v>3250</v>
      </c>
      <c r="B3248" s="3" t="s">
        <v>6</v>
      </c>
      <c r="C3248" s="2" t="str">
        <f ca="1">IFERROR(__xludf.DUMMYFUNCTION("GOOGLETRANSLATE(A3248,""bn"",""en"")"),"Fabric stiffness makes movement uncomfortable")</f>
        <v>Fabric stiffness makes movement uncomfortable</v>
      </c>
    </row>
    <row r="3249" spans="1:3" ht="15.75" customHeight="1" x14ac:dyDescent="0.25">
      <c r="A3249" s="2" t="s">
        <v>3251</v>
      </c>
      <c r="B3249" s="3" t="s">
        <v>2</v>
      </c>
      <c r="C3249" s="2" t="str">
        <f ca="1">IFERROR(__xludf.DUMMYFUNCTION("GOOGLETRANSLATE(A3249,""bn"",""en"")"),"Stackable but becomes unstable at height")</f>
        <v>Stackable but becomes unstable at height</v>
      </c>
    </row>
    <row r="3250" spans="1:3" ht="15.75" customHeight="1" x14ac:dyDescent="0.25">
      <c r="A3250" s="2" t="s">
        <v>3252</v>
      </c>
      <c r="B3250" s="3" t="s">
        <v>2</v>
      </c>
      <c r="C3250" s="2" t="str">
        <f ca="1">IFERROR(__xludf.DUMMYFUNCTION("GOOGLETRANSLATE(A3250,""bn"",""en"")"),"Suitable for transport but may break if dropped")</f>
        <v>Suitable for transport but may break if dropped</v>
      </c>
    </row>
    <row r="3251" spans="1:3" ht="15.75" customHeight="1" x14ac:dyDescent="0.25">
      <c r="A3251" s="2" t="s">
        <v>3253</v>
      </c>
      <c r="B3251" s="3" t="s">
        <v>6</v>
      </c>
      <c r="C3251" s="2" t="str">
        <f ca="1">IFERROR(__xludf.DUMMYFUNCTION("GOOGLETRANSLATE(A3251,""bn"",""en"")"),"UNSEALED PACKAGE PRODUCT CONDITION UNKNOWN")</f>
        <v>UNSEALED PACKAGE PRODUCT CONDITION UNKNOWN</v>
      </c>
    </row>
    <row r="3252" spans="1:3" ht="15.75" customHeight="1" x14ac:dyDescent="0.25">
      <c r="A3252" s="2" t="s">
        <v>3254</v>
      </c>
      <c r="B3252" s="3" t="s">
        <v>2</v>
      </c>
      <c r="C3252" s="2" t="str">
        <f ca="1">IFERROR(__xludf.DUMMYFUNCTION("GOOGLETRANSLATE(A3252,""bn"",""en"")"),"I have a balanced opinion about it")</f>
        <v>I have a balanced opinion about it</v>
      </c>
    </row>
    <row r="3253" spans="1:3" ht="15.75" customHeight="1" x14ac:dyDescent="0.25">
      <c r="A3253" s="2" t="s">
        <v>3255</v>
      </c>
      <c r="B3253" s="3" t="s">
        <v>6</v>
      </c>
      <c r="C3253" s="2" t="str">
        <f ca="1">IFERROR(__xludf.DUMMYFUNCTION("GOOGLETRANSLATE(A3253,""bn"",""en"")"),"Toy buttons were the unresponsive frustrated child")</f>
        <v>Toy buttons were the unresponsive frustrated child</v>
      </c>
    </row>
    <row r="3254" spans="1:3" ht="15.75" customHeight="1" x14ac:dyDescent="0.25">
      <c r="A3254" s="2" t="s">
        <v>3256</v>
      </c>
      <c r="B3254" s="3" t="s">
        <v>6</v>
      </c>
      <c r="C3254" s="2" t="str">
        <f ca="1">IFERROR(__xludf.DUMMYFUNCTION("GOOGLETRANSLATE(A3254,""bn"",""en"")")," The door handle broke after only a few months of use which is incredibly frustrating")</f>
        <v xml:space="preserve"> The door handle broke after only a few months of use which is incredibly frustrating</v>
      </c>
    </row>
    <row r="3255" spans="1:3" ht="15.75" customHeight="1" x14ac:dyDescent="0.25">
      <c r="A3255" s="2" t="s">
        <v>3257</v>
      </c>
      <c r="B3255" s="3" t="s">
        <v>2</v>
      </c>
      <c r="C3255" s="2" t="str">
        <f ca="1">IFERROR(__xludf.DUMMYFUNCTION("GOOGLETRANSLATE(A3255,""bn"",""en"")"),"Comfortable to a certain extent but prone to pilling")</f>
        <v>Comfortable to a certain extent but prone to pilling</v>
      </c>
    </row>
    <row r="3256" spans="1:3" ht="15.75" customHeight="1" x14ac:dyDescent="0.25">
      <c r="A3256" s="2" t="s">
        <v>3258</v>
      </c>
      <c r="B3256" s="3" t="s">
        <v>6</v>
      </c>
      <c r="C3256" s="2" t="str">
        <f ca="1">IFERROR(__xludf.DUMMYFUNCTION("GOOGLETRANSLATE(A3256,""bn"",""en"")"),"Great value could have been better")</f>
        <v>Great value could have been better</v>
      </c>
    </row>
    <row r="3257" spans="1:3" ht="15.75" customHeight="1" x14ac:dyDescent="0.25">
      <c r="A3257" s="2" t="s">
        <v>3259</v>
      </c>
      <c r="B3257" s="3" t="s">
        <v>6</v>
      </c>
      <c r="C3257" s="2" t="str">
        <f ca="1">IFERROR(__xludf.DUMMYFUNCTION("GOOGLETRANSLATE(A3257,""bn"",""en"")"),"Fridge dimensions were incorrectly listed resulting in inconsistencies with kitchen space")</f>
        <v>Fridge dimensions were incorrectly listed resulting in inconsistencies with kitchen space</v>
      </c>
    </row>
    <row r="3258" spans="1:3" ht="15.75" customHeight="1" x14ac:dyDescent="0.25">
      <c r="A3258" s="2" t="s">
        <v>3260</v>
      </c>
      <c r="B3258" s="3" t="s">
        <v>4</v>
      </c>
      <c r="C3258" s="2" t="str">
        <f ca="1">IFERROR(__xludf.DUMMYFUNCTION("GOOGLETRANSLATE(A3258,""bn"",""en"")"),"I don't get bored even if I see it every day")</f>
        <v>I don't get bored even if I see it every day</v>
      </c>
    </row>
    <row r="3259" spans="1:3" ht="15.75" customHeight="1" x14ac:dyDescent="0.25">
      <c r="A3259" s="2" t="s">
        <v>3261</v>
      </c>
      <c r="B3259" s="3" t="s">
        <v>6</v>
      </c>
      <c r="C3259" s="2" t="str">
        <f ca="1">IFERROR(__xludf.DUMMYFUNCTION("GOOGLETRANSLATE(A3259,""bn"",""en"")"),"The beans were oily and greasy indicating over-roasting")</f>
        <v>The beans were oily and greasy indicating over-roasting</v>
      </c>
    </row>
    <row r="3260" spans="1:3" ht="15.75" customHeight="1" x14ac:dyDescent="0.25">
      <c r="A3260" s="2" t="s">
        <v>3262</v>
      </c>
      <c r="B3260" s="3" t="s">
        <v>6</v>
      </c>
      <c r="C3260" s="2" t="str">
        <f ca="1">IFERROR(__xludf.DUMMYFUNCTION("GOOGLETRANSLATE(A3260,""bn"",""en"")"),"The fog had a cheap smell that felt like chemicals")</f>
        <v>The fog had a cheap smell that felt like chemicals</v>
      </c>
    </row>
    <row r="3261" spans="1:3" ht="15.75" customHeight="1" x14ac:dyDescent="0.25">
      <c r="A3261" s="2" t="s">
        <v>3263</v>
      </c>
      <c r="B3261" s="3" t="s">
        <v>6</v>
      </c>
      <c r="C3261" s="2" t="str">
        <f ca="1">IFERROR(__xludf.DUMMYFUNCTION("GOOGLETRANSLATE(A3261,""bn"",""en"")"),"  The zippers constantly get stuck making it annoying to open and close")</f>
        <v xml:space="preserve">  The zippers constantly get stuck making it annoying to open and close</v>
      </c>
    </row>
    <row r="3262" spans="1:3" ht="15.75" customHeight="1" x14ac:dyDescent="0.25">
      <c r="A3262" s="2" t="s">
        <v>3264</v>
      </c>
      <c r="B3262" s="3" t="s">
        <v>4</v>
      </c>
      <c r="C3262" s="2" t="str">
        <f ca="1">IFERROR(__xludf.DUMMYFUNCTION("GOOGLETRANSLATE(A3262,""bn"",""en"")"),"The dress is suitable for all seasons")</f>
        <v>The dress is suitable for all seasons</v>
      </c>
    </row>
    <row r="3263" spans="1:3" ht="15.75" customHeight="1" x14ac:dyDescent="0.25">
      <c r="A3263" s="2" t="s">
        <v>3265</v>
      </c>
      <c r="B3263" s="3" t="s">
        <v>2</v>
      </c>
      <c r="C3263" s="2" t="str">
        <f ca="1">IFERROR(__xludf.DUMMYFUNCTION("GOOGLETRANSLATE(A3263,""bn"",""en"")"),"Car vacuum cleans dirt but less power")</f>
        <v>Car vacuum cleans dirt but less power</v>
      </c>
    </row>
    <row r="3264" spans="1:3" ht="15.75" customHeight="1" x14ac:dyDescent="0.25">
      <c r="A3264" s="2" t="s">
        <v>3266</v>
      </c>
      <c r="B3264" s="3" t="s">
        <v>6</v>
      </c>
      <c r="C3264" s="2" t="str">
        <f ca="1">IFERROR(__xludf.DUMMYFUNCTION("GOOGLETRANSLATE(A3264,""bn"",""en"")"),"Limited lens compatibility limits the camera's potential for future upgrades and expansion")</f>
        <v>Limited lens compatibility limits the camera's potential for future upgrades and expansion</v>
      </c>
    </row>
    <row r="3265" spans="1:3" ht="15.75" customHeight="1" x14ac:dyDescent="0.25">
      <c r="A3265" s="2" t="s">
        <v>3267</v>
      </c>
      <c r="B3265" s="3" t="s">
        <v>2</v>
      </c>
      <c r="C3265" s="2" t="str">
        <f ca="1">IFERROR(__xludf.DUMMYFUNCTION("GOOGLETRANSLATE(A3265,""bn"",""en"")"),"A little cheaper than other brands")</f>
        <v>A little cheaper than other brands</v>
      </c>
    </row>
    <row r="3266" spans="1:3" ht="15.75" customHeight="1" x14ac:dyDescent="0.25">
      <c r="A3266" s="2" t="s">
        <v>3268</v>
      </c>
      <c r="B3266" s="3" t="s">
        <v>2</v>
      </c>
      <c r="C3266" s="2" t="str">
        <f ca="1">IFERROR(__xludf.DUMMYFUNCTION("GOOGLETRANSLATE(A3266,""bn"",""en"")"),"Battery backup seems a little low")</f>
        <v>Battery backup seems a little low</v>
      </c>
    </row>
    <row r="3267" spans="1:3" ht="15.75" customHeight="1" x14ac:dyDescent="0.25">
      <c r="A3267" s="2" t="s">
        <v>3269</v>
      </c>
      <c r="B3267" s="3" t="s">
        <v>4</v>
      </c>
      <c r="C3267" s="2" t="str">
        <f ca="1">IFERROR(__xludf.DUMMYFUNCTION("GOOGLETRANSLATE(A3267,""bn"",""en"")"),"Each incident is narrated very vividly")</f>
        <v>Each incident is narrated very vividly</v>
      </c>
    </row>
    <row r="3268" spans="1:3" ht="15.75" customHeight="1" x14ac:dyDescent="0.25">
      <c r="A3268" s="2" t="s">
        <v>3270</v>
      </c>
      <c r="B3268" s="3" t="s">
        <v>6</v>
      </c>
      <c r="C3268" s="2" t="str">
        <f ca="1">IFERROR(__xludf.DUMMYFUNCTION("GOOGLETRANSLATE(A3268,""bn"",""en"")"),"The charger adapter overheats during use which poses a safety concern")</f>
        <v>The charger adapter overheats during use which poses a safety concern</v>
      </c>
    </row>
    <row r="3269" spans="1:3" ht="15.75" customHeight="1" x14ac:dyDescent="0.25">
      <c r="A3269" s="2" t="s">
        <v>3271</v>
      </c>
      <c r="B3269" s="3" t="s">
        <v>2</v>
      </c>
      <c r="C3269" s="2" t="str">
        <f ca="1">IFERROR(__xludf.DUMMYFUNCTION("GOOGLETRANSLATE(A3269,""bn"",""en"")"),"Covering the base is sufficient")</f>
        <v>Covering the base is sufficient</v>
      </c>
    </row>
    <row r="3270" spans="1:3" ht="15.75" customHeight="1" x14ac:dyDescent="0.25">
      <c r="A3270" s="2" t="s">
        <v>3272</v>
      </c>
      <c r="B3270" s="3" t="s">
        <v>6</v>
      </c>
      <c r="C3270" s="2" t="str">
        <f ca="1">IFERROR(__xludf.DUMMYFUNCTION("GOOGLETRANSLATE(A3270,""bn"",""en"")"),"The display screen of the Smart Kitchen Scale is difficult to read in very dim bright light")</f>
        <v>The display screen of the Smart Kitchen Scale is difficult to read in very dim bright light</v>
      </c>
    </row>
    <row r="3271" spans="1:3" ht="15.75" customHeight="1" x14ac:dyDescent="0.25">
      <c r="A3271" s="2" t="s">
        <v>3273</v>
      </c>
      <c r="B3271" s="3" t="s">
        <v>6</v>
      </c>
      <c r="C3271" s="2" t="str">
        <f ca="1">IFERROR(__xludf.DUMMYFUNCTION("GOOGLETRANSLATE(A3271,""bn"",""en"")"),"A refrigerator's cooling system is noisy and disruptive, especially in small living spaces")</f>
        <v>A refrigerator's cooling system is noisy and disruptive, especially in small living spaces</v>
      </c>
    </row>
    <row r="3272" spans="1:3" ht="15.75" customHeight="1" x14ac:dyDescent="0.25">
      <c r="A3272" s="2" t="s">
        <v>3274</v>
      </c>
      <c r="B3272" s="3" t="s">
        <v>6</v>
      </c>
      <c r="C3272" s="2" t="str">
        <f ca="1">IFERROR(__xludf.DUMMYFUNCTION("GOOGLETRANSLATE(A3272,""bn"",""en"")"),"The water bottle holder in the backpack was torn causing the bottle to fall out")</f>
        <v>The water bottle holder in the backpack was torn causing the bottle to fall out</v>
      </c>
    </row>
    <row r="3273" spans="1:3" ht="15.75" customHeight="1" x14ac:dyDescent="0.25">
      <c r="A3273" s="2" t="s">
        <v>3275</v>
      </c>
      <c r="B3273" s="3" t="s">
        <v>4</v>
      </c>
      <c r="C3273" s="2" t="str">
        <f ca="1">IFERROR(__xludf.DUMMYFUNCTION("GOOGLETRANSLATE(A3273,""bn"",""en"")"),"The brush is lightweight so can be used for long periods of time without tiring")</f>
        <v>The brush is lightweight so can be used for long periods of time without tiring</v>
      </c>
    </row>
    <row r="3274" spans="1:3" ht="15.75" customHeight="1" x14ac:dyDescent="0.25">
      <c r="A3274" s="2" t="s">
        <v>3276</v>
      </c>
      <c r="B3274" s="3" t="s">
        <v>6</v>
      </c>
      <c r="C3274" s="2" t="str">
        <f ca="1">IFERROR(__xludf.DUMMYFUNCTION("GOOGLETRANSLATE(A3274,""bn"",""en"")"),"The fridge came with a dent in the door which was disappointing")</f>
        <v>The fridge came with a dent in the door which was disappointing</v>
      </c>
    </row>
    <row r="3275" spans="1:3" ht="15.75" customHeight="1" x14ac:dyDescent="0.25">
      <c r="A3275" s="2" t="s">
        <v>3277</v>
      </c>
      <c r="B3275" s="3" t="s">
        <v>6</v>
      </c>
      <c r="C3275" s="2" t="str">
        <f ca="1">IFERROR(__xludf.DUMMYFUNCTION("GOOGLETRANSLATE(A3275,""bn"",""en"")"),"The charging cable connector of the power bank is easily disconnected with a slight movement")</f>
        <v>The charging cable connector of the power bank is easily disconnected with a slight movement</v>
      </c>
    </row>
    <row r="3276" spans="1:3" ht="15.75" customHeight="1" x14ac:dyDescent="0.25">
      <c r="A3276" s="2" t="s">
        <v>3278</v>
      </c>
      <c r="B3276" s="3" t="s">
        <v>6</v>
      </c>
      <c r="C3276" s="2" t="str">
        <f ca="1">IFERROR(__xludf.DUMMYFUNCTION("GOOGLETRANSLATE(A3276,""bn"",""en"")"),"The bottled smoothie was too thick and had an unpleasant artificial sweetener")</f>
        <v>The bottled smoothie was too thick and had an unpleasant artificial sweetener</v>
      </c>
    </row>
    <row r="3277" spans="1:3" ht="15.75" customHeight="1" x14ac:dyDescent="0.25">
      <c r="A3277" s="2" t="s">
        <v>3279</v>
      </c>
      <c r="B3277" s="3" t="s">
        <v>4</v>
      </c>
      <c r="C3277" s="2" t="str">
        <f ca="1">IFERROR(__xludf.DUMMYFUNCTION("GOOGLETRANSLATE(A3277,""bn"",""en"")"),"It enhances the beauty of the makeup")</f>
        <v>It enhances the beauty of the makeup</v>
      </c>
    </row>
    <row r="3278" spans="1:3" ht="15.75" customHeight="1" x14ac:dyDescent="0.25">
      <c r="A3278" s="2" t="s">
        <v>3280</v>
      </c>
      <c r="B3278" s="3" t="s">
        <v>2</v>
      </c>
      <c r="C3278" s="2" t="str">
        <f ca="1">IFERROR(__xludf.DUMMYFUNCTION("GOOGLETRANSLATE(A3278,""bn"",""en"")"),"The canvas material looks light and thin")</f>
        <v>The canvas material looks light and thin</v>
      </c>
    </row>
    <row r="3279" spans="1:3" ht="15.75" customHeight="1" x14ac:dyDescent="0.25">
      <c r="A3279" s="2" t="s">
        <v>3281</v>
      </c>
      <c r="B3279" s="3" t="s">
        <v>2</v>
      </c>
      <c r="C3279" s="2" t="str">
        <f ca="1">IFERROR(__xludf.DUMMYFUNCTION("GOOGLETRANSLATE(A3279,""bn"",""en"")"),"I have neutral feelings about it")</f>
        <v>I have neutral feelings about it</v>
      </c>
    </row>
    <row r="3280" spans="1:3" ht="15.75" customHeight="1" x14ac:dyDescent="0.25">
      <c r="A3280" s="2" t="s">
        <v>3282</v>
      </c>
      <c r="B3280" s="3" t="s">
        <v>4</v>
      </c>
      <c r="C3280" s="2" t="str">
        <f ca="1">IFERROR(__xludf.DUMMYFUNCTION("GOOGLETRANSLATE(A3280,""bn"",""en"")"),"Its versatile uses have impressed me")</f>
        <v>Its versatile uses have impressed me</v>
      </c>
    </row>
    <row r="3281" spans="1:3" ht="15.75" customHeight="1" x14ac:dyDescent="0.25">
      <c r="A3281" s="2" t="s">
        <v>3283</v>
      </c>
      <c r="B3281" s="3" t="s">
        <v>6</v>
      </c>
      <c r="C3281" s="2" t="str">
        <f ca="1">IFERROR(__xludf.DUMMYFUNCTION("GOOGLETRANSLATE(A3281,""bn"",""en"")"),"Lacks structural integrity causing it to lose shape and sag awkwardly after minimal wear")</f>
        <v>Lacks structural integrity causing it to lose shape and sag awkwardly after minimal wear</v>
      </c>
    </row>
    <row r="3282" spans="1:3" ht="15.75" customHeight="1" x14ac:dyDescent="0.25">
      <c r="A3282" s="2" t="s">
        <v>3284</v>
      </c>
      <c r="B3282" s="3" t="s">
        <v>4</v>
      </c>
      <c r="C3282" s="2" t="str">
        <f ca="1">IFERROR(__xludf.DUMMYFUNCTION("GOOGLETRANSLATE(A3282,""bn"",""en"")"),"This body wash removes excess oil from the skin")</f>
        <v>This body wash removes excess oil from the skin</v>
      </c>
    </row>
    <row r="3283" spans="1:3" ht="15.75" customHeight="1" x14ac:dyDescent="0.25">
      <c r="A3283" s="2" t="s">
        <v>3285</v>
      </c>
      <c r="B3283" s="3" t="s">
        <v>6</v>
      </c>
      <c r="C3283" s="2" t="str">
        <f ca="1">IFERROR(__xludf.DUMMYFUNCTION("GOOGLETRANSLATE(A3283,""bn"",""en"")"),"The product had a strong chemical smell")</f>
        <v>The product had a strong chemical smell</v>
      </c>
    </row>
    <row r="3284" spans="1:3" ht="15.75" customHeight="1" x14ac:dyDescent="0.25">
      <c r="A3284" s="2" t="s">
        <v>3286</v>
      </c>
      <c r="B3284" s="3" t="s">
        <v>2</v>
      </c>
      <c r="C3284" s="2" t="str">
        <f ca="1">IFERROR(__xludf.DUMMYFUNCTION("GOOGLETRANSLATE(A3284,""bn"",""en"")"),"The sports belt buckle is strong but the leather is very tough")</f>
        <v>The sports belt buckle is strong but the leather is very tough</v>
      </c>
    </row>
    <row r="3285" spans="1:3" ht="15.75" customHeight="1" x14ac:dyDescent="0.25">
      <c r="A3285" s="2" t="s">
        <v>3287</v>
      </c>
      <c r="B3285" s="3" t="s">
        <v>4</v>
      </c>
      <c r="C3285" s="2" t="str">
        <f ca="1">IFERROR(__xludf.DUMMYFUNCTION("GOOGLETRANSLATE(A3285,""bn"",""en"")"),"The garment is comfortable on the skin")</f>
        <v>The garment is comfortable on the skin</v>
      </c>
    </row>
    <row r="3286" spans="1:3" ht="15.75" customHeight="1" x14ac:dyDescent="0.25">
      <c r="A3286" s="2" t="s">
        <v>3288</v>
      </c>
      <c r="B3286" s="3" t="s">
        <v>4</v>
      </c>
      <c r="C3286" s="2" t="str">
        <f ca="1">IFERROR(__xludf.DUMMYFUNCTION("GOOGLETRANSLATE(A3286,""bn"",""en"")"),"The girl does yoga regularly every day")</f>
        <v>The girl does yoga regularly every day</v>
      </c>
    </row>
    <row r="3287" spans="1:3" ht="15.75" customHeight="1" x14ac:dyDescent="0.25">
      <c r="A3287" s="2" t="s">
        <v>3289</v>
      </c>
      <c r="B3287" s="3" t="s">
        <v>2</v>
      </c>
      <c r="C3287" s="2" t="str">
        <f ca="1">IFERROR(__xludf.DUMMYFUNCTION("GOOGLETRANSLATE(A3287,""bn"",""en"")"),"Fertilizer effectiveness was general but some plants may be stronger")</f>
        <v>Fertilizer effectiveness was general but some plants may be stronger</v>
      </c>
    </row>
    <row r="3288" spans="1:3" ht="15.75" customHeight="1" x14ac:dyDescent="0.25">
      <c r="A3288" s="2" t="s">
        <v>3290</v>
      </c>
      <c r="B3288" s="3" t="s">
        <v>6</v>
      </c>
      <c r="C3288" s="2" t="str">
        <f ca="1">IFERROR(__xludf.DUMMYFUNCTION("GOOGLETRANSLATE(A3288,""bn"",""en"")"),"Disappointing build quality tends to suffer")</f>
        <v>Disappointing build quality tends to suffer</v>
      </c>
    </row>
    <row r="3289" spans="1:3" ht="15.75" customHeight="1" x14ac:dyDescent="0.25">
      <c r="A3289" s="2" t="s">
        <v>3291</v>
      </c>
      <c r="B3289" s="3" t="s">
        <v>4</v>
      </c>
      <c r="C3289" s="2" t="str">
        <f ca="1">IFERROR(__xludf.DUMMYFUNCTION("GOOGLETRANSLATE(A3289,""bn"",""en"")"),"Great ft USB charging cable")</f>
        <v>Great ft USB charging cable</v>
      </c>
    </row>
    <row r="3290" spans="1:3" ht="15.75" customHeight="1" x14ac:dyDescent="0.25">
      <c r="A3290" s="2" t="s">
        <v>3292</v>
      </c>
      <c r="B3290" s="3" t="s">
        <v>6</v>
      </c>
      <c r="C3290" s="2" t="str">
        <f ca="1">IFERROR(__xludf.DUMMYFUNCTION("GOOGLETRANSLATE(A3290,""bn"",""en"")"),"Solar panels on solar-powered backpacks are easily torn, reducing efficiency")</f>
        <v>Solar panels on solar-powered backpacks are easily torn, reducing efficiency</v>
      </c>
    </row>
    <row r="3291" spans="1:3" ht="15.75" customHeight="1" x14ac:dyDescent="0.25">
      <c r="A3291" s="2" t="s">
        <v>3293</v>
      </c>
      <c r="B3291" s="3" t="s">
        <v>6</v>
      </c>
      <c r="C3291" s="2" t="str">
        <f ca="1">IFERROR(__xludf.DUMMYFUNCTION("GOOGLETRANSLATE(A3291,""bn"",""en"")"),"The eyeshadow palette is so lacking in pigment that any noticeable color requires multiple layers")</f>
        <v>The eyeshadow palette is so lacking in pigment that any noticeable color requires multiple layers</v>
      </c>
    </row>
    <row r="3292" spans="1:3" ht="15.75" customHeight="1" x14ac:dyDescent="0.25">
      <c r="A3292" s="2" t="s">
        <v>3294</v>
      </c>
      <c r="B3292" s="3" t="s">
        <v>2</v>
      </c>
      <c r="C3292" s="2" t="str">
        <f ca="1">IFERROR(__xludf.DUMMYFUNCTION("GOOGLETRANSLATE(A3292,""bn"",""en"")"),"Has sharp points but can be somewhat durable")</f>
        <v>Has sharp points but can be somewhat durable</v>
      </c>
    </row>
    <row r="3293" spans="1:3" ht="15.75" customHeight="1" x14ac:dyDescent="0.25">
      <c r="A3293" s="2" t="s">
        <v>3295</v>
      </c>
      <c r="B3293" s="3" t="s">
        <v>6</v>
      </c>
      <c r="C3293" s="2" t="str">
        <f ca="1">IFERROR(__xludf.DUMMYFUNCTION("GOOGLETRANSLATE(A3293,""bn"",""en"")"),"Received in denial is unacceptable")</f>
        <v>Received in denial is unacceptable</v>
      </c>
    </row>
    <row r="3294" spans="1:3" ht="15.75" customHeight="1" x14ac:dyDescent="0.25">
      <c r="A3294" s="2" t="s">
        <v>3296</v>
      </c>
      <c r="B3294" s="3" t="s">
        <v>6</v>
      </c>
      <c r="C3294" s="2" t="str">
        <f ca="1">IFERROR(__xludf.DUMMYFUNCTION("GOOGLETRANSLATE(A3294,""bn"",""en"")"),"Not good for big chest not enough support")</f>
        <v>Not good for big chest not enough support</v>
      </c>
    </row>
    <row r="3295" spans="1:3" ht="15.75" customHeight="1" x14ac:dyDescent="0.25">
      <c r="A3295" s="2" t="s">
        <v>3297</v>
      </c>
      <c r="B3295" s="3" t="s">
        <v>6</v>
      </c>
      <c r="C3295" s="2" t="str">
        <f ca="1">IFERROR(__xludf.DUMMYFUNCTION("GOOGLETRANSLATE(A3295,""bn"",""en"")"),"The exterior becomes extremely hot during use, creating a risk of burns")</f>
        <v>The exterior becomes extremely hot during use, creating a risk of burns</v>
      </c>
    </row>
    <row r="3296" spans="1:3" ht="15.75" customHeight="1" x14ac:dyDescent="0.25">
      <c r="A3296" s="2" t="s">
        <v>3298</v>
      </c>
      <c r="B3296" s="3" t="s">
        <v>4</v>
      </c>
      <c r="C3296" s="2" t="str">
        <f ca="1">IFERROR(__xludf.DUMMYFUNCTION("GOOGLETRANSLATE(A3296,""bn"",""en"")"),"My laptop works fast and efficiently")</f>
        <v>My laptop works fast and efficiently</v>
      </c>
    </row>
    <row r="3297" spans="1:3" ht="15.75" customHeight="1" x14ac:dyDescent="0.25">
      <c r="A3297" s="2" t="s">
        <v>3299</v>
      </c>
      <c r="B3297" s="3" t="s">
        <v>4</v>
      </c>
      <c r="C3297" s="2" t="str">
        <f ca="1">IFERROR(__xludf.DUMMYFUNCTION("GOOGLETRANSLATE(A3297,""bn"",""en"")"),"Everyone likes my house very much ")</f>
        <v xml:space="preserve">Everyone likes my house very much </v>
      </c>
    </row>
    <row r="3298" spans="1:3" ht="15.75" customHeight="1" x14ac:dyDescent="0.25">
      <c r="A3298" s="2" t="s">
        <v>3300</v>
      </c>
      <c r="B3298" s="3" t="s">
        <v>4</v>
      </c>
      <c r="C3298" s="2" t="str">
        <f ca="1">IFERROR(__xludf.DUMMYFUNCTION("GOOGLETRANSLATE(A3298,""bn"",""en"")"),"The soap feels comfortable on the skin")</f>
        <v>The soap feels comfortable on the skin</v>
      </c>
    </row>
    <row r="3299" spans="1:3" ht="15.75" customHeight="1" x14ac:dyDescent="0.25">
      <c r="A3299" s="2" t="s">
        <v>3301</v>
      </c>
      <c r="B3299" s="3" t="s">
        <v>4</v>
      </c>
      <c r="C3299" s="2" t="str">
        <f ca="1">IFERROR(__xludf.DUMMYFUNCTION("GOOGLETRANSLATE(A3299,""bn"",""en"")"),"The inner material of the pillows is selected in such a way that they do not overheat")</f>
        <v>The inner material of the pillows is selected in such a way that they do not overheat</v>
      </c>
    </row>
    <row r="3300" spans="1:3" ht="15.75" customHeight="1" x14ac:dyDescent="0.25">
      <c r="A3300" s="2" t="s">
        <v>3302</v>
      </c>
      <c r="B3300" s="3" t="s">
        <v>6</v>
      </c>
      <c r="C3300" s="2" t="str">
        <f ca="1">IFERROR(__xludf.DUMMYFUNCTION("GOOGLETRANSLATE(A3300,""bn"",""en"")"),"The mascara wand is very flexible which makes it difficult to coat the lashes evenly")</f>
        <v>The mascara wand is very flexible which makes it difficult to coat the lashes evenly</v>
      </c>
    </row>
    <row r="3301" spans="1:3" ht="15.75" customHeight="1" x14ac:dyDescent="0.25">
      <c r="A3301" s="2" t="s">
        <v>3303</v>
      </c>
      <c r="B3301" s="3" t="s">
        <v>4</v>
      </c>
      <c r="C3301" s="2" t="str">
        <f ca="1">IFERROR(__xludf.DUMMYFUNCTION("GOOGLETRANSLATE(A3301,""bn"",""en"")"),"The sound quality of the laptop is very good and the sound comes out very clearly from the speakers")</f>
        <v>The sound quality of the laptop is very good and the sound comes out very clearly from the speakers</v>
      </c>
    </row>
    <row r="3302" spans="1:3" ht="15.75" customHeight="1" x14ac:dyDescent="0.25">
      <c r="A3302" s="2" t="s">
        <v>3304</v>
      </c>
      <c r="B3302" s="3" t="s">
        <v>2</v>
      </c>
      <c r="C3302" s="2" t="str">
        <f ca="1">IFERROR(__xludf.DUMMYFUNCTION("GOOGLETRANSLATE(A3302,""bn"",""en"")"),"Some pieces are fun for kids but can get lost a bit easily")</f>
        <v>Some pieces are fun for kids but can get lost a bit easily</v>
      </c>
    </row>
    <row r="3303" spans="1:3" ht="15.75" customHeight="1" x14ac:dyDescent="0.25">
      <c r="A3303" s="2" t="s">
        <v>3305</v>
      </c>
      <c r="B3303" s="3" t="s">
        <v>6</v>
      </c>
      <c r="C3303" s="2" t="str">
        <f ca="1">IFERROR(__xludf.DUMMYFUNCTION("GOOGLETRANSLATE(A3303,""bn"",""en"")"),"A must have for your golf cart")</f>
        <v>A must have for your golf cart</v>
      </c>
    </row>
    <row r="3304" spans="1:3" ht="15.75" customHeight="1" x14ac:dyDescent="0.25">
      <c r="A3304" s="2" t="s">
        <v>3306</v>
      </c>
      <c r="B3304" s="3" t="s">
        <v>4</v>
      </c>
      <c r="C3304" s="2" t="str">
        <f ca="1">IFERROR(__xludf.DUMMYFUNCTION("GOOGLETRANSLATE(A3304,""bn"",""en"")"),"Your skin will be healthy by using this body wash")</f>
        <v>Your skin will be healthy by using this body wash</v>
      </c>
    </row>
    <row r="3305" spans="1:3" ht="15.75" customHeight="1" x14ac:dyDescent="0.25">
      <c r="A3305" s="2" t="s">
        <v>3307</v>
      </c>
      <c r="B3305" s="3" t="s">
        <v>4</v>
      </c>
      <c r="C3305" s="2" t="str">
        <f ca="1">IFERROR(__xludf.DUMMYFUNCTION("GOOGLETRANSLATE(A3305,""bn"",""en"")"),"There was something new to learn on every page")</f>
        <v>There was something new to learn on every page</v>
      </c>
    </row>
    <row r="3306" spans="1:3" ht="15.75" customHeight="1" x14ac:dyDescent="0.25">
      <c r="A3306" s="2" t="s">
        <v>3308</v>
      </c>
      <c r="B3306" s="3" t="s">
        <v>4</v>
      </c>
      <c r="C3306" s="2" t="str">
        <f ca="1">IFERROR(__xludf.DUMMYFUNCTION("GOOGLETRANSLATE(A3306,""bn"",""en"")"),"Soft and gentle touch")</f>
        <v>Soft and gentle touch</v>
      </c>
    </row>
    <row r="3307" spans="1:3" ht="15.75" customHeight="1" x14ac:dyDescent="0.25">
      <c r="A3307" s="2" t="s">
        <v>3309</v>
      </c>
      <c r="B3307" s="3" t="s">
        <v>2</v>
      </c>
      <c r="C3307" s="2" t="str">
        <f ca="1">IFERROR(__xludf.DUMMYFUNCTION("GOOGLETRANSLATE(A3307,""bn"",""en"")"),"JBL Vibe Buds are ok but quality is not good")</f>
        <v>JBL Vibe Buds are ok but quality is not good</v>
      </c>
    </row>
    <row r="3308" spans="1:3" ht="15.75" customHeight="1" x14ac:dyDescent="0.25">
      <c r="A3308" s="2" t="s">
        <v>3310</v>
      </c>
      <c r="B3308" s="3" t="s">
        <v>6</v>
      </c>
      <c r="C3308" s="2" t="str">
        <f ca="1">IFERROR(__xludf.DUMMYFUNCTION("GOOGLETRANSLATE(A3308,""bn"",""en"")"),"The transparency of the fabric exposes unacceptable underwear and compromises modesty")</f>
        <v>The transparency of the fabric exposes unacceptable underwear and compromises modesty</v>
      </c>
    </row>
    <row r="3309" spans="1:3" ht="15.75" customHeight="1" x14ac:dyDescent="0.25">
      <c r="A3309" s="2" t="s">
        <v>3311</v>
      </c>
      <c r="B3309" s="3" t="s">
        <v>2</v>
      </c>
      <c r="C3309" s="2" t="str">
        <f ca="1">IFERROR(__xludf.DUMMYFUNCTION("GOOGLETRANSLATE(A3309,""bn"",""en"")"),"The smart insect catcher catches insects but has low attraction power")</f>
        <v>The smart insect catcher catches insects but has low attraction power</v>
      </c>
    </row>
    <row r="3310" spans="1:3" ht="15.75" customHeight="1" x14ac:dyDescent="0.25">
      <c r="A3310" s="2" t="s">
        <v>3312</v>
      </c>
      <c r="B3310" s="3" t="s">
        <v>2</v>
      </c>
      <c r="C3310" s="2" t="str">
        <f ca="1">IFERROR(__xludf.DUMMYFUNCTION("GOOGLETRANSLATE(A3310,""bn"",""en"")"),"Instructions for use are provided on the packet")</f>
        <v>Instructions for use are provided on the packet</v>
      </c>
    </row>
    <row r="3311" spans="1:3" ht="15.75" customHeight="1" x14ac:dyDescent="0.25">
      <c r="A3311" s="2" t="s">
        <v>3313</v>
      </c>
      <c r="B3311" s="3" t="s">
        <v>4</v>
      </c>
      <c r="C3311" s="2" t="str">
        <f ca="1">IFERROR(__xludf.DUMMYFUNCTION("GOOGLETRANSLATE(A3311,""bn"",""en"")"),"The display on the remote is very clear and I can easily see the temperature and settings even in the dark")</f>
        <v>The display on the remote is very clear and I can easily see the temperature and settings even in the dark</v>
      </c>
    </row>
    <row r="3312" spans="1:3" ht="15.75" customHeight="1" x14ac:dyDescent="0.25">
      <c r="A3312" s="2" t="s">
        <v>3314</v>
      </c>
      <c r="B3312" s="3" t="s">
        <v>4</v>
      </c>
      <c r="C3312" s="2" t="str">
        <f ca="1">IFERROR(__xludf.DUMMYFUNCTION("GOOGLETRANSLATE(A3312,""bn"",""en"")"),"The flower created a peaceful atmosphere in my room")</f>
        <v>The flower created a peaceful atmosphere in my room</v>
      </c>
    </row>
    <row r="3313" spans="1:3" ht="15.75" customHeight="1" x14ac:dyDescent="0.25">
      <c r="A3313" s="2" t="s">
        <v>3315</v>
      </c>
      <c r="B3313" s="3" t="s">
        <v>2</v>
      </c>
      <c r="C3313" s="2" t="str">
        <f ca="1">IFERROR(__xludf.DUMMYFUNCTION("GOOGLETRANSLATE(A3313,""bn"",""en"")"),"Installation is complicated")</f>
        <v>Installation is complicated</v>
      </c>
    </row>
    <row r="3314" spans="1:3" ht="15.75" customHeight="1" x14ac:dyDescent="0.25">
      <c r="A3314" s="2" t="s">
        <v>3316</v>
      </c>
      <c r="B3314" s="3" t="s">
        <v>2</v>
      </c>
      <c r="C3314" s="2" t="str">
        <f ca="1">IFERROR(__xludf.DUMMYFUNCTION("GOOGLETRANSLATE(A3314,""bn"",""en"")"),"Light but feels rigid")</f>
        <v>Light but feels rigid</v>
      </c>
    </row>
    <row r="3315" spans="1:3" ht="15.75" customHeight="1" x14ac:dyDescent="0.25">
      <c r="A3315" s="2" t="s">
        <v>3317</v>
      </c>
      <c r="B3315" s="3" t="s">
        <v>4</v>
      </c>
      <c r="C3315" s="2" t="str">
        <f ca="1">IFERROR(__xludf.DUMMYFUNCTION("GOOGLETRANSLATE(A3315,""bn"",""en"")"),"Beautiful packaging attractive aroma and wonderful taste")</f>
        <v>Beautiful packaging attractive aroma and wonderful taste</v>
      </c>
    </row>
    <row r="3316" spans="1:3" ht="15.75" customHeight="1" x14ac:dyDescent="0.25">
      <c r="A3316" s="2" t="s">
        <v>3318</v>
      </c>
      <c r="B3316" s="3" t="s">
        <v>2</v>
      </c>
      <c r="C3316" s="2" t="str">
        <f ca="1">IFERROR(__xludf.DUMMYFUNCTION("GOOGLETRANSLATE(A3316,""bn"",""en"")"),"The cleaning period is approx")</f>
        <v>The cleaning period is approx</v>
      </c>
    </row>
    <row r="3317" spans="1:3" ht="15.75" customHeight="1" x14ac:dyDescent="0.25">
      <c r="A3317" s="2" t="s">
        <v>3319</v>
      </c>
      <c r="B3317" s="3" t="s">
        <v>2</v>
      </c>
      <c r="C3317" s="2" t="str">
        <f ca="1">IFERROR(__xludf.DUMMYFUNCTION("GOOGLETRANSLATE(A3317,""bn"",""en"")"),"It's better than expected but not perfect")</f>
        <v>It's better than expected but not perfect</v>
      </c>
    </row>
    <row r="3318" spans="1:3" ht="15.75" customHeight="1" x14ac:dyDescent="0.25">
      <c r="A3318" s="2" t="s">
        <v>3320</v>
      </c>
      <c r="B3318" s="3" t="s">
        <v>6</v>
      </c>
      <c r="C3318" s="2" t="str">
        <f ca="1">IFERROR(__xludf.DUMMYFUNCTION("GOOGLETRANSLATE(A3318,""bn"",""en"")"),"The phone's Bluetooth connectivity is unreliable and often disconnects from paired devices")</f>
        <v>The phone's Bluetooth connectivity is unreliable and often disconnects from paired devices</v>
      </c>
    </row>
    <row r="3319" spans="1:3" ht="15.75" customHeight="1" x14ac:dyDescent="0.25">
      <c r="A3319" s="2" t="s">
        <v>3321</v>
      </c>
      <c r="B3319" s="3" t="s">
        <v>4</v>
      </c>
      <c r="C3319" s="2" t="str">
        <f ca="1">IFERROR(__xludf.DUMMYFUNCTION("GOOGLETRANSLATE(A3319,""bn"",""en"")"),"Fits any room")</f>
        <v>Fits any room</v>
      </c>
    </row>
    <row r="3320" spans="1:3" ht="15.75" customHeight="1" x14ac:dyDescent="0.25">
      <c r="A3320" s="2" t="s">
        <v>3322</v>
      </c>
      <c r="B3320" s="3" t="s">
        <v>4</v>
      </c>
      <c r="C3320" s="2" t="str">
        <f ca="1">IFERROR(__xludf.DUMMYFUNCTION("GOOGLETRANSLATE(A3320,""bn"",""en"")"),"The mop cloth seems to last longer")</f>
        <v>The mop cloth seems to last longer</v>
      </c>
    </row>
    <row r="3321" spans="1:3" ht="15.75" customHeight="1" x14ac:dyDescent="0.25">
      <c r="A3321" s="2" t="s">
        <v>3323</v>
      </c>
      <c r="B3321" s="3" t="s">
        <v>2</v>
      </c>
      <c r="C3321" s="2" t="str">
        <f ca="1">IFERROR(__xludf.DUMMYFUNCTION("GOOGLETRANSLATE(A3321,""bn"",""en"")"),"The taste is a bit plain but the smell is good")</f>
        <v>The taste is a bit plain but the smell is good</v>
      </c>
    </row>
    <row r="3322" spans="1:3" ht="15.75" customHeight="1" x14ac:dyDescent="0.25">
      <c r="A3322" s="2" t="s">
        <v>3324</v>
      </c>
      <c r="B3322" s="3" t="s">
        <v>4</v>
      </c>
      <c r="C3322" s="2" t="str">
        <f ca="1">IFERROR(__xludf.DUMMYFUNCTION("GOOGLETRANSLATE(A3322,""bn"",""en"")"),"The dining table can be easily extended for additional guests")</f>
        <v>The dining table can be easily extended for additional guests</v>
      </c>
    </row>
    <row r="3323" spans="1:3" ht="15.75" customHeight="1" x14ac:dyDescent="0.25">
      <c r="A3323" s="2" t="s">
        <v>3325</v>
      </c>
      <c r="B3323" s="3" t="s">
        <v>4</v>
      </c>
      <c r="C3323" s="2" t="str">
        <f ca="1">IFERROR(__xludf.DUMMYFUNCTION("GOOGLETRANSLATE(A3323,""bn"",""en"")"),"It cools quickly and makes you comfortable")</f>
        <v>It cools quickly and makes you comfortable</v>
      </c>
    </row>
    <row r="3324" spans="1:3" ht="15.75" customHeight="1" x14ac:dyDescent="0.25">
      <c r="A3324" s="2" t="s">
        <v>3326</v>
      </c>
      <c r="B3324" s="3" t="s">
        <v>2</v>
      </c>
      <c r="C3324" s="2" t="str">
        <f ca="1">IFERROR(__xludf.DUMMYFUNCTION("GOOGLETRANSLATE(A3324,""bn"",""en"")"),"Price fluctuation is low")</f>
        <v>Price fluctuation is low</v>
      </c>
    </row>
    <row r="3325" spans="1:3" ht="15.75" customHeight="1" x14ac:dyDescent="0.25">
      <c r="A3325" s="2" t="s">
        <v>3327</v>
      </c>
      <c r="B3325" s="3" t="s">
        <v>4</v>
      </c>
      <c r="C3325" s="2" t="str">
        <f ca="1">IFERROR(__xludf.DUMMYFUNCTION("GOOGLETRANSLATE(A3325,""bn"",""en"")"),"This body wash enhances skin radiance")</f>
        <v>This body wash enhances skin radiance</v>
      </c>
    </row>
    <row r="3326" spans="1:3" ht="15.75" customHeight="1" x14ac:dyDescent="0.25">
      <c r="A3326" s="2" t="s">
        <v>3328</v>
      </c>
      <c r="B3326" s="3" t="s">
        <v>6</v>
      </c>
      <c r="C3326" s="2" t="str">
        <f ca="1">IFERROR(__xludf.DUMMYFUNCTION("GOOGLETRANSLATE(A3326,""bn"",""en"")"),"The surface of the canvas had an uneven texture that affected the brushstrokes")</f>
        <v>The surface of the canvas had an uneven texture that affected the brushstrokes</v>
      </c>
    </row>
    <row r="3327" spans="1:3" ht="15.75" customHeight="1" x14ac:dyDescent="0.25">
      <c r="A3327" s="2" t="s">
        <v>3329</v>
      </c>
      <c r="B3327" s="3" t="s">
        <v>2</v>
      </c>
      <c r="C3327" s="2" t="str">
        <f ca="1">IFERROR(__xludf.DUMMYFUNCTION("GOOGLETRANSLATE(A3327,""bn"",""en"")"),"Clothes are ok not bad for the price")</f>
        <v>Clothes are ok not bad for the price</v>
      </c>
    </row>
    <row r="3328" spans="1:3" ht="15.75" customHeight="1" x14ac:dyDescent="0.25">
      <c r="A3328" s="2" t="s">
        <v>3330</v>
      </c>
      <c r="B3328" s="3" t="s">
        <v>6</v>
      </c>
      <c r="C3328" s="2" t="str">
        <f ca="1">IFERROR(__xludf.DUMMYFUNCTION("GOOGLETRANSLATE(A3328,""bn"",""en"")"),"Smart doorbell microphone muffled poor audio quality")</f>
        <v>Smart doorbell microphone muffled poor audio quality</v>
      </c>
    </row>
    <row r="3329" spans="1:3" ht="15.75" customHeight="1" x14ac:dyDescent="0.25">
      <c r="A3329" s="2" t="s">
        <v>3331</v>
      </c>
      <c r="B3329" s="3" t="s">
        <v>2</v>
      </c>
      <c r="C3329" s="2" t="str">
        <f ca="1">IFERROR(__xludf.DUMMYFUNCTION("GOOGLETRANSLATE(A3329,""bn"",""en"")"),"Store carefully after use")</f>
        <v>Store carefully after use</v>
      </c>
    </row>
    <row r="3330" spans="1:3" ht="15.75" customHeight="1" x14ac:dyDescent="0.25">
      <c r="A3330" s="2" t="s">
        <v>3332</v>
      </c>
      <c r="B3330" s="3" t="s">
        <v>4</v>
      </c>
      <c r="C3330" s="2" t="str">
        <f ca="1">IFERROR(__xludf.DUMMYFUNCTION("GOOGLETRANSLATE(A3330,""bn"",""en"")"),"All students are always attentive in our class")</f>
        <v>All students are always attentive in our class</v>
      </c>
    </row>
    <row r="3331" spans="1:3" ht="15.75" customHeight="1" x14ac:dyDescent="0.25">
      <c r="A3331" s="2" t="s">
        <v>3333</v>
      </c>
      <c r="B3331" s="3" t="s">
        <v>2</v>
      </c>
      <c r="C3331" s="2" t="str">
        <f ca="1">IFERROR(__xludf.DUMMYFUNCTION("GOOGLETRANSLATE(A3331,""bn"",""en"")"),"There are differing opinions about the effect of repeated use on nail health")</f>
        <v>There are differing opinions about the effect of repeated use on nail health</v>
      </c>
    </row>
    <row r="3332" spans="1:3" ht="15.75" customHeight="1" x14ac:dyDescent="0.25">
      <c r="A3332" s="2" t="s">
        <v>3334</v>
      </c>
      <c r="B3332" s="3" t="s">
        <v>4</v>
      </c>
      <c r="C3332" s="2" t="str">
        <f ca="1">IFERROR(__xludf.DUMMYFUNCTION("GOOGLETRANSLATE(A3332,""bn"",""en"")"),"These earrings brighten up my hairstyle")</f>
        <v>These earrings brighten up my hairstyle</v>
      </c>
    </row>
    <row r="3333" spans="1:3" ht="15.75" customHeight="1" x14ac:dyDescent="0.25">
      <c r="A3333" s="2" t="s">
        <v>3335</v>
      </c>
      <c r="B3333" s="3" t="s">
        <v>2</v>
      </c>
      <c r="C3333" s="2" t="str">
        <f ca="1">IFERROR(__xludf.DUMMYFUNCTION("GOOGLETRANSLATE(A3333,""bn"",""en"")"),"Not so good though")</f>
        <v>Not so good though</v>
      </c>
    </row>
    <row r="3334" spans="1:3" ht="15.75" customHeight="1" x14ac:dyDescent="0.25">
      <c r="A3334" s="2" t="s">
        <v>3336</v>
      </c>
      <c r="B3334" s="3" t="s">
        <v>4</v>
      </c>
      <c r="C3334" s="2" t="str">
        <f ca="1">IFERROR(__xludf.DUMMYFUNCTION("GOOGLETRANSLATE(A3334,""bn"",""en"")"),"High quality adapter for Apple products")</f>
        <v>High quality adapter for Apple products</v>
      </c>
    </row>
    <row r="3335" spans="1:3" ht="15.75" customHeight="1" x14ac:dyDescent="0.25">
      <c r="A3335" s="2" t="s">
        <v>3337</v>
      </c>
      <c r="B3335" s="3" t="s">
        <v>2</v>
      </c>
      <c r="C3335" s="2" t="str">
        <f ca="1">IFERROR(__xludf.DUMMYFUNCTION("GOOGLETRANSLATE(A3335,""bn"",""en"")"),"The fabric is sturdy but lacking in other aspects")</f>
        <v>The fabric is sturdy but lacking in other aspects</v>
      </c>
    </row>
    <row r="3336" spans="1:3" ht="15.75" customHeight="1" x14ac:dyDescent="0.25">
      <c r="A3336" s="2" t="s">
        <v>3338</v>
      </c>
      <c r="B3336" s="3" t="s">
        <v>4</v>
      </c>
      <c r="C3336" s="2" t="str">
        <f ca="1">IFERROR(__xludf.DUMMYFUNCTION("GOOGLETRANSLATE(A3336,""bn"",""en"")"),"This purchase is considered a smart choice")</f>
        <v>This purchase is considered a smart choice</v>
      </c>
    </row>
    <row r="3337" spans="1:3" ht="15.75" customHeight="1" x14ac:dyDescent="0.25">
      <c r="A3337" s="2" t="s">
        <v>3339</v>
      </c>
      <c r="B3337" s="3" t="s">
        <v>2</v>
      </c>
      <c r="C3337" s="2" t="str">
        <f ca="1">IFERROR(__xludf.DUMMYFUNCTION("GOOGLETRANSLATE(A3337,""bn"",""en"")"),"Reusable but the value decreases after each use")</f>
        <v>Reusable but the value decreases after each use</v>
      </c>
    </row>
    <row r="3338" spans="1:3" ht="15.75" customHeight="1" x14ac:dyDescent="0.25">
      <c r="A3338" s="2" t="s">
        <v>3340</v>
      </c>
      <c r="B3338" s="3" t="s">
        <v>2</v>
      </c>
      <c r="C3338" s="2" t="str">
        <f ca="1">IFERROR(__xludf.DUMMYFUNCTION("GOOGLETRANSLATE(A3338,""bn"",""en"")"),"Can be placed on the floor")</f>
        <v>Can be placed on the floor</v>
      </c>
    </row>
    <row r="3339" spans="1:3" ht="15.75" customHeight="1" x14ac:dyDescent="0.25">
      <c r="A3339" s="2" t="s">
        <v>3341</v>
      </c>
      <c r="B3339" s="3" t="s">
        <v>4</v>
      </c>
      <c r="C3339" s="2" t="str">
        <f ca="1">IFERROR(__xludf.DUMMYFUNCTION("GOOGLETRANSLATE(A3339,""bn"",""en"")"),"Your skin will be attractive with this body wash")</f>
        <v>Your skin will be attractive with this body wash</v>
      </c>
    </row>
    <row r="3340" spans="1:3" ht="15.75" customHeight="1" x14ac:dyDescent="0.25">
      <c r="A3340" s="2" t="s">
        <v>3342</v>
      </c>
      <c r="B3340" s="3" t="s">
        <v>6</v>
      </c>
      <c r="C3340" s="2" t="str">
        <f ca="1">IFERROR(__xludf.DUMMYFUNCTION("GOOGLETRANSLATE(A3340,""bn"",""en"")"),"The tanner creates streaks and orange undertones similar to a poorly executed spray tan")</f>
        <v>The tanner creates streaks and orange undertones similar to a poorly executed spray tan</v>
      </c>
    </row>
    <row r="3341" spans="1:3" ht="15.75" customHeight="1" x14ac:dyDescent="0.25">
      <c r="A3341" s="2" t="s">
        <v>3343</v>
      </c>
      <c r="B3341" s="3" t="s">
        <v>4</v>
      </c>
      <c r="C3341" s="2" t="str">
        <f ca="1">IFERROR(__xludf.DUMMYFUNCTION("GOOGLETRANSLATE(A3341,""bn"",""en"")"),"Professional use of makeup brushes")</f>
        <v>Professional use of makeup brushes</v>
      </c>
    </row>
    <row r="3342" spans="1:3" ht="15.75" customHeight="1" x14ac:dyDescent="0.25">
      <c r="A3342" s="2" t="s">
        <v>3344</v>
      </c>
      <c r="B3342" s="3" t="s">
        <v>2</v>
      </c>
      <c r="C3342" s="2" t="str">
        <f ca="1">IFERROR(__xludf.DUMMYFUNCTION("GOOGLETRANSLATE(A3342,""bn"",""en"")"),"Some errors are noticed after use")</f>
        <v>Some errors are noticed after use</v>
      </c>
    </row>
    <row r="3343" spans="1:3" ht="15.75" customHeight="1" x14ac:dyDescent="0.25">
      <c r="A3343" s="2" t="s">
        <v>3345</v>
      </c>
      <c r="B3343" s="3" t="s">
        <v>6</v>
      </c>
      <c r="C3343" s="2" t="str">
        <f ca="1">IFERROR(__xludf.DUMMYFUNCTION("GOOGLETRANSLATE(A3343,""bn"",""en"")"),"Avoid these low overpriced products")</f>
        <v>Avoid these low overpriced products</v>
      </c>
    </row>
    <row r="3344" spans="1:3" ht="15.75" customHeight="1" x14ac:dyDescent="0.25">
      <c r="A3344" s="2" t="s">
        <v>3346</v>
      </c>
      <c r="B3344" s="3" t="s">
        <v>2</v>
      </c>
      <c r="C3344" s="2" t="str">
        <f ca="1">IFERROR(__xludf.DUMMYFUNCTION("GOOGLETRANSLATE(A3344,""bn"",""en"")"),"OK for fabric nothing great")</f>
        <v>OK for fabric nothing great</v>
      </c>
    </row>
    <row r="3345" spans="1:3" ht="15.75" customHeight="1" x14ac:dyDescent="0.25">
      <c r="A3345" s="2" t="s">
        <v>3347</v>
      </c>
      <c r="B3345" s="3" t="s">
        <v>2</v>
      </c>
      <c r="C3345" s="2" t="str">
        <f ca="1">IFERROR(__xludf.DUMMYFUNCTION("GOOGLETRANSLATE(A3345,""bn"",""en"")"),"Energy rating is fair")</f>
        <v>Energy rating is fair</v>
      </c>
    </row>
    <row r="3346" spans="1:3" ht="15.75" customHeight="1" x14ac:dyDescent="0.25">
      <c r="A3346" s="2" t="s">
        <v>3348</v>
      </c>
      <c r="B3346" s="3" t="s">
        <v>4</v>
      </c>
      <c r="C3346" s="2" t="str">
        <f ca="1">IFERROR(__xludf.DUMMYFUNCTION("GOOGLETRANSLATE(A3346,""bn"",""en"")"),"Using shampoo makes the hair silky")</f>
        <v>Using shampoo makes the hair silky</v>
      </c>
    </row>
    <row r="3347" spans="1:3" ht="15.75" customHeight="1" x14ac:dyDescent="0.25">
      <c r="A3347" s="2" t="s">
        <v>3349</v>
      </c>
      <c r="B3347" s="3" t="s">
        <v>6</v>
      </c>
      <c r="C3347" s="2" t="str">
        <f ca="1">IFERROR(__xludf.DUMMYFUNCTION("GOOGLETRANSLATE(A3347,""bn"",""en"")"),"Jarred salsa tasted overly processed and lacked the freshness of the homemade variety")</f>
        <v>Jarred salsa tasted overly processed and lacked the freshness of the homemade variety</v>
      </c>
    </row>
    <row r="3348" spans="1:3" ht="15.75" customHeight="1" x14ac:dyDescent="0.25">
      <c r="A3348" s="2" t="s">
        <v>3350</v>
      </c>
      <c r="B3348" s="3" t="s">
        <v>6</v>
      </c>
      <c r="C3348" s="2" t="str">
        <f ca="1">IFERROR(__xludf.DUMMYFUNCTION("GOOGLETRANSLATE(A3348,""bn"",""en"")"),"Internal structure is not strong")</f>
        <v>Internal structure is not strong</v>
      </c>
    </row>
    <row r="3349" spans="1:3" ht="15.75" customHeight="1" x14ac:dyDescent="0.25">
      <c r="A3349" s="2" t="s">
        <v>3351</v>
      </c>
      <c r="B3349" s="3" t="s">
        <v>4</v>
      </c>
      <c r="C3349" s="2" t="str">
        <f ca="1">IFERROR(__xludf.DUMMYFUNCTION("GOOGLETRANSLATE(A3349,""bn"",""en"")"),"Reasonable price")</f>
        <v>Reasonable price</v>
      </c>
    </row>
    <row r="3350" spans="1:3" ht="15.75" customHeight="1" x14ac:dyDescent="0.25">
      <c r="A3350" s="2" t="s">
        <v>3352</v>
      </c>
      <c r="B3350" s="3" t="s">
        <v>4</v>
      </c>
      <c r="C3350" s="2" t="str">
        <f ca="1">IFERROR(__xludf.DUMMYFUNCTION("GOOGLETRANSLATE(A3350,""bn"",""en"")"),"Beauty soap keeps the skin moisturized")</f>
        <v>Beauty soap keeps the skin moisturized</v>
      </c>
    </row>
    <row r="3351" spans="1:3" ht="15.75" customHeight="1" x14ac:dyDescent="0.25">
      <c r="A3351" s="2" t="s">
        <v>3353</v>
      </c>
      <c r="B3351" s="3" t="s">
        <v>2</v>
      </c>
      <c r="C3351" s="2" t="str">
        <f ca="1">IFERROR(__xludf.DUMMYFUNCTION("GOOGLETRANSLATE(A3351,""bn"",""en"")"),"The temperature can be set as specified")</f>
        <v>The temperature can be set as specified</v>
      </c>
    </row>
    <row r="3352" spans="1:3" ht="15.75" customHeight="1" x14ac:dyDescent="0.25">
      <c r="A3352" s="2" t="s">
        <v>3354</v>
      </c>
      <c r="B3352" s="3" t="s">
        <v>4</v>
      </c>
      <c r="C3352" s="2" t="str">
        <f ca="1">IFERROR(__xludf.DUMMYFUNCTION("GOOGLETRANSLATE(A3352,""bn"",""en"")"),"A wonderful product ")</f>
        <v xml:space="preserve">A wonderful product </v>
      </c>
    </row>
    <row r="3353" spans="1:3" ht="15.75" customHeight="1" x14ac:dyDescent="0.25">
      <c r="A3353" s="2" t="s">
        <v>3355</v>
      </c>
      <c r="B3353" s="3" t="s">
        <v>2</v>
      </c>
      <c r="C3353" s="2" t="str">
        <f ca="1">IFERROR(__xludf.DUMMYFUNCTION("GOOGLETRANSLATE(A3353,""bn"",""en"")"),"Fairly good")</f>
        <v>Fairly good</v>
      </c>
    </row>
    <row r="3354" spans="1:3" ht="15.75" customHeight="1" x14ac:dyDescent="0.25">
      <c r="A3354" s="2" t="s">
        <v>3356</v>
      </c>
      <c r="B3354" s="3" t="s">
        <v>6</v>
      </c>
      <c r="C3354" s="2" t="str">
        <f ca="1">IFERROR(__xludf.DUMMYFUNCTION("GOOGLETRANSLATE(A3354,""bn"",""en"")"),"SanDisk Ultra SDHC memory card data corruption problem which is unbelievable")</f>
        <v>SanDisk Ultra SDHC memory card data corruption problem which is unbelievable</v>
      </c>
    </row>
    <row r="3355" spans="1:3" ht="15.75" customHeight="1" x14ac:dyDescent="0.25">
      <c r="A3355" s="2" t="s">
        <v>3357</v>
      </c>
      <c r="B3355" s="3" t="s">
        <v>2</v>
      </c>
      <c r="C3355" s="2" t="str">
        <f ca="1">IFERROR(__xludf.DUMMYFUNCTION("GOOGLETRANSLATE(A3355,""bn"",""en"")"),"The quality is good but some may find the price high")</f>
        <v>The quality is good but some may find the price high</v>
      </c>
    </row>
    <row r="3356" spans="1:3" ht="15.75" customHeight="1" x14ac:dyDescent="0.25">
      <c r="A3356" s="2" t="s">
        <v>3358</v>
      </c>
      <c r="B3356" s="3" t="s">
        <v>4</v>
      </c>
      <c r="C3356" s="2" t="str">
        <f ca="1">IFERROR(__xludf.DUMMYFUNCTION("GOOGLETRANSLATE(A3356,""bn"",""en"")"),"This body wash helps reduce dark spots on the skin")</f>
        <v>This body wash helps reduce dark spots on the skin</v>
      </c>
    </row>
    <row r="3357" spans="1:3" ht="15.75" customHeight="1" x14ac:dyDescent="0.25">
      <c r="A3357" s="2" t="s">
        <v>3359</v>
      </c>
      <c r="B3357" s="3" t="s">
        <v>6</v>
      </c>
      <c r="C3357" s="2" t="str">
        <f ca="1">IFERROR(__xludf.DUMMYFUNCTION("GOOGLETRANSLATE(A3357,""bn"",""en"")"),"The LED light inside the fridge is very dim which makes it difficult to see the things behind")</f>
        <v>The LED light inside the fridge is very dim which makes it difficult to see the things behind</v>
      </c>
    </row>
    <row r="3358" spans="1:3" ht="15.75" customHeight="1" x14ac:dyDescent="0.25">
      <c r="A3358" s="2" t="s">
        <v>3360</v>
      </c>
      <c r="B3358" s="3" t="s">
        <v>6</v>
      </c>
      <c r="C3358" s="2" t="str">
        <f ca="1">IFERROR(__xludf.DUMMYFUNCTION("GOOGLETRANSLATE(A3358,""bn"",""en"")"),"Limited customization options make it less versatile than expected")</f>
        <v>Limited customization options make it less versatile than expected</v>
      </c>
    </row>
    <row r="3359" spans="1:3" ht="15.75" customHeight="1" x14ac:dyDescent="0.25">
      <c r="A3359" s="2" t="s">
        <v>3361</v>
      </c>
      <c r="B3359" s="3" t="s">
        <v>6</v>
      </c>
      <c r="C3359" s="2" t="str">
        <f ca="1">IFERROR(__xludf.DUMMYFUNCTION("GOOGLETRANSLATE(A3359,""bn"",""en"")"),"The webcam produces grainy and pixelated video quality, making it unsuitable for video conferencing")</f>
        <v>The webcam produces grainy and pixelated video quality, making it unsuitable for video conferencing</v>
      </c>
    </row>
    <row r="3360" spans="1:3" ht="15.75" customHeight="1" x14ac:dyDescent="0.25">
      <c r="A3360" s="2" t="s">
        <v>3362</v>
      </c>
      <c r="B3360" s="3" t="s">
        <v>2</v>
      </c>
      <c r="C3360" s="2" t="str">
        <f ca="1">IFERROR(__xludf.DUMMYFUNCTION("GOOGLETRANSLATE(A3360,""bn"",""en"")"),"Home can be a common attraction")</f>
        <v>Home can be a common attraction</v>
      </c>
    </row>
    <row r="3361" spans="1:3" ht="15.75" customHeight="1" x14ac:dyDescent="0.25">
      <c r="A3361" s="2" t="s">
        <v>3363</v>
      </c>
      <c r="B3361" s="3" t="s">
        <v>6</v>
      </c>
      <c r="C3361" s="2" t="str">
        <f ca="1">IFERROR(__xludf.DUMMYFUNCTION("GOOGLETRANSLATE(A3361,""bn"",""en"")"),"Solar powered garden decorations that do not light up at night are defective")</f>
        <v>Solar powered garden decorations that do not light up at night are defective</v>
      </c>
    </row>
    <row r="3362" spans="1:3" ht="15.75" customHeight="1" x14ac:dyDescent="0.25">
      <c r="A3362" s="2" t="s">
        <v>3364</v>
      </c>
      <c r="B3362" s="3" t="s">
        <v>2</v>
      </c>
      <c r="C3362" s="2" t="str">
        <f ca="1">IFERROR(__xludf.DUMMYFUNCTION("GOOGLETRANSLATE(A3362,""bn"",""en"")"),"It may work as expected")</f>
        <v>It may work as expected</v>
      </c>
    </row>
    <row r="3363" spans="1:3" ht="15.75" customHeight="1" x14ac:dyDescent="0.25">
      <c r="A3363" s="2" t="s">
        <v>3365</v>
      </c>
      <c r="B3363" s="3" t="s">
        <v>4</v>
      </c>
      <c r="C3363" s="2" t="str">
        <f ca="1">IFERROR(__xludf.DUMMYFUNCTION("GOOGLETRANSLATE(A3363,""bn"",""en"")"),"My mother likes it very much ")</f>
        <v xml:space="preserve">My mother likes it very much </v>
      </c>
    </row>
    <row r="3364" spans="1:3" ht="15.75" customHeight="1" x14ac:dyDescent="0.25">
      <c r="A3364" s="2" t="s">
        <v>3366</v>
      </c>
      <c r="B3364" s="3" t="s">
        <v>6</v>
      </c>
      <c r="C3364" s="2" t="str">
        <f ca="1">IFERROR(__xludf.DUMMYFUNCTION("GOOGLETRANSLATE(A3364,""bn"",""en"")")," The cooking chamber is difficult to clean because food residue sticks to the walls")</f>
        <v xml:space="preserve"> The cooking chamber is difficult to clean because food residue sticks to the walls</v>
      </c>
    </row>
    <row r="3365" spans="1:3" ht="15.75" customHeight="1" x14ac:dyDescent="0.25">
      <c r="A3365" s="2" t="s">
        <v>3367</v>
      </c>
      <c r="B3365" s="3" t="s">
        <v>4</v>
      </c>
      <c r="C3365" s="2" t="str">
        <f ca="1">IFERROR(__xludf.DUMMYFUNCTION("GOOGLETRANSLATE(A3365,""bn"",""en"")"),"Great projector for the price")</f>
        <v>Great projector for the price</v>
      </c>
    </row>
    <row r="3366" spans="1:3" ht="15.75" customHeight="1" x14ac:dyDescent="0.25">
      <c r="A3366" s="2" t="s">
        <v>3368</v>
      </c>
      <c r="B3366" s="3" t="s">
        <v>6</v>
      </c>
      <c r="C3366" s="2" t="str">
        <f ca="1">IFERROR(__xludf.DUMMYFUNCTION("GOOGLETRANSLATE(A3366,""bn"",""en"")"),"Limited color variety")</f>
        <v>Limited color variety</v>
      </c>
    </row>
    <row r="3367" spans="1:3" ht="15.75" customHeight="1" x14ac:dyDescent="0.25">
      <c r="A3367" s="2" t="s">
        <v>3369</v>
      </c>
      <c r="B3367" s="3" t="s">
        <v>4</v>
      </c>
      <c r="C3367" s="2" t="str">
        <f ca="1">IFERROR(__xludf.DUMMYFUNCTION("GOOGLETRANSLATE(A3367,""bn"",""en"")"),"The size of the watch is perfect")</f>
        <v>The size of the watch is perfect</v>
      </c>
    </row>
    <row r="3368" spans="1:3" ht="15.75" customHeight="1" x14ac:dyDescent="0.25">
      <c r="A3368" s="2" t="s">
        <v>3370</v>
      </c>
      <c r="B3368" s="3" t="s">
        <v>6</v>
      </c>
      <c r="C3368" s="2" t="str">
        <f ca="1">IFERROR(__xludf.DUMMYFUNCTION("GOOGLETRANSLATE(A3368,""bn"",""en"")"),"  The mask was messy to apply and did nothing")</f>
        <v xml:space="preserve">  The mask was messy to apply and did nothing</v>
      </c>
    </row>
    <row r="3369" spans="1:3" ht="15.75" customHeight="1" x14ac:dyDescent="0.25">
      <c r="A3369" s="2" t="s">
        <v>3371</v>
      </c>
      <c r="B3369" s="3" t="s">
        <v>6</v>
      </c>
      <c r="C3369" s="2" t="str">
        <f ca="1">IFERROR(__xludf.DUMMYFUNCTION("GOOGLETRANSLATE(A3369,""bn"",""en"")"),"  Joints are poorly made causing gaps and misalignment in the tabletop")</f>
        <v xml:space="preserve">  Joints are poorly made causing gaps and misalignment in the tabletop</v>
      </c>
    </row>
    <row r="3370" spans="1:3" ht="15.75" customHeight="1" x14ac:dyDescent="0.25">
      <c r="A3370" s="2" t="s">
        <v>3372</v>
      </c>
      <c r="B3370" s="3" t="s">
        <v>4</v>
      </c>
      <c r="C3370" s="2" t="str">
        <f ca="1">IFERROR(__xludf.DUMMYFUNCTION("GOOGLETRANSLATE(A3370,""bn"",""en"")"),"The top of each piece is finished with a water resistant coating")</f>
        <v>The top of each piece is finished with a water resistant coating</v>
      </c>
    </row>
    <row r="3371" spans="1:3" ht="15.75" customHeight="1" x14ac:dyDescent="0.25">
      <c r="A3371" s="2" t="s">
        <v>3373</v>
      </c>
      <c r="B3371" s="3" t="s">
        <v>4</v>
      </c>
      <c r="C3371" s="2" t="str">
        <f ca="1">IFERROR(__xludf.DUMMYFUNCTION("GOOGLETRANSLATE(A3371,""bn"",""en"")"),"Battery performance is great, great product, I'm very happy")</f>
        <v>Battery performance is great, great product, I'm very happy</v>
      </c>
    </row>
    <row r="3372" spans="1:3" ht="15.75" customHeight="1" x14ac:dyDescent="0.25">
      <c r="A3372" s="2" t="s">
        <v>3374</v>
      </c>
      <c r="B3372" s="3" t="s">
        <v>4</v>
      </c>
      <c r="C3372" s="2" t="str">
        <f ca="1">IFERROR(__xludf.DUMMYFUNCTION("GOOGLETRANSLATE(A3372,""bn"",""en"")"),"Great for the gym")</f>
        <v>Great for the gym</v>
      </c>
    </row>
    <row r="3373" spans="1:3" ht="15.75" customHeight="1" x14ac:dyDescent="0.25">
      <c r="A3373" s="2" t="s">
        <v>3375</v>
      </c>
      <c r="B3373" s="3" t="s">
        <v>2</v>
      </c>
      <c r="C3373" s="2" t="str">
        <f ca="1">IFERROR(__xludf.DUMMYFUNCTION("GOOGLETRANSLATE(A3373,""bn"",""en"")"),"Toothpaste has a normal shelf life")</f>
        <v>Toothpaste has a normal shelf life</v>
      </c>
    </row>
    <row r="3374" spans="1:3" ht="15.75" customHeight="1" x14ac:dyDescent="0.25">
      <c r="A3374" s="2" t="s">
        <v>3376</v>
      </c>
      <c r="B3374" s="3" t="s">
        <v>4</v>
      </c>
      <c r="C3374" s="2" t="str">
        <f ca="1">IFERROR(__xludf.DUMMYFUNCTION("GOOGLETRANSLATE(A3374,""bn"",""en"")"),"The bookshelf can be used in school office or home")</f>
        <v>The bookshelf can be used in school office or home</v>
      </c>
    </row>
    <row r="3375" spans="1:3" ht="15.75" customHeight="1" x14ac:dyDescent="0.25">
      <c r="A3375" s="2" t="s">
        <v>3377</v>
      </c>
      <c r="B3375" s="3" t="s">
        <v>4</v>
      </c>
      <c r="C3375" s="2" t="str">
        <f ca="1">IFERROR(__xludf.DUMMYFUNCTION("GOOGLETRANSLATE(A3375,""bn"",""en"")"),"This pencil is very comfortable and convenient for writing")</f>
        <v>This pencil is very comfortable and convenient for writing</v>
      </c>
    </row>
    <row r="3376" spans="1:3" ht="15.75" customHeight="1" x14ac:dyDescent="0.25">
      <c r="A3376" s="2" t="s">
        <v>3378</v>
      </c>
      <c r="B3376" s="3" t="s">
        <v>6</v>
      </c>
      <c r="C3376" s="2" t="str">
        <f ca="1">IFERROR(__xludf.DUMMYFUNCTION("GOOGLETRANSLATE(A3376,""bn"",""en"")"),"Disappointingly repetitive and dull by the lack of variety in the graphics")</f>
        <v>Disappointingly repetitive and dull by the lack of variety in the graphics</v>
      </c>
    </row>
    <row r="3377" spans="1:3" ht="15.75" customHeight="1" x14ac:dyDescent="0.25">
      <c r="A3377" s="2" t="s">
        <v>3379</v>
      </c>
      <c r="B3377" s="3" t="s">
        <v>2</v>
      </c>
      <c r="C3377" s="2" t="str">
        <f ca="1">IFERROR(__xludf.DUMMYFUNCTION("GOOGLETRANSLATE(A3377,""bn"",""en"")"),"The brush head is medium in size")</f>
        <v>The brush head is medium in size</v>
      </c>
    </row>
    <row r="3378" spans="1:3" ht="15.75" customHeight="1" x14ac:dyDescent="0.25">
      <c r="A3378" s="2" t="s">
        <v>3380</v>
      </c>
      <c r="B3378" s="3" t="s">
        <v>4</v>
      </c>
      <c r="C3378" s="2" t="str">
        <f ca="1">IFERROR(__xludf.DUMMYFUNCTION("GOOGLETRANSLATE(A3378,""bn"",""en"")"),"There is no fear of drying out even if you go out on vacation")</f>
        <v>There is no fear of drying out even if you go out on vacation</v>
      </c>
    </row>
    <row r="3379" spans="1:3" ht="15.75" customHeight="1" x14ac:dyDescent="0.25">
      <c r="A3379" s="2" t="s">
        <v>3381</v>
      </c>
      <c r="B3379" s="3" t="s">
        <v>4</v>
      </c>
      <c r="C3379" s="2" t="str">
        <f ca="1">IFERROR(__xludf.DUMMYFUNCTION("GOOGLETRANSLATE(A3379,""bn"",""en"")"),"The fan displays very fast and fast")</f>
        <v>The fan displays very fast and fast</v>
      </c>
    </row>
    <row r="3380" spans="1:3" ht="15.75" customHeight="1" x14ac:dyDescent="0.25">
      <c r="A3380" s="2" t="s">
        <v>3382</v>
      </c>
      <c r="B3380" s="3" t="s">
        <v>6</v>
      </c>
      <c r="C3380" s="2" t="str">
        <f ca="1">IFERROR(__xludf.DUMMYFUNCTION("GOOGLETRANSLATE(A3380,""bn"",""en"")"),"The fabric feels plastic and unnatural")</f>
        <v>The fabric feels plastic and unnatural</v>
      </c>
    </row>
    <row r="3381" spans="1:3" ht="15.75" customHeight="1" x14ac:dyDescent="0.25">
      <c r="A3381" s="2" t="s">
        <v>3383</v>
      </c>
      <c r="B3381" s="3" t="s">
        <v>4</v>
      </c>
      <c r="C3381" s="2" t="str">
        <f ca="1">IFERROR(__xludf.DUMMYFUNCTION("GOOGLETRANSLATE(A3381,""bn"",""en"")")," After using it for a month, I gave a review. To be honest, it was a quality product for such a low price")</f>
        <v xml:space="preserve"> After using it for a month, I gave a review. To be honest, it was a quality product for such a low price</v>
      </c>
    </row>
    <row r="3382" spans="1:3" ht="15.75" customHeight="1" x14ac:dyDescent="0.25">
      <c r="A3382" s="2" t="s">
        <v>3384</v>
      </c>
      <c r="B3382" s="3" t="s">
        <v>4</v>
      </c>
      <c r="C3382" s="2" t="str">
        <f ca="1">IFERROR(__xludf.DUMMYFUNCTION("GOOGLETRANSLATE(A3382,""bn"",""en"")"),"The shelves are the perfect size for storing books")</f>
        <v>The shelves are the perfect size for storing books</v>
      </c>
    </row>
    <row r="3383" spans="1:3" ht="15.75" customHeight="1" x14ac:dyDescent="0.25">
      <c r="A3383" s="2" t="s">
        <v>3385</v>
      </c>
      <c r="B3383" s="3" t="s">
        <v>6</v>
      </c>
      <c r="C3383" s="2" t="str">
        <f ca="1">IFERROR(__xludf.DUMMYFUNCTION("GOOGLETRANSLATE(A3383,""bn"",""en"")"),"It falls short in terms of durability and performance")</f>
        <v>It falls short in terms of durability and performance</v>
      </c>
    </row>
    <row r="3384" spans="1:3" ht="15.75" customHeight="1" x14ac:dyDescent="0.25">
      <c r="A3384" s="2" t="s">
        <v>3386</v>
      </c>
      <c r="B3384" s="3" t="s">
        <v>6</v>
      </c>
      <c r="C3384" s="2" t="str">
        <f ca="1">IFERROR(__xludf.DUMMYFUNCTION("GOOGLETRANSLATE(A3384,""bn"",""en"")"),"The bulky design makes it challenging to store in cabinets")</f>
        <v>The bulky design makes it challenging to store in cabinets</v>
      </c>
    </row>
    <row r="3385" spans="1:3" ht="15.75" customHeight="1" x14ac:dyDescent="0.25">
      <c r="A3385" s="2" t="s">
        <v>3387</v>
      </c>
      <c r="B3385" s="3" t="s">
        <v>6</v>
      </c>
      <c r="C3385" s="2" t="str">
        <f ca="1">IFERROR(__xludf.DUMMYFUNCTION("GOOGLETRANSLATE(A3385,""bn"",""en"")"),"It's smaller than I expected")</f>
        <v>It's smaller than I expected</v>
      </c>
    </row>
    <row r="3386" spans="1:3" ht="15.75" customHeight="1" x14ac:dyDescent="0.25">
      <c r="A3386" s="2" t="s">
        <v>3388</v>
      </c>
      <c r="B3386" s="3" t="s">
        <v>4</v>
      </c>
      <c r="C3386" s="2" t="str">
        <f ca="1">IFERROR(__xludf.DUMMYFUNCTION("GOOGLETRANSLATE(A3386,""bn"",""en"")"),"Excellent product I am very happy")</f>
        <v>Excellent product I am very happy</v>
      </c>
    </row>
    <row r="3387" spans="1:3" ht="15.75" customHeight="1" x14ac:dyDescent="0.25">
      <c r="A3387" s="2" t="s">
        <v>3389</v>
      </c>
      <c r="B3387" s="3" t="s">
        <v>6</v>
      </c>
      <c r="C3387" s="2" t="str">
        <f ca="1">IFERROR(__xludf.DUMMYFUNCTION("GOOGLETRANSLATE(A3387,""bn"",""en"")"),"Dissatisfied with sound quality and ANC")</f>
        <v>Dissatisfied with sound quality and ANC</v>
      </c>
    </row>
    <row r="3388" spans="1:3" ht="15.75" customHeight="1" x14ac:dyDescent="0.25">
      <c r="A3388" s="2" t="s">
        <v>3390</v>
      </c>
      <c r="B3388" s="3" t="s">
        <v>6</v>
      </c>
      <c r="C3388" s="2" t="str">
        <f ca="1">IFERROR(__xludf.DUMMYFUNCTION("GOOGLETRANSLATE(A3388,""bn"",""en"")"),"Not leak proof Not quite suitable for holding liquids")</f>
        <v>Not leak proof Not quite suitable for holding liquids</v>
      </c>
    </row>
    <row r="3389" spans="1:3" ht="15.75" customHeight="1" x14ac:dyDescent="0.25">
      <c r="A3389" s="2" t="s">
        <v>3391</v>
      </c>
      <c r="B3389" s="3" t="s">
        <v>4</v>
      </c>
      <c r="C3389" s="2" t="str">
        <f ca="1">IFERROR(__xludf.DUMMYFUNCTION("GOOGLETRANSLATE(A3389,""bn"",""en"")"),"The flower brings a modern touch to my room")</f>
        <v>The flower brings a modern touch to my room</v>
      </c>
    </row>
    <row r="3390" spans="1:3" ht="15.75" customHeight="1" x14ac:dyDescent="0.25">
      <c r="A3390" s="2" t="s">
        <v>3392</v>
      </c>
      <c r="B3390" s="3" t="s">
        <v>2</v>
      </c>
      <c r="C3390" s="2" t="str">
        <f ca="1">IFERROR(__xludf.DUMMYFUNCTION("GOOGLETRANSLATE(A3390,""bn"",""en"")"),"The edges of the pad may be slightly rough")</f>
        <v>The edges of the pad may be slightly rough</v>
      </c>
    </row>
    <row r="3391" spans="1:3" ht="15.75" customHeight="1" x14ac:dyDescent="0.25">
      <c r="A3391" s="2" t="s">
        <v>3393</v>
      </c>
      <c r="B3391" s="3" t="s">
        <v>6</v>
      </c>
      <c r="C3391" s="2" t="str">
        <f ca="1">IFERROR(__xludf.DUMMYFUNCTION("GOOGLETRANSLATE(A3391,""bn"",""en"")"),"The inner pot of the rice cooker gets scratched easily, affecting the cooking performance")</f>
        <v>The inner pot of the rice cooker gets scratched easily, affecting the cooking performance</v>
      </c>
    </row>
    <row r="3392" spans="1:3" ht="15.75" customHeight="1" x14ac:dyDescent="0.25">
      <c r="A3392" s="2" t="s">
        <v>3394</v>
      </c>
      <c r="B3392" s="3" t="s">
        <v>2</v>
      </c>
      <c r="C3392" s="2" t="str">
        <f ca="1">IFERROR(__xludf.DUMMYFUNCTION("GOOGLETRANSLATE(A3392,""bn"",""en"")"),"It can be used but the price seems high")</f>
        <v>It can be used but the price seems high</v>
      </c>
    </row>
    <row r="3393" spans="1:3" ht="15.75" customHeight="1" x14ac:dyDescent="0.25">
      <c r="A3393" s="2" t="s">
        <v>3395</v>
      </c>
      <c r="B3393" s="3" t="s">
        <v>2</v>
      </c>
      <c r="C3393" s="2" t="str">
        <f ca="1">IFERROR(__xludf.DUMMYFUNCTION("GOOGLETRANSLATE(A3393,""bn"",""en"")"),"It is microwave safe but may disintegrate at high temperatures")</f>
        <v>It is microwave safe but may disintegrate at high temperatures</v>
      </c>
    </row>
    <row r="3394" spans="1:3" ht="15.75" customHeight="1" x14ac:dyDescent="0.25">
      <c r="A3394" s="2" t="s">
        <v>3396</v>
      </c>
      <c r="B3394" s="3" t="s">
        <v>4</v>
      </c>
      <c r="C3394" s="2" t="str">
        <f ca="1">IFERROR(__xludf.DUMMYFUNCTION("GOOGLETRANSLATE(A3394,""bn"",""en"")"),"The fabric of the dress is very comfortable")</f>
        <v>The fabric of the dress is very comfortable</v>
      </c>
    </row>
    <row r="3395" spans="1:3" ht="15.75" customHeight="1" x14ac:dyDescent="0.25">
      <c r="A3395" s="2" t="s">
        <v>3397</v>
      </c>
      <c r="B3395" s="3" t="s">
        <v>4</v>
      </c>
      <c r="C3395" s="2" t="str">
        <f ca="1">IFERROR(__xludf.DUMMYFUNCTION("GOOGLETRANSLATE(A3395,""bn"",""en"")"),"Excellent radar detector I didn't expect to get so good in this budget")</f>
        <v>Excellent radar detector I didn't expect to get so good in this budget</v>
      </c>
    </row>
    <row r="3396" spans="1:3" ht="15.75" customHeight="1" x14ac:dyDescent="0.25">
      <c r="A3396" s="2" t="s">
        <v>3398</v>
      </c>
      <c r="B3396" s="3" t="s">
        <v>6</v>
      </c>
      <c r="C3396" s="2" t="str">
        <f ca="1">IFERROR(__xludf.DUMMYFUNCTION("GOOGLETRANSLATE(A3396,""bn"",""en"")"),"The item didn't offer the promised level of customization")</f>
        <v>The item didn't offer the promised level of customization</v>
      </c>
    </row>
    <row r="3397" spans="1:3" ht="15.75" customHeight="1" x14ac:dyDescent="0.25">
      <c r="A3397" s="2" t="s">
        <v>3399</v>
      </c>
      <c r="B3397" s="3" t="s">
        <v>6</v>
      </c>
      <c r="C3397" s="2" t="str">
        <f ca="1">IFERROR(__xludf.DUMMYFUNCTION("GOOGLETRANSLATE(A3397,""bn"",""en"")"),"The bar of soap left a residue on my skin ")</f>
        <v xml:space="preserve">The bar of soap left a residue on my skin </v>
      </c>
    </row>
    <row r="3398" spans="1:3" ht="15.75" customHeight="1" x14ac:dyDescent="0.25">
      <c r="A3398" s="2" t="s">
        <v>3400</v>
      </c>
      <c r="B3398" s="3" t="s">
        <v>6</v>
      </c>
      <c r="C3398" s="2" t="str">
        <f ca="1">IFERROR(__xludf.DUMMYFUNCTION("GOOGLETRANSLATE(A3398,""bn"",""en"")"),"The packaging of the tea set was poor resulting in damage during shipping")</f>
        <v>The packaging of the tea set was poor resulting in damage during shipping</v>
      </c>
    </row>
    <row r="3399" spans="1:3" ht="15.75" customHeight="1" x14ac:dyDescent="0.25">
      <c r="A3399" s="2" t="s">
        <v>3401</v>
      </c>
      <c r="B3399" s="3" t="s">
        <v>4</v>
      </c>
      <c r="C3399" s="2" t="str">
        <f ca="1">IFERROR(__xludf.DUMMYFUNCTION("GOOGLETRANSLATE(A3399,""bn"",""en"")"),"This tea has become an essential part of my daily life")</f>
        <v>This tea has become an essential part of my daily life</v>
      </c>
    </row>
    <row r="3400" spans="1:3" ht="15.75" customHeight="1" x14ac:dyDescent="0.25">
      <c r="A3400" s="2" t="s">
        <v>3402</v>
      </c>
      <c r="B3400" s="3" t="s">
        <v>2</v>
      </c>
      <c r="C3400" s="2" t="str">
        <f ca="1">IFERROR(__xludf.DUMMYFUNCTION("GOOGLETRANSLATE(A3400,""bn"",""en"")"),"Children can see themselves")</f>
        <v>Children can see themselves</v>
      </c>
    </row>
    <row r="3401" spans="1:3" ht="15.75" customHeight="1" x14ac:dyDescent="0.25">
      <c r="A3401" s="2" t="s">
        <v>3403</v>
      </c>
      <c r="B3401" s="3" t="s">
        <v>6</v>
      </c>
      <c r="C3401" s="2" t="str">
        <f ca="1">IFERROR(__xludf.DUMMYFUNCTION("GOOGLETRANSLATE(A3401,""bn"",""en"")"),"Sizing charts are confusing resulting in a poorly fitting garment")</f>
        <v>Sizing charts are confusing resulting in a poorly fitting garment</v>
      </c>
    </row>
    <row r="3402" spans="1:3" ht="15.75" customHeight="1" x14ac:dyDescent="0.25">
      <c r="A3402" s="2" t="s">
        <v>3404</v>
      </c>
      <c r="B3402" s="3" t="s">
        <v>4</v>
      </c>
      <c r="C3402" s="2" t="str">
        <f ca="1">IFERROR(__xludf.DUMMYFUNCTION("GOOGLETRANSLATE(A3402,""bn"",""en"")"),"Mess or odor free which keeps the mind calm during use")</f>
        <v>Mess or odor free which keeps the mind calm during use</v>
      </c>
    </row>
    <row r="3403" spans="1:3" ht="15.75" customHeight="1" x14ac:dyDescent="0.25">
      <c r="A3403" s="2" t="s">
        <v>3405</v>
      </c>
      <c r="B3403" s="3" t="s">
        <v>6</v>
      </c>
      <c r="C3403" s="2" t="str">
        <f ca="1">IFERROR(__xludf.DUMMYFUNCTION("GOOGLETRANSLATE(A3403,""bn"",""en"")"),"The handle of the tea kettle becomes hot to the touch which poses a risk of burns")</f>
        <v>The handle of the tea kettle becomes hot to the touch which poses a risk of burns</v>
      </c>
    </row>
    <row r="3404" spans="1:3" ht="15.75" customHeight="1" x14ac:dyDescent="0.25">
      <c r="A3404" s="2" t="s">
        <v>3406</v>
      </c>
      <c r="B3404" s="3" t="s">
        <v>6</v>
      </c>
      <c r="C3404" s="2" t="str">
        <f ca="1">IFERROR(__xludf.DUMMYFUNCTION("GOOGLETRANSLATE(A3404,""bn"",""en"")")," Food processor blades are dull making it difficult to puree food properly")</f>
        <v xml:space="preserve"> Food processor blades are dull making it difficult to puree food properly</v>
      </c>
    </row>
    <row r="3405" spans="1:3" ht="15.75" customHeight="1" x14ac:dyDescent="0.25">
      <c r="A3405" s="2" t="s">
        <v>3407</v>
      </c>
      <c r="B3405" s="3" t="s">
        <v>4</v>
      </c>
      <c r="C3405" s="2" t="str">
        <f ca="1">IFERROR(__xludf.DUMMYFUNCTION("GOOGLETRANSLATE(A3405,""bn"",""en"")"),"The author's use of words is very impressive")</f>
        <v>The author's use of words is very impressive</v>
      </c>
    </row>
    <row r="3406" spans="1:3" ht="15.75" customHeight="1" x14ac:dyDescent="0.25">
      <c r="A3406" s="2" t="s">
        <v>3408</v>
      </c>
      <c r="B3406" s="3" t="s">
        <v>4</v>
      </c>
      <c r="C3406" s="2" t="str">
        <f ca="1">IFERROR(__xludf.DUMMYFUNCTION("GOOGLETRANSLATE(A3406,""bn"",""en"")"),"Every brushstroke in the painting is absolutely perfect")</f>
        <v>Every brushstroke in the painting is absolutely perfect</v>
      </c>
    </row>
    <row r="3407" spans="1:3" ht="15.75" customHeight="1" x14ac:dyDescent="0.25">
      <c r="A3407" s="2" t="s">
        <v>3409</v>
      </c>
      <c r="B3407" s="3" t="s">
        <v>2</v>
      </c>
      <c r="C3407" s="2" t="str">
        <f ca="1">IFERROR(__xludf.DUMMYFUNCTION("GOOGLETRANSLATE(A3407,""bn"",""en"")"),"Weight is not too much Installation is complicated")</f>
        <v>Weight is not too much Installation is complicated</v>
      </c>
    </row>
    <row r="3408" spans="1:3" ht="15.75" customHeight="1" x14ac:dyDescent="0.25">
      <c r="A3408" s="2" t="s">
        <v>3410</v>
      </c>
      <c r="B3408" s="3" t="s">
        <v>2</v>
      </c>
      <c r="C3408" s="2" t="str">
        <f ca="1">IFERROR(__xludf.DUMMYFUNCTION("GOOGLETRANSLATE(A3408,""bn"",""en"")"),"It is normal that the watch will show the correct time on time")</f>
        <v>It is normal that the watch will show the correct time on time</v>
      </c>
    </row>
    <row r="3409" spans="1:3" ht="15.75" customHeight="1" x14ac:dyDescent="0.25">
      <c r="A3409" s="2" t="s">
        <v>3411</v>
      </c>
      <c r="B3409" s="3" t="s">
        <v>4</v>
      </c>
      <c r="C3409" s="2" t="str">
        <f ca="1">IFERROR(__xludf.DUMMYFUNCTION("GOOGLETRANSLATE(A3409,""bn"",""en"")"),"  Don't miss out on a product that works great for the price ")</f>
        <v xml:space="preserve">  Don't miss out on a product that works great for the price </v>
      </c>
    </row>
    <row r="3410" spans="1:3" ht="15.75" customHeight="1" x14ac:dyDescent="0.25">
      <c r="A3410" s="2" t="s">
        <v>3412</v>
      </c>
      <c r="B3410" s="3" t="s">
        <v>2</v>
      </c>
      <c r="C3410" s="2" t="str">
        <f ca="1">IFERROR(__xludf.DUMMYFUNCTION("GOOGLETRANSLATE(A3410,""bn"",""en"")"),"Price is a bit high as per quantity but got some good yield")</f>
        <v>Price is a bit high as per quantity but got some good yield</v>
      </c>
    </row>
    <row r="3411" spans="1:3" ht="15.75" customHeight="1" x14ac:dyDescent="0.25">
      <c r="A3411" s="2" t="s">
        <v>3413</v>
      </c>
      <c r="B3411" s="3" t="s">
        <v>2</v>
      </c>
      <c r="C3411" s="2" t="str">
        <f ca="1">IFERROR(__xludf.DUMMYFUNCTION("GOOGLETRANSLATE(A3411,""bn"",""en"")"),"The product contributes to maintaining a healthy environment at home")</f>
        <v>The product contributes to maintaining a healthy environment at home</v>
      </c>
    </row>
    <row r="3412" spans="1:3" ht="15.75" customHeight="1" x14ac:dyDescent="0.25">
      <c r="A3412" s="2" t="s">
        <v>3414</v>
      </c>
      <c r="B3412" s="3" t="s">
        <v>6</v>
      </c>
      <c r="C3412" s="2" t="str">
        <f ca="1">IFERROR(__xludf.DUMMYFUNCTION("GOOGLETRANSLATE(A3412,""bn"",""en"")"),"Brings scars that won't come out")</f>
        <v>Brings scars that won't come out</v>
      </c>
    </row>
    <row r="3413" spans="1:3" ht="15.75" customHeight="1" x14ac:dyDescent="0.25">
      <c r="A3413" s="2" t="s">
        <v>3415</v>
      </c>
      <c r="B3413" s="3" t="s">
        <v>2</v>
      </c>
      <c r="C3413" s="2" t="str">
        <f ca="1">IFERROR(__xludf.DUMMYFUNCTION("GOOGLETRANSLATE(A3413,""bn"",""en"")"),"Even though new technology has been added, the fertilizer has returned the old type of yield")</f>
        <v>Even though new technology has been added, the fertilizer has returned the old type of yield</v>
      </c>
    </row>
    <row r="3414" spans="1:3" ht="15.75" customHeight="1" x14ac:dyDescent="0.25">
      <c r="A3414" s="2" t="s">
        <v>3416</v>
      </c>
      <c r="B3414" s="3" t="s">
        <v>2</v>
      </c>
      <c r="C3414" s="2" t="str">
        <f ca="1">IFERROR(__xludf.DUMMYFUNCTION("GOOGLETRANSLATE(A3414,""bn"",""en"")"),"Water needs to be changed")</f>
        <v>Water needs to be changed</v>
      </c>
    </row>
    <row r="3415" spans="1:3" ht="15.75" customHeight="1" x14ac:dyDescent="0.25">
      <c r="A3415" s="2" t="s">
        <v>3417</v>
      </c>
      <c r="B3415" s="3" t="s">
        <v>6</v>
      </c>
      <c r="C3415" s="2" t="str">
        <f ca="1">IFERROR(__xludf.DUMMYFUNCTION("GOOGLETRANSLATE(A3415,""bn"",""en"")"),"Bath salts irritate my skin causing redness and itching")</f>
        <v>Bath salts irritate my skin causing redness and itching</v>
      </c>
    </row>
    <row r="3416" spans="1:3" ht="15.75" customHeight="1" x14ac:dyDescent="0.25">
      <c r="A3416" s="2" t="s">
        <v>3418</v>
      </c>
      <c r="B3416" s="3" t="s">
        <v>2</v>
      </c>
      <c r="C3416" s="2" t="str">
        <f ca="1">IFERROR(__xludf.DUMMYFUNCTION("GOOGLETRANSLATE(A3416,""bn"",""en"")"),"The Black Classic Armrest Chair is of average quality")</f>
        <v>The Black Classic Armrest Chair is of average quality</v>
      </c>
    </row>
    <row r="3417" spans="1:3" ht="15.75" customHeight="1" x14ac:dyDescent="0.25">
      <c r="A3417" s="2" t="s">
        <v>3419</v>
      </c>
      <c r="B3417" s="3" t="s">
        <v>4</v>
      </c>
      <c r="C3417" s="2" t="str">
        <f ca="1">IFERROR(__xludf.DUMMYFUNCTION("GOOGLETRANSLATE(A3417,""bn"",""en"")"),"This shampoo helps in maintaining the natural oils of the hair")</f>
        <v>This shampoo helps in maintaining the natural oils of the hair</v>
      </c>
    </row>
    <row r="3418" spans="1:3" ht="15.75" customHeight="1" x14ac:dyDescent="0.25">
      <c r="A3418" s="2" t="s">
        <v>3420</v>
      </c>
      <c r="B3418" s="3" t="s">
        <v>6</v>
      </c>
      <c r="C3418" s="2" t="str">
        <f ca="1">IFERROR(__xludf.DUMMYFUNCTION("GOOGLETRANSLATE(A3418,""bn"",""en"")"),"The microwave makes a loud noise during operation which indicates a possible mechanical problem")</f>
        <v>The microwave makes a loud noise during operation which indicates a possible mechanical problem</v>
      </c>
    </row>
    <row r="3419" spans="1:3" ht="15.75" customHeight="1" x14ac:dyDescent="0.25">
      <c r="A3419" s="2" t="s">
        <v>3421</v>
      </c>
      <c r="B3419" s="3" t="s">
        <v>4</v>
      </c>
      <c r="C3419" s="2" t="str">
        <f ca="1">IFERROR(__xludf.DUMMYFUNCTION("GOOGLETRANSLATE(A3419,""bn"",""en"")"),"Table mats are provided with the dining table")</f>
        <v>Table mats are provided with the dining table</v>
      </c>
    </row>
    <row r="3420" spans="1:3" ht="15.75" customHeight="1" x14ac:dyDescent="0.25">
      <c r="A3420" s="2" t="s">
        <v>3422</v>
      </c>
      <c r="B3420" s="3" t="s">
        <v>6</v>
      </c>
      <c r="C3420" s="2" t="str">
        <f ca="1">IFERROR(__xludf.DUMMYFUNCTION("GOOGLETRANSLATE(A3420,""bn"",""en"")"),"Handheld vacuums have poor suction power and do not clean properly")</f>
        <v>Handheld vacuums have poor suction power and do not clean properly</v>
      </c>
    </row>
    <row r="3421" spans="1:3" ht="15.75" customHeight="1" x14ac:dyDescent="0.25">
      <c r="A3421" s="2" t="s">
        <v>3423</v>
      </c>
      <c r="B3421" s="3" t="s">
        <v>2</v>
      </c>
      <c r="C3421" s="2" t="str">
        <f ca="1">IFERROR(__xludf.DUMMYFUNCTION("GOOGLETRANSLATE(A3421,""bn"",""en"")"),"just ok")</f>
        <v>just ok</v>
      </c>
    </row>
    <row r="3422" spans="1:3" ht="15.75" customHeight="1" x14ac:dyDescent="0.25">
      <c r="A3422" s="2" t="s">
        <v>3424</v>
      </c>
      <c r="B3422" s="3" t="s">
        <v>4</v>
      </c>
      <c r="C3422" s="2" t="str">
        <f ca="1">IFERROR(__xludf.DUMMYFUNCTION("GOOGLETRANSLATE(A3422,""bn"",""en"")"),"There are always games in the school grounds")</f>
        <v>There are always games in the school grounds</v>
      </c>
    </row>
    <row r="3423" spans="1:3" ht="15.75" customHeight="1" x14ac:dyDescent="0.25">
      <c r="A3423" s="2" t="s">
        <v>3425</v>
      </c>
      <c r="B3423" s="3" t="s">
        <v>6</v>
      </c>
      <c r="C3423" s="2" t="str">
        <f ca="1">IFERROR(__xludf.DUMMYFUNCTION("GOOGLETRANSLATE(A3423,""bn"",""en"")"),"The granola bars were overly sweet and had a weird aftertaste")</f>
        <v>The granola bars were overly sweet and had a weird aftertaste</v>
      </c>
    </row>
    <row r="3424" spans="1:3" ht="15.75" customHeight="1" x14ac:dyDescent="0.25">
      <c r="A3424" s="2" t="s">
        <v>3426</v>
      </c>
      <c r="B3424" s="3" t="s">
        <v>2</v>
      </c>
      <c r="C3424" s="2" t="str">
        <f ca="1">IFERROR(__xludf.DUMMYFUNCTION("GOOGLETRANSLATE(A3424,""bn"",""en"")"),"Kids loved it but cleaning up after playing is a bit of a hassle")</f>
        <v>Kids loved it but cleaning up after playing is a bit of a hassle</v>
      </c>
    </row>
    <row r="3425" spans="1:3" ht="15.75" customHeight="1" x14ac:dyDescent="0.25">
      <c r="A3425" s="2" t="s">
        <v>3427</v>
      </c>
      <c r="B3425" s="3" t="s">
        <v>6</v>
      </c>
      <c r="C3425" s="2" t="str">
        <f ca="1">IFERROR(__xludf.DUMMYFUNCTION("GOOGLETRANSLATE(A3425,""bn"",""en"")"),"The material used was flimsy and prone to breakage")</f>
        <v>The material used was flimsy and prone to breakage</v>
      </c>
    </row>
    <row r="3426" spans="1:3" ht="15.75" customHeight="1" x14ac:dyDescent="0.25">
      <c r="A3426" s="2" t="s">
        <v>3428</v>
      </c>
      <c r="B3426" s="3" t="s">
        <v>2</v>
      </c>
      <c r="C3426" s="2" t="str">
        <f ca="1">IFERROR(__xludf.DUMMYFUNCTION("GOOGLETRANSLATE(A3426,""bn"",""en"")"),"The glass heater is nice but can generate a lot of heat at times ")</f>
        <v xml:space="preserve">The glass heater is nice but can generate a lot of heat at times </v>
      </c>
    </row>
    <row r="3427" spans="1:3" ht="15.75" customHeight="1" x14ac:dyDescent="0.25">
      <c r="A3427" s="2" t="s">
        <v>3429</v>
      </c>
      <c r="B3427" s="3" t="s">
        <v>4</v>
      </c>
      <c r="C3427" s="2" t="str">
        <f ca="1">IFERROR(__xludf.DUMMYFUNCTION("GOOGLETRANSLATE(A3427,""bn"",""en"")"),"The watch keeps good time and looks great")</f>
        <v>The watch keeps good time and looks great</v>
      </c>
    </row>
    <row r="3428" spans="1:3" ht="15.75" customHeight="1" x14ac:dyDescent="0.25">
      <c r="A3428" s="2" t="s">
        <v>3430</v>
      </c>
      <c r="B3428" s="3" t="s">
        <v>6</v>
      </c>
      <c r="C3428" s="2" t="str">
        <f ca="1">IFERROR(__xludf.DUMMYFUNCTION("GOOGLETRANSLATE(A3428,""bn"",""en"")"),"The canvas material absorbs too much paint and wastes the supply")</f>
        <v>The canvas material absorbs too much paint and wastes the supply</v>
      </c>
    </row>
    <row r="3429" spans="1:3" ht="15.75" customHeight="1" x14ac:dyDescent="0.25">
      <c r="A3429" s="2" t="s">
        <v>3431</v>
      </c>
      <c r="B3429" s="3" t="s">
        <v>6</v>
      </c>
      <c r="C3429" s="2" t="str">
        <f ca="1">IFERROR(__xludf.DUMMYFUNCTION("GOOGLETRANSLATE(A3429,""bn"",""en"")"),"The packaging was difficult to recycle contributing to environmental waste")</f>
        <v>The packaging was difficult to recycle contributing to environmental waste</v>
      </c>
    </row>
    <row r="3430" spans="1:3" ht="15.75" customHeight="1" x14ac:dyDescent="0.25">
      <c r="A3430" s="2" t="s">
        <v>3432</v>
      </c>
      <c r="B3430" s="3" t="s">
        <v>6</v>
      </c>
      <c r="C3430" s="2" t="str">
        <f ca="1">IFERROR(__xludf.DUMMYFUNCTION("GOOGLETRANSLATE(A3430,""bn"",""en"")"),"Avoid unsatisfactory purchases")</f>
        <v>Avoid unsatisfactory purchases</v>
      </c>
    </row>
    <row r="3431" spans="1:3" ht="15.75" customHeight="1" x14ac:dyDescent="0.25">
      <c r="A3431" s="2" t="s">
        <v>3433</v>
      </c>
      <c r="B3431" s="3" t="s">
        <v>2</v>
      </c>
      <c r="C3431" s="2" t="str">
        <f ca="1">IFERROR(__xludf.DUMMYFUNCTION("GOOGLETRANSLATE(A3431,""bn"",""en"")"),"Portable dishwashers clean dishes but take up less space")</f>
        <v>Portable dishwashers clean dishes but take up less space</v>
      </c>
    </row>
    <row r="3432" spans="1:3" ht="15.75" customHeight="1" x14ac:dyDescent="0.25">
      <c r="A3432" s="2" t="s">
        <v>3434</v>
      </c>
      <c r="B3432" s="3" t="s">
        <v>2</v>
      </c>
      <c r="C3432" s="2" t="str">
        <f ca="1">IFERROR(__xludf.DUMMYFUNCTION("GOOGLETRANSLATE(A3432,""bn"",""en"")"),"Portable espresso maker makes coffee but the tank is small")</f>
        <v>Portable espresso maker makes coffee but the tank is small</v>
      </c>
    </row>
    <row r="3433" spans="1:3" ht="15.75" customHeight="1" x14ac:dyDescent="0.25">
      <c r="A3433" s="2" t="s">
        <v>3435</v>
      </c>
      <c r="B3433" s="3" t="s">
        <v>6</v>
      </c>
      <c r="C3433" s="2" t="str">
        <f ca="1">IFERROR(__xludf.DUMMYFUNCTION("GOOGLETRANSLATE(A3433,""bn"",""en"")"),"The packaging contains extra inserts that are adding to landfill waste")</f>
        <v>The packaging contains extra inserts that are adding to landfill waste</v>
      </c>
    </row>
    <row r="3434" spans="1:3" ht="15.75" customHeight="1" x14ac:dyDescent="0.25">
      <c r="A3434" s="2" t="s">
        <v>3436</v>
      </c>
      <c r="B3434" s="3" t="s">
        <v>4</v>
      </c>
      <c r="C3434" s="2" t="str">
        <f ca="1">IFERROR(__xludf.DUMMYFUNCTION("GOOGLETRANSLATE(A3434,""bn"",""en"")"),"The product has durability")</f>
        <v>The product has durability</v>
      </c>
    </row>
    <row r="3435" spans="1:3" ht="15.75" customHeight="1" x14ac:dyDescent="0.25">
      <c r="A3435" s="2" t="s">
        <v>3437</v>
      </c>
      <c r="B3435" s="3" t="s">
        <v>4</v>
      </c>
      <c r="C3435" s="2" t="str">
        <f ca="1">IFERROR(__xludf.DUMMYFUNCTION("GOOGLETRANSLATE(A3435,""bn"",""en"")"),"It gives flexibility in makeup application")</f>
        <v>It gives flexibility in makeup application</v>
      </c>
    </row>
    <row r="3436" spans="1:3" ht="15.75" customHeight="1" x14ac:dyDescent="0.25">
      <c r="A3436" s="2" t="s">
        <v>3438</v>
      </c>
      <c r="B3436" s="3" t="s">
        <v>2</v>
      </c>
      <c r="C3436" s="2" t="str">
        <f ca="1">IFERROR(__xludf.DUMMYFUNCTION("GOOGLETRANSLATE(A3436,""bn"",""en"")"),"Used to keep feet warm")</f>
        <v>Used to keep feet warm</v>
      </c>
    </row>
    <row r="3437" spans="1:3" ht="15.75" customHeight="1" x14ac:dyDescent="0.25">
      <c r="A3437" s="2" t="s">
        <v>3439</v>
      </c>
      <c r="B3437" s="3" t="s">
        <v>4</v>
      </c>
      <c r="C3437" s="2" t="str">
        <f ca="1">IFERROR(__xludf.DUMMYFUNCTION("GOOGLETRANSLATE(A3437,""bn"",""en"")"),"The bookshelf is available in different colors")</f>
        <v>The bookshelf is available in different colors</v>
      </c>
    </row>
    <row r="3438" spans="1:3" ht="15.75" customHeight="1" x14ac:dyDescent="0.25">
      <c r="A3438" s="2" t="s">
        <v>3440</v>
      </c>
      <c r="B3438" s="3" t="s">
        <v>4</v>
      </c>
      <c r="C3438" s="2" t="str">
        <f ca="1">IFERROR(__xludf.DUMMYFUNCTION("GOOGLETRANSLATE(A3438,""bn"",""en"")"),"It is suitable for the whole family")</f>
        <v>It is suitable for the whole family</v>
      </c>
    </row>
    <row r="3439" spans="1:3" ht="15.75" customHeight="1" x14ac:dyDescent="0.25">
      <c r="A3439" s="2" t="s">
        <v>3441</v>
      </c>
      <c r="B3439" s="3" t="s">
        <v>2</v>
      </c>
      <c r="C3439" s="2" t="str">
        <f ca="1">IFERROR(__xludf.DUMMYFUNCTION("GOOGLETRANSLATE(A3439,""bn"",""en"")"),"It may become hot after prolonged use")</f>
        <v>It may become hot after prolonged use</v>
      </c>
    </row>
    <row r="3440" spans="1:3" ht="15.75" customHeight="1" x14ac:dyDescent="0.25">
      <c r="A3440" s="2" t="s">
        <v>3442</v>
      </c>
      <c r="B3440" s="3" t="s">
        <v>4</v>
      </c>
      <c r="C3440" s="2" t="str">
        <f ca="1">IFERROR(__xludf.DUMMYFUNCTION("GOOGLETRANSLATE(A3440,""bn"",""en"")"),"My diary pages are very smooth and comfortable to write on")</f>
        <v>My diary pages are very smooth and comfortable to write on</v>
      </c>
    </row>
    <row r="3441" spans="1:3" ht="15.75" customHeight="1" x14ac:dyDescent="0.25">
      <c r="A3441" s="2" t="s">
        <v>3443</v>
      </c>
      <c r="B3441" s="3" t="s">
        <v>2</v>
      </c>
      <c r="C3441" s="2" t="str">
        <f ca="1">IFERROR(__xludf.DUMMYFUNCTION("GOOGLETRANSLATE(A3441,""bn"",""en"")"),"Decent not outstanding for craftsmanship")</f>
        <v>Decent not outstanding for craftsmanship</v>
      </c>
    </row>
    <row r="3442" spans="1:3" ht="15.75" customHeight="1" x14ac:dyDescent="0.25">
      <c r="A3442" s="2" t="s">
        <v>3444</v>
      </c>
      <c r="B3442" s="3" t="s">
        <v>6</v>
      </c>
      <c r="C3442" s="2" t="str">
        <f ca="1">IFERROR(__xludf.DUMMYFUNCTION("GOOGLETRANSLATE(A3442,""bn"",""en"")"),"Uneven edges on containers make handling difficult")</f>
        <v>Uneven edges on containers make handling difficult</v>
      </c>
    </row>
    <row r="3443" spans="1:3" ht="15.75" customHeight="1" x14ac:dyDescent="0.25">
      <c r="A3443" s="2" t="s">
        <v>3445</v>
      </c>
      <c r="B3443" s="3" t="s">
        <v>6</v>
      </c>
      <c r="C3443" s="2" t="str">
        <f ca="1">IFERROR(__xludf.DUMMYFUNCTION("GOOGLETRANSLATE(A3443,""bn"",""en"")"),"The design of the toy was too complex for young children to understand")</f>
        <v>The design of the toy was too complex for young children to understand</v>
      </c>
    </row>
    <row r="3444" spans="1:3" ht="15.75" customHeight="1" x14ac:dyDescent="0.25">
      <c r="A3444" s="2" t="s">
        <v>3446</v>
      </c>
      <c r="B3444" s="3" t="s">
        <v>6</v>
      </c>
      <c r="C3444" s="2" t="str">
        <f ca="1">IFERROR(__xludf.DUMMYFUNCTION("GOOGLETRANSLATE(A3444,""bn"",""en"")"),"Paint colors were prone to cracking during drying")</f>
        <v>Paint colors were prone to cracking during drying</v>
      </c>
    </row>
    <row r="3445" spans="1:3" ht="15.75" customHeight="1" x14ac:dyDescent="0.25">
      <c r="A3445" s="2" t="s">
        <v>3447</v>
      </c>
      <c r="B3445" s="3" t="s">
        <v>6</v>
      </c>
      <c r="C3445" s="2" t="str">
        <f ca="1">IFERROR(__xludf.DUMMYFUNCTION("GOOGLETRANSLATE(A3445,""bn"",""en"")"),"The tea leaves were dusty and low grade resulting in an unrefined brew")</f>
        <v>The tea leaves were dusty and low grade resulting in an unrefined brew</v>
      </c>
    </row>
    <row r="3446" spans="1:3" ht="15.75" customHeight="1" x14ac:dyDescent="0.25">
      <c r="A3446" s="2" t="s">
        <v>3448</v>
      </c>
      <c r="B3446" s="3" t="s">
        <v>4</v>
      </c>
      <c r="C3446" s="2" t="str">
        <f ca="1">IFERROR(__xludf.DUMMYFUNCTION("GOOGLETRANSLATE(A3446,""bn"",""en"")"),"There is no roughness in the hair with the use of shampoo")</f>
        <v>There is no roughness in the hair with the use of shampoo</v>
      </c>
    </row>
    <row r="3447" spans="1:3" ht="15.75" customHeight="1" x14ac:dyDescent="0.25">
      <c r="A3447" s="2" t="s">
        <v>3449</v>
      </c>
      <c r="B3447" s="3" t="s">
        <v>4</v>
      </c>
      <c r="C3447" s="2" t="str">
        <f ca="1">IFERROR(__xludf.DUMMYFUNCTION("GOOGLETRANSLATE(A3447,""bn"",""en"")"),"This body wash will leave you feeling rejuvenated")</f>
        <v>This body wash will leave you feeling rejuvenated</v>
      </c>
    </row>
    <row r="3448" spans="1:3" ht="15.75" customHeight="1" x14ac:dyDescent="0.25">
      <c r="A3448" s="2" t="s">
        <v>3450</v>
      </c>
      <c r="B3448" s="3" t="s">
        <v>2</v>
      </c>
      <c r="C3448" s="2" t="str">
        <f ca="1">IFERROR(__xludf.DUMMYFUNCTION("GOOGLETRANSLATE(A3448,""bn"",""en"")"),"Button quality is fair")</f>
        <v>Button quality is fair</v>
      </c>
    </row>
    <row r="3449" spans="1:3" ht="15.75" customHeight="1" x14ac:dyDescent="0.25">
      <c r="A3449" s="2" t="s">
        <v>3451</v>
      </c>
      <c r="B3449" s="3" t="s">
        <v>6</v>
      </c>
      <c r="C3449" s="2" t="str">
        <f ca="1">IFERROR(__xludf.DUMMYFUNCTION("GOOGLETRANSLATE(A3449,""bn"",""en"")"),"Absolutely horrible colors look dull and all too easy")</f>
        <v>Absolutely horrible colors look dull and all too easy</v>
      </c>
    </row>
    <row r="3450" spans="1:3" ht="15.75" customHeight="1" x14ac:dyDescent="0.25">
      <c r="A3450" s="2" t="s">
        <v>3452</v>
      </c>
      <c r="B3450" s="3" t="s">
        <v>4</v>
      </c>
      <c r="C3450" s="2" t="str">
        <f ca="1">IFERROR(__xludf.DUMMYFUNCTION("GOOGLETRANSLATE(A3450,""bn"",""en"")"),"Using this body wash will leave you feeling rejuvenated")</f>
        <v>Using this body wash will leave you feeling rejuvenated</v>
      </c>
    </row>
    <row r="3451" spans="1:3" ht="15.75" customHeight="1" x14ac:dyDescent="0.25">
      <c r="A3451" s="2" t="s">
        <v>3453</v>
      </c>
      <c r="B3451" s="3" t="s">
        <v>2</v>
      </c>
      <c r="C3451" s="2" t="str">
        <f ca="1">IFERROR(__xludf.DUMMYFUNCTION("GOOGLETRANSLATE(A3451,""bn"",""en"")"),"Dust falls when shaken")</f>
        <v>Dust falls when shaken</v>
      </c>
    </row>
    <row r="3452" spans="1:3" ht="15.75" customHeight="1" x14ac:dyDescent="0.25">
      <c r="A3452" s="2" t="s">
        <v>3454</v>
      </c>
      <c r="B3452" s="3" t="s">
        <v>4</v>
      </c>
      <c r="C3452" s="2" t="str">
        <f ca="1">IFERROR(__xludf.DUMMYFUNCTION("GOOGLETRANSLATE(A3452,""bn"",""en"")"),"The screen of the new phone is big and clear")</f>
        <v>The screen of the new phone is big and clear</v>
      </c>
    </row>
    <row r="3453" spans="1:3" ht="15.75" customHeight="1" x14ac:dyDescent="0.25">
      <c r="A3453" s="2" t="s">
        <v>3455</v>
      </c>
      <c r="B3453" s="3" t="s">
        <v>4</v>
      </c>
      <c r="C3453" s="2" t="str">
        <f ca="1">IFERROR(__xludf.DUMMYFUNCTION("GOOGLETRANSLATE(A3453,""bn"",""en"")"),"Very effective and cost effective")</f>
        <v>Very effective and cost effective</v>
      </c>
    </row>
    <row r="3454" spans="1:3" ht="15.75" customHeight="1" x14ac:dyDescent="0.25">
      <c r="A3454" s="2" t="s">
        <v>3456</v>
      </c>
      <c r="B3454" s="3" t="s">
        <v>4</v>
      </c>
      <c r="C3454" s="2" t="str">
        <f ca="1">IFERROR(__xludf.DUMMYFUNCTION("GOOGLETRANSLATE(A3454,""bn"",""en"")"),"Battery backup is awesome for continuous hours of music listening")</f>
        <v>Battery backup is awesome for continuous hours of music listening</v>
      </c>
    </row>
    <row r="3455" spans="1:3" ht="15.75" customHeight="1" x14ac:dyDescent="0.25">
      <c r="A3455" s="2" t="s">
        <v>3457</v>
      </c>
      <c r="B3455" s="3" t="s">
        <v>2</v>
      </c>
      <c r="C3455" s="2" t="str">
        <f ca="1">IFERROR(__xludf.DUMMYFUNCTION("GOOGLETRANSLATE(A3455,""bn"",""en"")"),"Fairly ok but the quality is not good")</f>
        <v>Fairly ok but the quality is not good</v>
      </c>
    </row>
    <row r="3456" spans="1:3" ht="15.75" customHeight="1" x14ac:dyDescent="0.25">
      <c r="A3456" s="2" t="s">
        <v>3458</v>
      </c>
      <c r="B3456" s="3" t="s">
        <v>4</v>
      </c>
      <c r="C3456" s="2" t="str">
        <f ca="1">IFERROR(__xludf.DUMMYFUNCTION("GOOGLETRANSLATE(A3456,""bn"",""en"")"),"The surface of the bookcase is nicely finished")</f>
        <v>The surface of the bookcase is nicely finished</v>
      </c>
    </row>
    <row r="3457" spans="1:3" ht="15.75" customHeight="1" x14ac:dyDescent="0.25">
      <c r="A3457" s="2" t="s">
        <v>3459</v>
      </c>
      <c r="B3457" s="3" t="s">
        <v>6</v>
      </c>
      <c r="C3457" s="2" t="str">
        <f ca="1">IFERROR(__xludf.DUMMYFUNCTION("GOOGLETRANSLATE(A3457,""bn"",""en"")"),"The hair spray had a strong chemical smell that was overwhelming")</f>
        <v>The hair spray had a strong chemical smell that was overwhelming</v>
      </c>
    </row>
    <row r="3458" spans="1:3" ht="15.75" customHeight="1" x14ac:dyDescent="0.25">
      <c r="A3458" s="2" t="s">
        <v>3460</v>
      </c>
      <c r="B3458" s="3" t="s">
        <v>6</v>
      </c>
      <c r="C3458" s="2" t="str">
        <f ca="1">IFERROR(__xludf.DUMMYFUNCTION("GOOGLETRANSLATE(A3458,""bn"",""en"")"),"The sunscreen formula left a residue that felt greasy on the skin")</f>
        <v>The sunscreen formula left a residue that felt greasy on the skin</v>
      </c>
    </row>
    <row r="3459" spans="1:3" ht="15.75" customHeight="1" x14ac:dyDescent="0.25">
      <c r="A3459" s="2" t="s">
        <v>3461</v>
      </c>
      <c r="B3459" s="3" t="s">
        <v>2</v>
      </c>
      <c r="C3459" s="2" t="str">
        <f ca="1">IFERROR(__xludf.DUMMYFUNCTION("GOOGLETRANSLATE(A3459,""bn"",""en"")"),"May help in nail growth")</f>
        <v>May help in nail growth</v>
      </c>
    </row>
    <row r="3460" spans="1:3" ht="15.75" customHeight="1" x14ac:dyDescent="0.25">
      <c r="A3460" s="2" t="s">
        <v>3462</v>
      </c>
      <c r="B3460" s="3" t="s">
        <v>6</v>
      </c>
      <c r="C3460" s="2" t="str">
        <f ca="1">IFERROR(__xludf.DUMMYFUNCTION("GOOGLETRANSLATE(A3460,""bn"",""en"")"),"  Comes with a strange smell")</f>
        <v xml:space="preserve">  Comes with a strange smell</v>
      </c>
    </row>
    <row r="3461" spans="1:3" ht="15.75" customHeight="1" x14ac:dyDescent="0.25">
      <c r="A3461" s="2" t="s">
        <v>3463</v>
      </c>
      <c r="B3461" s="3" t="s">
        <v>6</v>
      </c>
      <c r="C3461" s="2" t="str">
        <f ca="1">IFERROR(__xludf.DUMMYFUNCTION("GOOGLETRANSLATE(A3461,""bn"",""en"")"),"Laptop bag material easily attracts lint and dust and needs frequent cleaning to maintain its appearance")</f>
        <v>Laptop bag material easily attracts lint and dust and needs frequent cleaning to maintain its appearance</v>
      </c>
    </row>
    <row r="3462" spans="1:3" ht="15.75" customHeight="1" x14ac:dyDescent="0.25">
      <c r="A3462" s="2" t="s">
        <v>3464</v>
      </c>
      <c r="B3462" s="3" t="s">
        <v>6</v>
      </c>
      <c r="C3462" s="2" t="str">
        <f ca="1">IFERROR(__xludf.DUMMYFUNCTION("GOOGLETRANSLATE(A3462,""bn"",""en"")"),"  Wheels are not durable and often get stuck preventing movement")</f>
        <v xml:space="preserve">  Wheels are not durable and often get stuck preventing movement</v>
      </c>
    </row>
    <row r="3463" spans="1:3" ht="15.75" customHeight="1" x14ac:dyDescent="0.25">
      <c r="A3463" s="2" t="s">
        <v>3465</v>
      </c>
      <c r="B3463" s="3" t="s">
        <v>6</v>
      </c>
      <c r="C3463" s="2" t="str">
        <f ca="1">IFERROR(__xludf.DUMMYFUNCTION("GOOGLETRANSLATE(A3463,""bn"",""en"")")," The door seal is worn out causing heat to escape and food to cook unevenly")</f>
        <v xml:space="preserve"> The door seal is worn out causing heat to escape and food to cook unevenly</v>
      </c>
    </row>
    <row r="3464" spans="1:3" ht="15.75" customHeight="1" x14ac:dyDescent="0.25">
      <c r="A3464" s="2" t="s">
        <v>3466</v>
      </c>
      <c r="B3464" s="3" t="s">
        <v>6</v>
      </c>
      <c r="C3464" s="2" t="str">
        <f ca="1">IFERROR(__xludf.DUMMYFUNCTION("GOOGLETRANSLATE(A3464,""bn"",""en"")"),"The bagged chips were stale and had a rancid taste indicating that they had expired")</f>
        <v>The bagged chips were stale and had a rancid taste indicating that they had expired</v>
      </c>
    </row>
    <row r="3465" spans="1:3" ht="15.75" customHeight="1" x14ac:dyDescent="0.25">
      <c r="A3465" s="2" t="s">
        <v>3467</v>
      </c>
      <c r="B3465" s="3" t="s">
        <v>6</v>
      </c>
      <c r="C3465" s="2" t="str">
        <f ca="1">IFERROR(__xludf.DUMMYFUNCTION("GOOGLETRANSLATE(A3465,""bn"",""en"")"),"Portable fan blades break easily making it unsafe to use")</f>
        <v>Portable fan blades break easily making it unsafe to use</v>
      </c>
    </row>
    <row r="3466" spans="1:3" ht="15.75" customHeight="1" x14ac:dyDescent="0.25">
      <c r="A3466" s="2" t="s">
        <v>3468</v>
      </c>
      <c r="B3466" s="3" t="s">
        <v>2</v>
      </c>
      <c r="C3466" s="2" t="str">
        <f ca="1">IFERROR(__xludf.DUMMYFUNCTION("GOOGLETRANSLATE(A3466,""bn"",""en"")"),"Babies can bite but leave teeth marks")</f>
        <v>Babies can bite but leave teeth marks</v>
      </c>
    </row>
    <row r="3467" spans="1:3" ht="15.75" customHeight="1" x14ac:dyDescent="0.25">
      <c r="A3467" s="2" t="s">
        <v>3469</v>
      </c>
      <c r="B3467" s="3" t="s">
        <v>4</v>
      </c>
      <c r="C3467" s="2" t="str">
        <f ca="1">IFERROR(__xludf.DUMMYFUNCTION("GOOGLETRANSLATE(A3467,""bn"",""en"")"),"The plastic flower is so realistic that at first I thought it was real")</f>
        <v>The plastic flower is so realistic that at first I thought it was real</v>
      </c>
    </row>
    <row r="3468" spans="1:3" ht="15.75" customHeight="1" x14ac:dyDescent="0.25">
      <c r="A3468" s="2" t="s">
        <v>3470</v>
      </c>
      <c r="B3468" s="3" t="s">
        <v>6</v>
      </c>
      <c r="C3468" s="2" t="str">
        <f ca="1">IFERROR(__xludf.DUMMYFUNCTION("GOOGLETRANSLATE(A3468,""bn"",""en"")"),"Getting a dress with a visibly dirty doll is unsanitary and unsatisfying")</f>
        <v>Getting a dress with a visibly dirty doll is unsanitary and unsatisfying</v>
      </c>
    </row>
    <row r="3469" spans="1:3" ht="15.75" customHeight="1" x14ac:dyDescent="0.25">
      <c r="A3469" s="2" t="s">
        <v>3471</v>
      </c>
      <c r="B3469" s="3" t="s">
        <v>4</v>
      </c>
      <c r="C3469" s="2" t="str">
        <f ca="1">IFERROR(__xludf.DUMMYFUNCTION("GOOGLETRANSLATE(A3469,""bn"",""en"")"),"It is completely natural and contains no artificial ingredients")</f>
        <v>It is completely natural and contains no artificial ingredients</v>
      </c>
    </row>
    <row r="3470" spans="1:3" ht="15.75" customHeight="1" x14ac:dyDescent="0.25">
      <c r="A3470" s="2" t="s">
        <v>3472</v>
      </c>
      <c r="B3470" s="3" t="s">
        <v>4</v>
      </c>
      <c r="C3470" s="2" t="str">
        <f ca="1">IFERROR(__xludf.DUMMYFUNCTION("GOOGLETRANSLATE(A3470,""bn"",""en"")")," The list given is very good")</f>
        <v xml:space="preserve"> The list given is very good</v>
      </c>
    </row>
    <row r="3471" spans="1:3" ht="15.75" customHeight="1" x14ac:dyDescent="0.25">
      <c r="A3471" s="2" t="s">
        <v>3473</v>
      </c>
      <c r="B3471" s="3" t="s">
        <v>4</v>
      </c>
      <c r="C3471" s="2" t="str">
        <f ca="1">IFERROR(__xludf.DUMMYFUNCTION("GOOGLETRANSLATE(A3471,""bn"",""en"")"),"It controls the depth of makeup")</f>
        <v>It controls the depth of makeup</v>
      </c>
    </row>
    <row r="3472" spans="1:3" ht="15.75" customHeight="1" x14ac:dyDescent="0.25">
      <c r="A3472" s="2" t="s">
        <v>3474</v>
      </c>
      <c r="B3472" s="3" t="s">
        <v>6</v>
      </c>
      <c r="C3472" s="2" t="str">
        <f ca="1">IFERROR(__xludf.DUMMYFUNCTION("GOOGLETRANSLATE(A3472,""bn"",""en"")"),"The scent of the bath oil was too strong and artificial")</f>
        <v>The scent of the bath oil was too strong and artificial</v>
      </c>
    </row>
    <row r="3473" spans="1:3" ht="15.75" customHeight="1" x14ac:dyDescent="0.25">
      <c r="A3473" s="2" t="s">
        <v>3475</v>
      </c>
      <c r="B3473" s="3" t="s">
        <v>2</v>
      </c>
      <c r="C3473" s="2" t="str">
        <f ca="1">IFERROR(__xludf.DUMMYFUNCTION("GOOGLETRANSLATE(A3473,""bn"",""en"")"),"Moderate moisture tolerance")</f>
        <v>Moderate moisture tolerance</v>
      </c>
    </row>
    <row r="3474" spans="1:3" ht="15.75" customHeight="1" x14ac:dyDescent="0.25">
      <c r="A3474" s="2" t="s">
        <v>3476</v>
      </c>
      <c r="B3474" s="3" t="s">
        <v>6</v>
      </c>
      <c r="C3474" s="2" t="str">
        <f ca="1">IFERROR(__xludf.DUMMYFUNCTION("GOOGLETRANSLATE(A3474,""bn"",""en"")"),"The pot handle was poorly attached feeling loose")</f>
        <v>The pot handle was poorly attached feeling loose</v>
      </c>
    </row>
    <row r="3475" spans="1:3" ht="15.75" customHeight="1" x14ac:dyDescent="0.25">
      <c r="A3475" s="2" t="s">
        <v>3477</v>
      </c>
      <c r="B3475" s="3" t="s">
        <v>2</v>
      </c>
      <c r="C3475" s="2" t="str">
        <f ca="1">IFERROR(__xludf.DUMMYFUNCTION("GOOGLETRANSLATE(A3475,""bn"",""en"")"),"The yogurt is darker but I didn't find much difference in taste")</f>
        <v>The yogurt is darker but I didn't find much difference in taste</v>
      </c>
    </row>
    <row r="3476" spans="1:3" ht="15.75" customHeight="1" x14ac:dyDescent="0.25">
      <c r="A3476" s="2" t="s">
        <v>3478</v>
      </c>
      <c r="B3476" s="3" t="s">
        <v>6</v>
      </c>
      <c r="C3476" s="2" t="str">
        <f ca="1">IFERROR(__xludf.DUMMYFUNCTION("GOOGLETRANSLATE(A3476,""bn"",""en"")"),"No programmable timer")</f>
        <v>No programmable timer</v>
      </c>
    </row>
    <row r="3477" spans="1:3" ht="15.75" customHeight="1" x14ac:dyDescent="0.25">
      <c r="A3477" s="2" t="s">
        <v>3479</v>
      </c>
      <c r="B3477" s="3" t="s">
        <v>2</v>
      </c>
      <c r="C3477" s="2" t="str">
        <f ca="1">IFERROR(__xludf.DUMMYFUNCTION("GOOGLETRANSLATE(A3477,""bn"",""en"")"),"Leak proof but needs to be tested over time")</f>
        <v>Leak proof but needs to be tested over time</v>
      </c>
    </row>
    <row r="3478" spans="1:3" ht="15.75" customHeight="1" x14ac:dyDescent="0.25">
      <c r="A3478" s="2" t="s">
        <v>3480</v>
      </c>
      <c r="B3478" s="3" t="s">
        <v>6</v>
      </c>
      <c r="C3478" s="2" t="str">
        <f ca="1">IFERROR(__xludf.DUMMYFUNCTION("GOOGLETRANSLATE(A3478,""bn"",""en"")"),"Paint tubes were poorly labeled causing confusion")</f>
        <v>Paint tubes were poorly labeled causing confusion</v>
      </c>
    </row>
    <row r="3479" spans="1:3" ht="15.75" customHeight="1" x14ac:dyDescent="0.25">
      <c r="A3479" s="2" t="s">
        <v>3481</v>
      </c>
      <c r="B3479" s="3" t="s">
        <v>6</v>
      </c>
      <c r="C3479" s="2" t="str">
        <f ca="1">IFERROR(__xludf.DUMMYFUNCTION("GOOGLETRANSLATE(A3479,""bn"",""en"")"),"The fabric is not as soft or colorful as described")</f>
        <v>The fabric is not as soft or colorful as described</v>
      </c>
    </row>
    <row r="3480" spans="1:3" ht="15.75" customHeight="1" x14ac:dyDescent="0.25">
      <c r="A3480" s="2" t="s">
        <v>3482</v>
      </c>
      <c r="B3480" s="3" t="s">
        <v>4</v>
      </c>
      <c r="C3480" s="2" t="str">
        <f ca="1">IFERROR(__xludf.DUMMYFUNCTION("GOOGLETRANSLATE(A3480,""bn"",""en"")"),"The sound quality is incredible")</f>
        <v>The sound quality is incredible</v>
      </c>
    </row>
    <row r="3481" spans="1:3" ht="15.75" customHeight="1" x14ac:dyDescent="0.25">
      <c r="A3481" s="2" t="s">
        <v>3483</v>
      </c>
      <c r="B3481" s="3" t="s">
        <v>4</v>
      </c>
      <c r="C3481" s="2" t="str">
        <f ca="1">IFERROR(__xludf.DUMMYFUNCTION("GOOGLETRANSLATE(A3481,""bn"",""en"")"),"It remains effective for a long time")</f>
        <v>It remains effective for a long time</v>
      </c>
    </row>
    <row r="3482" spans="1:3" ht="15.75" customHeight="1" x14ac:dyDescent="0.25">
      <c r="A3482" s="2" t="s">
        <v>3484</v>
      </c>
      <c r="B3482" s="3" t="s">
        <v>2</v>
      </c>
      <c r="C3482" s="2" t="str">
        <f ca="1">IFERROR(__xludf.DUMMYFUNCTION("GOOGLETRANSLATE(A3482,""bn"",""en"")"),"Acceptable for the price but not guaranteed for long term use")</f>
        <v>Acceptable for the price but not guaranteed for long term use</v>
      </c>
    </row>
    <row r="3483" spans="1:3" ht="15.75" customHeight="1" x14ac:dyDescent="0.25">
      <c r="A3483" s="2" t="s">
        <v>3485</v>
      </c>
      <c r="B3483" s="3" t="s">
        <v>6</v>
      </c>
      <c r="C3483" s="2" t="str">
        <f ca="1">IFERROR(__xludf.DUMMYFUNCTION("GOOGLETRANSLATE(A3483,""bn"",""en"")"),"The bottled salad dressing was overly acidic and had a strange artificial flavor")</f>
        <v>The bottled salad dressing was overly acidic and had a strange artificial flavor</v>
      </c>
    </row>
    <row r="3484" spans="1:3" ht="15.75" customHeight="1" x14ac:dyDescent="0.25">
      <c r="A3484" s="2" t="s">
        <v>3486</v>
      </c>
      <c r="B3484" s="3" t="s">
        <v>6</v>
      </c>
      <c r="C3484" s="2" t="str">
        <f ca="1">IFERROR(__xludf.DUMMYFUNCTION("GOOGLETRANSLATE(A3484,""bn"",""en"")"),"The design lacks innovation and creativity and is generic and inspired")</f>
        <v>The design lacks innovation and creativity and is generic and inspired</v>
      </c>
    </row>
    <row r="3485" spans="1:3" ht="15.75" customHeight="1" x14ac:dyDescent="0.25">
      <c r="A3485" s="2" t="s">
        <v>3487</v>
      </c>
      <c r="B3485" s="3" t="s">
        <v>4</v>
      </c>
      <c r="C3485" s="2" t="str">
        <f ca="1">IFERROR(__xludf.DUMMYFUNCTION("GOOGLETRANSLATE(A3485,""bn"",""en"")"),"The quality of the coffee looks like it is handcrafted")</f>
        <v>The quality of the coffee looks like it is handcrafted</v>
      </c>
    </row>
    <row r="3486" spans="1:3" ht="15.75" customHeight="1" x14ac:dyDescent="0.25">
      <c r="A3486" s="2" t="s">
        <v>3488</v>
      </c>
      <c r="B3486" s="3" t="s">
        <v>2</v>
      </c>
      <c r="C3486" s="2" t="str">
        <f ca="1">IFERROR(__xludf.DUMMYFUNCTION("GOOGLETRANSLATE(A3486,""bn"",""en"")"),"The drink is slightly acidic but sweet")</f>
        <v>The drink is slightly acidic but sweet</v>
      </c>
    </row>
    <row r="3487" spans="1:3" ht="15.75" customHeight="1" x14ac:dyDescent="0.25">
      <c r="A3487" s="2" t="s">
        <v>3489</v>
      </c>
      <c r="B3487" s="3" t="s">
        <v>6</v>
      </c>
      <c r="C3487" s="2" t="str">
        <f ca="1">IFERROR(__xludf.DUMMYFUNCTION("GOOGLETRANSLATE(A3487,""bn"",""en"")"),"A poorly designed latch mechanism fails to secure the lid")</f>
        <v>A poorly designed latch mechanism fails to secure the lid</v>
      </c>
    </row>
    <row r="3488" spans="1:3" ht="15.75" customHeight="1" x14ac:dyDescent="0.25">
      <c r="A3488" s="2" t="s">
        <v>3490</v>
      </c>
      <c r="B3488" s="3" t="s">
        <v>6</v>
      </c>
      <c r="C3488" s="2" t="str">
        <f ca="1">IFERROR(__xludf.DUMMYFUNCTION("GOOGLETRANSLATE(A3488,""bn"",""en"")"),"The tea leaves were rolled too tightly preventing proper steeping")</f>
        <v>The tea leaves were rolled too tightly preventing proper steeping</v>
      </c>
    </row>
    <row r="3489" spans="1:3" ht="15.75" customHeight="1" x14ac:dyDescent="0.25">
      <c r="A3489" s="2" t="s">
        <v>3491</v>
      </c>
      <c r="B3489" s="3" t="s">
        <v>2</v>
      </c>
      <c r="C3489" s="2" t="str">
        <f ca="1">IFERROR(__xludf.DUMMYFUNCTION("GOOGLETRANSLATE(A3489,""bn"",""en"")"),"The item looks normal")</f>
        <v>The item looks normal</v>
      </c>
    </row>
    <row r="3490" spans="1:3" ht="15.75" customHeight="1" x14ac:dyDescent="0.25">
      <c r="A3490" s="2" t="s">
        <v>3492</v>
      </c>
      <c r="B3490" s="3" t="s">
        <v>2</v>
      </c>
      <c r="C3490" s="2" t="str">
        <f ca="1">IFERROR(__xludf.DUMMYFUNCTION("GOOGLETRANSLATE(A3490,""bn"",""en"")"),"A few pieces are missing compared to the price")</f>
        <v>A few pieces are missing compared to the price</v>
      </c>
    </row>
    <row r="3491" spans="1:3" ht="15.75" customHeight="1" x14ac:dyDescent="0.25">
      <c r="A3491" s="2" t="s">
        <v>3493</v>
      </c>
      <c r="B3491" s="3" t="s">
        <v>6</v>
      </c>
      <c r="C3491" s="2" t="str">
        <f ca="1">IFERROR(__xludf.DUMMYFUNCTION("GOOGLETRANSLATE(A3491,""bn"",""en"")"),"The smart thermostat's touchscreen is unresponsive and requires multiple attempts to touch")</f>
        <v>The smart thermostat's touchscreen is unresponsive and requires multiple attempts to touch</v>
      </c>
    </row>
    <row r="3492" spans="1:3" ht="15.75" customHeight="1" x14ac:dyDescent="0.25">
      <c r="A3492" s="2" t="s">
        <v>3494</v>
      </c>
      <c r="B3492" s="3" t="s">
        <v>4</v>
      </c>
      <c r="C3492" s="2" t="str">
        <f ca="1">IFERROR(__xludf.DUMMYFUNCTION("GOOGLETRANSLATE(A3492,""bn"",""en"")"),"This hair dryer works very fast")</f>
        <v>This hair dryer works very fast</v>
      </c>
    </row>
    <row r="3493" spans="1:3" ht="15.75" customHeight="1" x14ac:dyDescent="0.25">
      <c r="A3493" s="2" t="s">
        <v>3495</v>
      </c>
      <c r="B3493" s="3" t="s">
        <v>2</v>
      </c>
      <c r="C3493" s="2" t="str">
        <f ca="1">IFERROR(__xludf.DUMMYFUNCTION("GOOGLETRANSLATE(A3493,""bn"",""en"")"),"All the things in the small container but some pieces are missing")</f>
        <v>All the things in the small container but some pieces are missing</v>
      </c>
    </row>
    <row r="3494" spans="1:3" ht="15.75" customHeight="1" x14ac:dyDescent="0.25">
      <c r="A3494" s="2" t="s">
        <v>3496</v>
      </c>
      <c r="B3494" s="3" t="s">
        <v>4</v>
      </c>
      <c r="C3494" s="2" t="str">
        <f ca="1">IFERROR(__xludf.DUMMYFUNCTION("GOOGLETRANSLATE(A3494,""bn"",""en"")"),"It completely transforms my eye makeup")</f>
        <v>It completely transforms my eye makeup</v>
      </c>
    </row>
    <row r="3495" spans="1:3" ht="15.75" customHeight="1" x14ac:dyDescent="0.25">
      <c r="A3495" s="2" t="s">
        <v>3497</v>
      </c>
      <c r="B3495" s="3" t="s">
        <v>6</v>
      </c>
      <c r="C3495" s="2" t="str">
        <f ca="1">IFERROR(__xludf.DUMMYFUNCTION("GOOGLETRANSLATE(A3495,""bn"",""en"")"),"The clothing had a strange chemical smell that persisted for several days after airing it")</f>
        <v>The clothing had a strange chemical smell that persisted for several days after airing it</v>
      </c>
    </row>
    <row r="3496" spans="1:3" ht="15.75" customHeight="1" x14ac:dyDescent="0.25">
      <c r="A3496" s="2" t="s">
        <v>3498</v>
      </c>
      <c r="B3496" s="3" t="s">
        <v>4</v>
      </c>
      <c r="C3496" s="2" t="str">
        <f ca="1">IFERROR(__xludf.DUMMYFUNCTION("GOOGLETRANSLATE(A3496,""bn"",""en"")"),"It is effective in reducing sore throat")</f>
        <v>It is effective in reducing sore throat</v>
      </c>
    </row>
    <row r="3497" spans="1:3" ht="15.75" customHeight="1" x14ac:dyDescent="0.25">
      <c r="A3497" s="2" t="s">
        <v>3499</v>
      </c>
      <c r="B3497" s="3" t="s">
        <v>2</v>
      </c>
      <c r="C3497" s="2" t="str">
        <f ca="1">IFERROR(__xludf.DUMMYFUNCTION("GOOGLETRANSLATE(A3497,""bn"",""en"")"),"Size is nothing special")</f>
        <v>Size is nothing special</v>
      </c>
    </row>
    <row r="3498" spans="1:3" ht="15.75" customHeight="1" x14ac:dyDescent="0.25">
      <c r="A3498" s="2" t="s">
        <v>3500</v>
      </c>
      <c r="B3498" s="3" t="s">
        <v>6</v>
      </c>
      <c r="C3498" s="2" t="str">
        <f ca="1">IFERROR(__xludf.DUMMYFUNCTION("GOOGLETRANSLATE(A3498,""bn"",""en"")")," The chassis easily attracts fingerprints and smudges that require frequent cleaning")</f>
        <v xml:space="preserve"> The chassis easily attracts fingerprints and smudges that require frequent cleaning</v>
      </c>
    </row>
    <row r="3499" spans="1:3" ht="15.75" customHeight="1" x14ac:dyDescent="0.25">
      <c r="A3499" s="2" t="s">
        <v>3501</v>
      </c>
      <c r="B3499" s="3" t="s">
        <v>6</v>
      </c>
      <c r="C3499" s="2" t="str">
        <f ca="1">IFERROR(__xludf.DUMMYFUNCTION("GOOGLETRANSLATE(A3499,""bn"",""en"")"),"Oven timer cannot indicate cooking time without beeping")</f>
        <v>Oven timer cannot indicate cooking time without beeping</v>
      </c>
    </row>
    <row r="3500" spans="1:3" ht="15.75" customHeight="1" x14ac:dyDescent="0.25">
      <c r="A3500" s="2" t="s">
        <v>3502</v>
      </c>
      <c r="B3500" s="3" t="s">
        <v>4</v>
      </c>
      <c r="C3500" s="2" t="str">
        <f ca="1">IFERROR(__xludf.DUMMYFUNCTION("GOOGLETRANSLATE(A3500,""bn"",""en"")"),"This kettle heats water quickly")</f>
        <v>This kettle heats water quickly</v>
      </c>
    </row>
    <row r="3501" spans="1:3" ht="15.75" customHeight="1" x14ac:dyDescent="0.25">
      <c r="A3501" s="2" t="s">
        <v>3503</v>
      </c>
      <c r="B3501" s="3" t="s">
        <v>2</v>
      </c>
      <c r="C3501" s="2" t="str">
        <f ca="1">IFERROR(__xludf.DUMMYFUNCTION("GOOGLETRANSLATE(A3501,""bn"",""en"")"),"Pressing with fingers makes a sound but doesn't always work")</f>
        <v>Pressing with fingers makes a sound but doesn't always work</v>
      </c>
    </row>
    <row r="3502" spans="1:3" ht="15.75" customHeight="1" x14ac:dyDescent="0.25">
      <c r="A3502" s="2" t="s">
        <v>3504</v>
      </c>
      <c r="B3502" s="3" t="s">
        <v>6</v>
      </c>
      <c r="C3502" s="2" t="str">
        <f ca="1">IFERROR(__xludf.DUMMYFUNCTION("GOOGLETRANSLATE(A3502,""bn"",""en"")"),"Defective hair spray nozzle sprays the product unevenly and spoils it")</f>
        <v>Defective hair spray nozzle sprays the product unevenly and spoils it</v>
      </c>
    </row>
    <row r="3503" spans="1:3" ht="15.75" customHeight="1" x14ac:dyDescent="0.25">
      <c r="A3503" s="2" t="s">
        <v>3505</v>
      </c>
      <c r="B3503" s="3" t="s">
        <v>2</v>
      </c>
      <c r="C3503" s="2" t="str">
        <f ca="1">IFERROR(__xludf.DUMMYFUNCTION("GOOGLETRANSLATE(A3503,""bn"",""en"")"),"It's a space saver but not the best")</f>
        <v>It's a space saver but not the best</v>
      </c>
    </row>
    <row r="3504" spans="1:3" ht="15.75" customHeight="1" x14ac:dyDescent="0.25">
      <c r="A3504" s="2" t="s">
        <v>3506</v>
      </c>
      <c r="B3504" s="3" t="s">
        <v>4</v>
      </c>
      <c r="C3504" s="2" t="str">
        <f ca="1">IFERROR(__xludf.DUMMYFUNCTION("GOOGLETRANSLATE(A3504,""bn"",""en"")"),"Very nice to hear")</f>
        <v>Very nice to hear</v>
      </c>
    </row>
    <row r="3505" spans="1:3" ht="15.75" customHeight="1" x14ac:dyDescent="0.25">
      <c r="A3505" s="2" t="s">
        <v>3507</v>
      </c>
      <c r="B3505" s="3" t="s">
        <v>2</v>
      </c>
      <c r="C3505" s="2" t="str">
        <f ca="1">IFERROR(__xludf.DUMMYFUNCTION("GOOGLETRANSLATE(A3505,""bn"",""en"")"),"Sports trousers are comfortable but have no pockets")</f>
        <v>Sports trousers are comfortable but have no pockets</v>
      </c>
    </row>
    <row r="3506" spans="1:3" ht="15.75" customHeight="1" x14ac:dyDescent="0.25">
      <c r="A3506" s="2" t="s">
        <v>3508</v>
      </c>
      <c r="B3506" s="3" t="s">
        <v>2</v>
      </c>
      <c r="C3506" s="2" t="str">
        <f ca="1">IFERROR(__xludf.DUMMYFUNCTION("GOOGLETRANSLATE(A3506,""bn"",""en"")"),"The quality is average")</f>
        <v>The quality is average</v>
      </c>
    </row>
    <row r="3507" spans="1:3" ht="15.75" customHeight="1" x14ac:dyDescent="0.25">
      <c r="A3507" s="2" t="s">
        <v>3509</v>
      </c>
      <c r="B3507" s="3" t="s">
        <v>4</v>
      </c>
      <c r="C3507" s="2" t="str">
        <f ca="1">IFERROR(__xludf.DUMMYFUNCTION("GOOGLETRANSLATE(A3507,""bn"",""en"")"),"The oven functions are easy to use")</f>
        <v>The oven functions are easy to use</v>
      </c>
    </row>
    <row r="3508" spans="1:3" ht="15.75" customHeight="1" x14ac:dyDescent="0.25">
      <c r="A3508" s="2" t="s">
        <v>3510</v>
      </c>
      <c r="B3508" s="3" t="s">
        <v>6</v>
      </c>
      <c r="C3508" s="2" t="str">
        <f ca="1">IFERROR(__xludf.DUMMYFUNCTION("GOOGLETRANSLATE(A3508,""bn"",""en"")")," Cooking instructions are vague and difficult to follow which leads to trial and error")</f>
        <v xml:space="preserve"> Cooking instructions are vague and difficult to follow which leads to trial and error</v>
      </c>
    </row>
    <row r="3509" spans="1:3" ht="15.75" customHeight="1" x14ac:dyDescent="0.25">
      <c r="A3509" s="2" t="s">
        <v>3511</v>
      </c>
      <c r="B3509" s="3" t="s">
        <v>6</v>
      </c>
      <c r="C3509" s="2" t="str">
        <f ca="1">IFERROR(__xludf.DUMMYFUNCTION("GOOGLETRANSLATE(A3509,""bn"",""en"")"),"The container easily tips over due to the unstable base")</f>
        <v>The container easily tips over due to the unstable base</v>
      </c>
    </row>
    <row r="3510" spans="1:3" ht="15.75" customHeight="1" x14ac:dyDescent="0.25">
      <c r="A3510" s="2" t="s">
        <v>3512</v>
      </c>
      <c r="B3510" s="3" t="s">
        <v>2</v>
      </c>
      <c r="C3510" s="2" t="str">
        <f ca="1">IFERROR(__xludf.DUMMYFUNCTION("GOOGLETRANSLATE(A3510,""bn"",""en"")"),"The wireless backup camera looks at the rear of the car, but installation is complicated")</f>
        <v>The wireless backup camera looks at the rear of the car, but installation is complicated</v>
      </c>
    </row>
    <row r="3511" spans="1:3" ht="15.75" customHeight="1" x14ac:dyDescent="0.25">
      <c r="A3511" s="2" t="s">
        <v>3513</v>
      </c>
      <c r="B3511" s="3" t="s">
        <v>4</v>
      </c>
      <c r="C3511" s="2" t="str">
        <f ca="1">IFERROR(__xludf.DUMMYFUNCTION("GOOGLETRANSLATE(A3511,""bn"",""en"")"),"The laptop keyboard is very comfortable for typing")</f>
        <v>The laptop keyboard is very comfortable for typing</v>
      </c>
    </row>
    <row r="3512" spans="1:3" ht="15.75" customHeight="1" x14ac:dyDescent="0.25">
      <c r="A3512" s="2" t="s">
        <v>3514</v>
      </c>
      <c r="B3512" s="3" t="s">
        <v>4</v>
      </c>
      <c r="C3512" s="2" t="str">
        <f ca="1">IFERROR(__xludf.DUMMYFUNCTION("GOOGLETRANSLATE(A3512,""bn"",""en"")"),"Installing this software is very easy and fast")</f>
        <v>Installing this software is very easy and fast</v>
      </c>
    </row>
    <row r="3513" spans="1:3" ht="15.75" customHeight="1" x14ac:dyDescent="0.25">
      <c r="A3513" s="2" t="s">
        <v>3515</v>
      </c>
      <c r="B3513" s="3" t="s">
        <v>4</v>
      </c>
      <c r="C3513" s="2" t="str">
        <f ca="1">IFERROR(__xludf.DUMMYFUNCTION("GOOGLETRANSLATE(A3513,""bn"",""en"")"),"I love to eat it every afternoon")</f>
        <v>I love to eat it every afternoon</v>
      </c>
    </row>
    <row r="3514" spans="1:3" ht="15.75" customHeight="1" x14ac:dyDescent="0.25">
      <c r="A3514" s="2" t="s">
        <v>3516</v>
      </c>
      <c r="B3514" s="3" t="s">
        <v>6</v>
      </c>
      <c r="C3514" s="2" t="str">
        <f ca="1">IFERROR(__xludf.DUMMYFUNCTION("GOOGLETRANSLATE(A3514,""bn"",""en"")"),"  An unflattering silhouette that emphasized all the wrong areas")</f>
        <v xml:space="preserve">  An unflattering silhouette that emphasized all the wrong areas</v>
      </c>
    </row>
    <row r="3515" spans="1:3" ht="15.75" customHeight="1" x14ac:dyDescent="0.25">
      <c r="A3515" s="2" t="s">
        <v>3517</v>
      </c>
      <c r="B3515" s="3" t="s">
        <v>6</v>
      </c>
      <c r="C3515" s="2" t="str">
        <f ca="1">IFERROR(__xludf.DUMMYFUNCTION("GOOGLETRANSLATE(A3515,""bn"",""en"")")," The LED indicator is too bright causing discomfort especially in a dark room")</f>
        <v xml:space="preserve"> The LED indicator is too bright causing discomfort especially in a dark room</v>
      </c>
    </row>
    <row r="3516" spans="1:3" ht="15.75" customHeight="1" x14ac:dyDescent="0.25">
      <c r="A3516" s="2" t="s">
        <v>3518</v>
      </c>
      <c r="B3516" s="3" t="s">
        <v>4</v>
      </c>
      <c r="C3516" s="2" t="str">
        <f ca="1">IFERROR(__xludf.DUMMYFUNCTION("GOOGLETRANSLATE(A3516,""bn"",""en"")"),"Very easy storage")</f>
        <v>Very easy storage</v>
      </c>
    </row>
    <row r="3517" spans="1:3" ht="15.75" customHeight="1" x14ac:dyDescent="0.25">
      <c r="A3517" s="2" t="s">
        <v>3519</v>
      </c>
      <c r="B3517" s="3" t="s">
        <v>2</v>
      </c>
      <c r="C3517" s="2" t="str">
        <f ca="1">IFERROR(__xludf.DUMMYFUNCTION("GOOGLETRANSLATE(A3517,""bn"",""en"")"),"JBL Vibe Buds have Bluetooth but not always")</f>
        <v>JBL Vibe Buds have Bluetooth but not always</v>
      </c>
    </row>
    <row r="3518" spans="1:3" ht="15.75" customHeight="1" x14ac:dyDescent="0.25">
      <c r="A3518" s="2" t="s">
        <v>3520</v>
      </c>
      <c r="B3518" s="3" t="s">
        <v>4</v>
      </c>
      <c r="C3518" s="2" t="str">
        <f ca="1">IFERROR(__xludf.DUMMYFUNCTION("GOOGLETRANSLATE(A3518,""bn"",""en"")"),"Excellent camera system for the money")</f>
        <v>Excellent camera system for the money</v>
      </c>
    </row>
    <row r="3519" spans="1:3" ht="15.75" customHeight="1" x14ac:dyDescent="0.25">
      <c r="A3519" s="2" t="s">
        <v>3521</v>
      </c>
      <c r="B3519" s="3" t="s">
        <v>2</v>
      </c>
      <c r="C3519" s="2" t="str">
        <f ca="1">IFERROR(__xludf.DUMMYFUNCTION("GOOGLETRANSLATE(A3519,""bn"",""en"")"),"Not sure if it will survive in water")</f>
        <v>Not sure if it will survive in water</v>
      </c>
    </row>
    <row r="3520" spans="1:3" ht="15.75" customHeight="1" x14ac:dyDescent="0.25">
      <c r="A3520" s="2" t="s">
        <v>3522</v>
      </c>
      <c r="B3520" s="3" t="s">
        <v>2</v>
      </c>
      <c r="C3520" s="2" t="str">
        <f ca="1">IFERROR(__xludf.DUMMYFUNCTION("GOOGLETRANSLATE(A3520,""bn"",""en"")"),"Very good but the price seems a bit high")</f>
        <v>Very good but the price seems a bit high</v>
      </c>
    </row>
    <row r="3521" spans="1:3" ht="15.75" customHeight="1" x14ac:dyDescent="0.25">
      <c r="A3521" s="2" t="s">
        <v>3523</v>
      </c>
      <c r="B3521" s="3" t="s">
        <v>4</v>
      </c>
      <c r="C3521" s="2" t="str">
        <f ca="1">IFERROR(__xludf.DUMMYFUNCTION("GOOGLETRANSLATE(A3521,""bn"",""en"")"),"Being made of plastic, the shelf is not damaged by water")</f>
        <v>Being made of plastic, the shelf is not damaged by water</v>
      </c>
    </row>
    <row r="3522" spans="1:3" ht="15.75" customHeight="1" x14ac:dyDescent="0.25">
      <c r="A3522" s="2" t="s">
        <v>3524</v>
      </c>
      <c r="B3522" s="3" t="s">
        <v>2</v>
      </c>
      <c r="C3522" s="2" t="str">
        <f ca="1">IFERROR(__xludf.DUMMYFUNCTION("GOOGLETRANSLATE(A3522,""bn"",""en"")"),"Soft but not too soft")</f>
        <v>Soft but not too soft</v>
      </c>
    </row>
    <row r="3523" spans="1:3" ht="15.75" customHeight="1" x14ac:dyDescent="0.25">
      <c r="A3523" s="2" t="s">
        <v>3525</v>
      </c>
      <c r="B3523" s="3" t="s">
        <v>4</v>
      </c>
      <c r="C3523" s="2" t="str">
        <f ca="1">IFERROR(__xludf.DUMMYFUNCTION("GOOGLETRANSLATE(A3523,""bn"",""en"")"),"In night mode this AC runs so quietly that I can sleep comfortably")</f>
        <v>In night mode this AC runs so quietly that I can sleep comfortably</v>
      </c>
    </row>
    <row r="3524" spans="1:3" ht="15.75" customHeight="1" x14ac:dyDescent="0.25">
      <c r="A3524" s="2" t="s">
        <v>3526</v>
      </c>
      <c r="B3524" s="3" t="s">
        <v>2</v>
      </c>
      <c r="C3524" s="2" t="str">
        <f ca="1">IFERROR(__xludf.DUMMYFUNCTION("GOOGLETRANSLATE(A3524,""bn"",""en"")"),"Brushes are used for acrylic painting")</f>
        <v>Brushes are used for acrylic painting</v>
      </c>
    </row>
    <row r="3525" spans="1:3" ht="15.75" customHeight="1" x14ac:dyDescent="0.25">
      <c r="A3525" s="2" t="s">
        <v>3527</v>
      </c>
      <c r="B3525" s="3" t="s">
        <v>2</v>
      </c>
      <c r="C3525" s="2" t="str">
        <f ca="1">IFERROR(__xludf.DUMMYFUNCTION("GOOGLETRANSLATE(A3525,""bn"",""en"")"),"The phone feels a bit heavy")</f>
        <v>The phone feels a bit heavy</v>
      </c>
    </row>
    <row r="3526" spans="1:3" ht="15.75" customHeight="1" x14ac:dyDescent="0.25">
      <c r="A3526" s="2" t="s">
        <v>3528</v>
      </c>
      <c r="B3526" s="3" t="s">
        <v>6</v>
      </c>
      <c r="C3526" s="2" t="str">
        <f ca="1">IFERROR(__xludf.DUMMYFUNCTION("GOOGLETRANSLATE(A3526,""bn"",""en"")"),"The casing of the power bank heats up during charging potentially reducing its lifespan")</f>
        <v>The casing of the power bank heats up during charging potentially reducing its lifespan</v>
      </c>
    </row>
    <row r="3527" spans="1:3" ht="15.75" customHeight="1" x14ac:dyDescent="0.25">
      <c r="A3527" s="2" t="s">
        <v>3529</v>
      </c>
      <c r="B3527" s="3" t="s">
        <v>4</v>
      </c>
      <c r="C3527" s="2" t="str">
        <f ca="1">IFERROR(__xludf.DUMMYFUNCTION("GOOGLETRANSLATE(A3527,""bn"",""en"")"),"The ergonomic design of the chairs is ideal for long periods of sitting")</f>
        <v>The ergonomic design of the chairs is ideal for long periods of sitting</v>
      </c>
    </row>
    <row r="3528" spans="1:3" ht="15.75" customHeight="1" x14ac:dyDescent="0.25">
      <c r="A3528" s="2" t="s">
        <v>3530</v>
      </c>
      <c r="B3528" s="3" t="s">
        <v>2</v>
      </c>
      <c r="C3528" s="2" t="str">
        <f ca="1">IFERROR(__xludf.DUMMYFUNCTION("GOOGLETRANSLATE(A3528,""bn"",""en"")"),"Performance is average")</f>
        <v>Performance is average</v>
      </c>
    </row>
    <row r="3529" spans="1:3" ht="15.75" customHeight="1" x14ac:dyDescent="0.25">
      <c r="A3529" s="2" t="s">
        <v>3531</v>
      </c>
      <c r="B3529" s="3" t="s">
        <v>4</v>
      </c>
      <c r="C3529" s="2" t="str">
        <f ca="1">IFERROR(__xludf.DUMMYFUNCTION("GOOGLETRANSLATE(A3529,""bn"",""en"")"),"The plastic flower never dies, always alive")</f>
        <v>The plastic flower never dies, always alive</v>
      </c>
    </row>
    <row r="3530" spans="1:3" ht="15.75" customHeight="1" x14ac:dyDescent="0.25">
      <c r="A3530" s="2" t="s">
        <v>3532</v>
      </c>
      <c r="B3530" s="3" t="s">
        <v>2</v>
      </c>
      <c r="C3530" s="2" t="str">
        <f ca="1">IFERROR(__xludf.DUMMYFUNCTION("GOOGLETRANSLATE(A3530,""bn"",""en"")"),"Color stays consistent for an extended period of time")</f>
        <v>Color stays consistent for an extended period of time</v>
      </c>
    </row>
    <row r="3531" spans="1:3" ht="15.75" customHeight="1" x14ac:dyDescent="0.25">
      <c r="A3531" s="2" t="s">
        <v>3533</v>
      </c>
      <c r="B3531" s="3" t="s">
        <v>6</v>
      </c>
      <c r="C3531" s="2" t="str">
        <f ca="1">IFERROR(__xludf.DUMMYFUNCTION("GOOGLETRANSLATE(A3531,""bn"",""en"")"),"The blush is patchy and difficult to blend")</f>
        <v>The blush is patchy and difficult to blend</v>
      </c>
    </row>
    <row r="3532" spans="1:3" ht="15.75" customHeight="1" x14ac:dyDescent="0.25">
      <c r="A3532" s="2" t="s">
        <v>3534</v>
      </c>
      <c r="B3532" s="3" t="s">
        <v>4</v>
      </c>
      <c r="C3532" s="2" t="str">
        <f ca="1">IFERROR(__xludf.DUMMYFUNCTION("GOOGLETRANSLATE(A3532,""bn"",""en"")"),"Since using this plastic bookshelf, the organization of the room is much better")</f>
        <v>Since using this plastic bookshelf, the organization of the room is much better</v>
      </c>
    </row>
    <row r="3533" spans="1:3" ht="15.75" customHeight="1" x14ac:dyDescent="0.25">
      <c r="A3533" s="2" t="s">
        <v>3535</v>
      </c>
      <c r="B3533" s="3" t="s">
        <v>4</v>
      </c>
      <c r="C3533" s="2" t="str">
        <f ca="1">IFERROR(__xludf.DUMMYFUNCTION("GOOGLETRANSLATE(A3533,""bn"",""en"")"),"The weight and softness of the blanket provides comfort in winter")</f>
        <v>The weight and softness of the blanket provides comfort in winter</v>
      </c>
    </row>
    <row r="3534" spans="1:3" ht="15.75" customHeight="1" x14ac:dyDescent="0.25">
      <c r="A3534" s="2" t="s">
        <v>3536</v>
      </c>
      <c r="B3534" s="3" t="s">
        <v>4</v>
      </c>
      <c r="C3534" s="2" t="str">
        <f ca="1">IFERROR(__xludf.DUMMYFUNCTION("GOOGLETRANSLATE(A3534,""bn"",""en"")"),"The sole of the shoe is very soft and comfortable")</f>
        <v>The sole of the shoe is very soft and comfortable</v>
      </c>
    </row>
    <row r="3535" spans="1:3" ht="15.75" customHeight="1" x14ac:dyDescent="0.25">
      <c r="A3535" s="2" t="s">
        <v>3537</v>
      </c>
      <c r="B3535" s="3" t="s">
        <v>2</v>
      </c>
      <c r="C3535" s="2" t="str">
        <f ca="1">IFERROR(__xludf.DUMMYFUNCTION("GOOGLETRANSLATE(A3535,""bn"",""en"")"),"The mop does not spill water when working with it")</f>
        <v>The mop does not spill water when working with it</v>
      </c>
    </row>
    <row r="3536" spans="1:3" ht="15.75" customHeight="1" x14ac:dyDescent="0.25">
      <c r="A3536" s="2" t="s">
        <v>3538</v>
      </c>
      <c r="B3536" s="3" t="s">
        <v>2</v>
      </c>
      <c r="C3536" s="2" t="str">
        <f ca="1">IFERROR(__xludf.DUMMYFUNCTION("GOOGLETRANSLATE(A3536,""bn"",""en"")"),"Comfortable but the sound is unclear")</f>
        <v>Comfortable but the sound is unclear</v>
      </c>
    </row>
    <row r="3537" spans="1:3" ht="15.75" customHeight="1" x14ac:dyDescent="0.25">
      <c r="A3537" s="2" t="s">
        <v>3539</v>
      </c>
      <c r="B3537" s="3" t="s">
        <v>2</v>
      </c>
      <c r="C3537" s="2" t="str">
        <f ca="1">IFERROR(__xludf.DUMMYFUNCTION("GOOGLETRANSLATE(A3537,""bn"",""en"")"),"They don't seem to have high levels of energy")</f>
        <v>They don't seem to have high levels of energy</v>
      </c>
    </row>
    <row r="3538" spans="1:3" ht="15.75" customHeight="1" x14ac:dyDescent="0.25">
      <c r="A3538" s="2" t="s">
        <v>3540</v>
      </c>
      <c r="B3538" s="3" t="s">
        <v>4</v>
      </c>
      <c r="C3538" s="2" t="str">
        <f ca="1">IFERROR(__xludf.DUMMYFUNCTION("GOOGLETRANSLATE(A3538,""bn"",""en"")"),"The boy is very happy with his new toy")</f>
        <v>The boy is very happy with his new toy</v>
      </c>
    </row>
    <row r="3539" spans="1:3" ht="15.75" customHeight="1" x14ac:dyDescent="0.25">
      <c r="A3539" s="2" t="s">
        <v>3541</v>
      </c>
      <c r="B3539" s="3" t="s">
        <v>2</v>
      </c>
      <c r="C3539" s="2" t="str">
        <f ca="1">IFERROR(__xludf.DUMMYFUNCTION("GOOGLETRANSLATE(A3539,""bn"",""en"")"),"It may have water resistant properties")</f>
        <v>It may have water resistant properties</v>
      </c>
    </row>
    <row r="3540" spans="1:3" ht="15.75" customHeight="1" x14ac:dyDescent="0.25">
      <c r="A3540" s="2" t="s">
        <v>3542</v>
      </c>
      <c r="B3540" s="3" t="s">
        <v>6</v>
      </c>
      <c r="C3540" s="2" t="str">
        <f ca="1">IFERROR(__xludf.DUMMYFUNCTION("GOOGLETRANSLATE(A3540,""bn"",""en"")"),"Product advertising features were misleading or exaggerated")</f>
        <v>Product advertising features were misleading or exaggerated</v>
      </c>
    </row>
    <row r="3541" spans="1:3" ht="15.75" customHeight="1" x14ac:dyDescent="0.25">
      <c r="A3541" s="2" t="s">
        <v>3543</v>
      </c>
      <c r="B3541" s="3" t="s">
        <v>2</v>
      </c>
      <c r="C3541" s="2" t="str">
        <f ca="1">IFERROR(__xludf.DUMMYFUNCTION("GOOGLETRANSLATE(A3541,""bn"",""en"")"),"The color scheme has no special characteristics")</f>
        <v>The color scheme has no special characteristics</v>
      </c>
    </row>
    <row r="3542" spans="1:3" ht="15.75" customHeight="1" x14ac:dyDescent="0.25">
      <c r="A3542" s="2" t="s">
        <v>3544</v>
      </c>
      <c r="B3542" s="3" t="s">
        <v>4</v>
      </c>
      <c r="C3542" s="2" t="str">
        <f ca="1">IFERROR(__xludf.DUMMYFUNCTION("GOOGLETRANSLATE(A3542,""bn"",""en"")"),"The clock shows the correct time")</f>
        <v>The clock shows the correct time</v>
      </c>
    </row>
    <row r="3543" spans="1:3" ht="15.75" customHeight="1" x14ac:dyDescent="0.25">
      <c r="A3543" s="2" t="s">
        <v>3545</v>
      </c>
      <c r="B3543" s="3" t="s">
        <v>2</v>
      </c>
      <c r="C3543" s="2" t="str">
        <f ca="1">IFERROR(__xludf.DUMMYFUNCTION("GOOGLETRANSLATE(A3543,""bn"",""en"")"),"I found the quality to be fairly satisfactory for the price")</f>
        <v>I found the quality to be fairly satisfactory for the price</v>
      </c>
    </row>
    <row r="3544" spans="1:3" ht="15.75" customHeight="1" x14ac:dyDescent="0.25">
      <c r="A3544" s="2" t="s">
        <v>3546</v>
      </c>
      <c r="B3544" s="3" t="s">
        <v>2</v>
      </c>
      <c r="C3544" s="2" t="str">
        <f ca="1">IFERROR(__xludf.DUMMYFUNCTION("GOOGLETRANSLATE(A3544,""bn"",""en"")"),"Easy to set up and clear video and audio but not all needs met")</f>
        <v>Easy to set up and clear video and audio but not all needs met</v>
      </c>
    </row>
    <row r="3545" spans="1:3" ht="15.75" customHeight="1" x14ac:dyDescent="0.25">
      <c r="A3545" s="2" t="s">
        <v>3547</v>
      </c>
      <c r="B3545" s="3" t="s">
        <v>4</v>
      </c>
      <c r="C3545" s="2" t="str">
        <f ca="1">IFERROR(__xludf.DUMMYFUNCTION("GOOGLETRANSLATE(A3545,""bn"",""en"")"),"AirTag protects and makes it easy to attach to keys and objects")</f>
        <v>AirTag protects and makes it easy to attach to keys and objects</v>
      </c>
    </row>
    <row r="3546" spans="1:3" ht="15.75" customHeight="1" x14ac:dyDescent="0.25">
      <c r="A3546" s="2" t="s">
        <v>3548</v>
      </c>
      <c r="B3546" s="3" t="s">
        <v>6</v>
      </c>
      <c r="C3546" s="2" t="str">
        <f ca="1">IFERROR(__xludf.DUMMYFUNCTION("GOOGLETRANSLATE(A3546,""bn"",""en"")"),"The ingredients cause irritation and itching of the scalp after use")</f>
        <v>The ingredients cause irritation and itching of the scalp after use</v>
      </c>
    </row>
    <row r="3547" spans="1:3" ht="15.75" customHeight="1" x14ac:dyDescent="0.25">
      <c r="A3547" s="2" t="s">
        <v>3549</v>
      </c>
      <c r="B3547" s="3" t="s">
        <v>4</v>
      </c>
      <c r="C3547" s="2" t="str">
        <f ca="1">IFERROR(__xludf.DUMMYFUNCTION("GOOGLETRANSLATE(A3547,""bn"",""en"")"),"I feel completely safe and at ease using it during menstruation")</f>
        <v>I feel completely safe and at ease using it during menstruation</v>
      </c>
    </row>
    <row r="3548" spans="1:3" ht="15.75" customHeight="1" x14ac:dyDescent="0.25">
      <c r="A3548" s="2" t="s">
        <v>3550</v>
      </c>
      <c r="B3548" s="3" t="s">
        <v>6</v>
      </c>
      <c r="C3548" s="2" t="str">
        <f ca="1">IFERROR(__xludf.DUMMYFUNCTION("GOOGLETRANSLATE(A3548,""bn"",""en"")"),"Hair serum leaves a sticky residue on strands that attracts dirt and grime throughout the day")</f>
        <v>Hair serum leaves a sticky residue on strands that attracts dirt and grime throughout the day</v>
      </c>
    </row>
    <row r="3549" spans="1:3" ht="15.75" customHeight="1" x14ac:dyDescent="0.25">
      <c r="A3549" s="2" t="s">
        <v>3551</v>
      </c>
      <c r="B3549" s="3" t="s">
        <v>2</v>
      </c>
      <c r="C3549" s="2" t="str">
        <f ca="1">IFERROR(__xludf.DUMMYFUNCTION("GOOGLETRANSLATE(A3549,""bn"",""en"")"),"Interesting but sad to lose some parts easily")</f>
        <v>Interesting but sad to lose some parts easily</v>
      </c>
    </row>
    <row r="3550" spans="1:3" ht="15.75" customHeight="1" x14ac:dyDescent="0.25">
      <c r="A3550" s="2" t="s">
        <v>3552</v>
      </c>
      <c r="B3550" s="3" t="s">
        <v>4</v>
      </c>
      <c r="C3550" s="2" t="str">
        <f ca="1">IFERROR(__xludf.DUMMYFUNCTION("GOOGLETRANSLATE(A3550,""bn"",""en"")"),"Quality and reliability are the best ")</f>
        <v xml:space="preserve">Quality and reliability are the best </v>
      </c>
    </row>
    <row r="3551" spans="1:3" ht="15.75" customHeight="1" x14ac:dyDescent="0.25">
      <c r="A3551" s="2" t="s">
        <v>3553</v>
      </c>
      <c r="B3551" s="3" t="s">
        <v>6</v>
      </c>
      <c r="C3551" s="2" t="str">
        <f ca="1">IFERROR(__xludf.DUMMYFUNCTION("GOOGLETRANSLATE(A3551,""bn"",""en"")"),"  The design is unrealistically awkward to step in which limits legroom and usability")</f>
        <v xml:space="preserve">  The design is unrealistically awkward to step in which limits legroom and usability</v>
      </c>
    </row>
    <row r="3552" spans="1:3" ht="15.75" customHeight="1" x14ac:dyDescent="0.25">
      <c r="A3552" s="2" t="s">
        <v>3554</v>
      </c>
      <c r="B3552" s="3" t="s">
        <v>2</v>
      </c>
      <c r="C3552" s="2" t="str">
        <f ca="1">IFERROR(__xludf.DUMMYFUNCTION("GOOGLETRANSLATE(A3552,""bn"",""en"")"),"It is slightly smaller than the size shown online")</f>
        <v>It is slightly smaller than the size shown online</v>
      </c>
    </row>
    <row r="3553" spans="1:3" ht="15.75" customHeight="1" x14ac:dyDescent="0.25">
      <c r="A3553" s="2" t="s">
        <v>3555</v>
      </c>
      <c r="B3553" s="3" t="s">
        <v>4</v>
      </c>
      <c r="C3553" s="2" t="str">
        <f ca="1">IFERROR(__xludf.DUMMYFUNCTION("GOOGLETRANSLATE(A3553,""bn"",""en"")"),"The colors are long lasting and can be used for a long time")</f>
        <v>The colors are long lasting and can be used for a long time</v>
      </c>
    </row>
    <row r="3554" spans="1:3" ht="15.75" customHeight="1" x14ac:dyDescent="0.25">
      <c r="A3554" s="2" t="s">
        <v>3556</v>
      </c>
      <c r="B3554" s="3" t="s">
        <v>2</v>
      </c>
      <c r="C3554" s="2" t="str">
        <f ca="1">IFERROR(__xludf.DUMMYFUNCTION("GOOGLETRANSLATE(A3554,""bn"",""en"")"),"Available in different sizes but the color variation is less")</f>
        <v>Available in different sizes but the color variation is less</v>
      </c>
    </row>
    <row r="3555" spans="1:3" ht="15.75" customHeight="1" x14ac:dyDescent="0.25">
      <c r="A3555" s="2" t="s">
        <v>3557</v>
      </c>
      <c r="B3555" s="3" t="s">
        <v>4</v>
      </c>
      <c r="C3555" s="2" t="str">
        <f ca="1">IFERROR(__xludf.DUMMYFUNCTION("GOOGLETRANSLATE(A3555,""bn"",""en"")"),"These shoes are comfortable for long walks")</f>
        <v>These shoes are comfortable for long walks</v>
      </c>
    </row>
    <row r="3556" spans="1:3" ht="15.75" customHeight="1" x14ac:dyDescent="0.25">
      <c r="A3556" s="2" t="s">
        <v>3558</v>
      </c>
      <c r="B3556" s="3" t="s">
        <v>4</v>
      </c>
      <c r="C3556" s="2" t="str">
        <f ca="1">IFERROR(__xludf.DUMMYFUNCTION("GOOGLETRANSLATE(A3556,""bn"",""en"")"),"Functional and great to use in the car")</f>
        <v>Functional and great to use in the car</v>
      </c>
    </row>
    <row r="3557" spans="1:3" ht="15.75" customHeight="1" x14ac:dyDescent="0.25">
      <c r="A3557" s="2" t="s">
        <v>3559</v>
      </c>
      <c r="B3557" s="3" t="s">
        <v>6</v>
      </c>
      <c r="C3557" s="2" t="str">
        <f ca="1">IFERROR(__xludf.DUMMYFUNCTION("GOOGLETRANSLATE(A3557,""bn"",""en"")"),"  The wash had a weird texture and didn't lather well")</f>
        <v xml:space="preserve">  The wash had a weird texture and didn't lather well</v>
      </c>
    </row>
    <row r="3558" spans="1:3" ht="15.75" customHeight="1" x14ac:dyDescent="0.25">
      <c r="A3558" s="2" t="s">
        <v>3560</v>
      </c>
      <c r="B3558" s="3" t="s">
        <v>4</v>
      </c>
      <c r="C3558" s="2" t="str">
        <f ca="1">IFERROR(__xludf.DUMMYFUNCTION("GOOGLETRANSLATE(A3558,""bn"",""en"")"),"Overall happy with the purchase")</f>
        <v>Overall happy with the purchase</v>
      </c>
    </row>
    <row r="3559" spans="1:3" ht="15.75" customHeight="1" x14ac:dyDescent="0.25">
      <c r="A3559" s="2" t="s">
        <v>3561</v>
      </c>
      <c r="B3559" s="3" t="s">
        <v>4</v>
      </c>
      <c r="C3559" s="2" t="str">
        <f ca="1">IFERROR(__xludf.DUMMYFUNCTION("GOOGLETRANSLATE(A3559,""bn"",""en"")"),"Solar lights are great for night gardening")</f>
        <v>Solar lights are great for night gardening</v>
      </c>
    </row>
    <row r="3560" spans="1:3" ht="15.75" customHeight="1" x14ac:dyDescent="0.25">
      <c r="A3560" s="2" t="s">
        <v>3562</v>
      </c>
      <c r="B3560" s="3" t="s">
        <v>6</v>
      </c>
      <c r="C3560" s="2" t="str">
        <f ca="1">IFERROR(__xludf.DUMMYFUNCTION("GOOGLETRANSLATE(A3560,""bn"",""en"")"),"Noise-cancelling headphones have poor battery life and die quickly")</f>
        <v>Noise-cancelling headphones have poor battery life and die quickly</v>
      </c>
    </row>
    <row r="3561" spans="1:3" ht="15.75" customHeight="1" x14ac:dyDescent="0.25">
      <c r="A3561" s="2" t="s">
        <v>3563</v>
      </c>
      <c r="B3561" s="3" t="s">
        <v>4</v>
      </c>
      <c r="C3561" s="2" t="str">
        <f ca="1">IFERROR(__xludf.DUMMYFUNCTION("GOOGLETRANSLATE(A3561,""bn"",""en"")"),"Exactly what I was looking for")</f>
        <v>Exactly what I was looking for</v>
      </c>
    </row>
    <row r="3562" spans="1:3" ht="15.75" customHeight="1" x14ac:dyDescent="0.25">
      <c r="A3562" s="2" t="s">
        <v>3564</v>
      </c>
      <c r="B3562" s="3" t="s">
        <v>2</v>
      </c>
      <c r="C3562" s="2" t="str">
        <f ca="1">IFERROR(__xludf.DUMMYFUNCTION("GOOGLETRANSLATE(A3562,""bn"",""en"")"),"Product quality is acceptable but some ingredients are lacking")</f>
        <v>Product quality is acceptable but some ingredients are lacking</v>
      </c>
    </row>
    <row r="3563" spans="1:3" ht="15.75" customHeight="1" x14ac:dyDescent="0.25">
      <c r="A3563" s="2" t="s">
        <v>3565</v>
      </c>
      <c r="B3563" s="3" t="s">
        <v>4</v>
      </c>
      <c r="C3563" s="2" t="str">
        <f ca="1">IFERROR(__xludf.DUMMYFUNCTION("GOOGLETRANSLATE(A3563,""bn"",""en"")"),"The dining table top is high quality and easy to clean")</f>
        <v>The dining table top is high quality and easy to clean</v>
      </c>
    </row>
    <row r="3564" spans="1:3" ht="15.75" customHeight="1" x14ac:dyDescent="0.25">
      <c r="A3564" s="2" t="s">
        <v>3566</v>
      </c>
      <c r="B3564" s="3" t="s">
        <v>6</v>
      </c>
      <c r="C3564" s="2" t="str">
        <f ca="1">IFERROR(__xludf.DUMMYFUNCTION("GOOGLETRANSLATE(A3564,""bn"",""en"")"),"The wardrobe emits a faint odor that indicates poor ventilation and possible mold growth inside")</f>
        <v>The wardrobe emits a faint odor that indicates poor ventilation and possible mold growth inside</v>
      </c>
    </row>
    <row r="3565" spans="1:3" ht="15.75" customHeight="1" x14ac:dyDescent="0.25">
      <c r="A3565" s="2" t="s">
        <v>3567</v>
      </c>
      <c r="B3565" s="3" t="s">
        <v>2</v>
      </c>
      <c r="C3565" s="2" t="str">
        <f ca="1">IFERROR(__xludf.DUMMYFUNCTION("GOOGLETRANSLATE(A3565,""bn"",""en"")"),"The drink is very sweet but not too cold")</f>
        <v>The drink is very sweet but not too cold</v>
      </c>
    </row>
    <row r="3566" spans="1:3" ht="15.75" customHeight="1" x14ac:dyDescent="0.25">
      <c r="A3566" s="2" t="s">
        <v>3568</v>
      </c>
      <c r="B3566" s="3" t="s">
        <v>2</v>
      </c>
      <c r="C3566" s="2" t="str">
        <f ca="1">IFERROR(__xludf.DUMMYFUNCTION("GOOGLETRANSLATE(A3566,""bn"",""en"")"),"The flavor profile presents flavors of nuts and carom")</f>
        <v>The flavor profile presents flavors of nuts and carom</v>
      </c>
    </row>
    <row r="3567" spans="1:3" ht="15.75" customHeight="1" x14ac:dyDescent="0.25">
      <c r="A3567" s="2" t="s">
        <v>3569</v>
      </c>
      <c r="B3567" s="3" t="s">
        <v>2</v>
      </c>
      <c r="C3567" s="2" t="str">
        <f ca="1">IFERROR(__xludf.DUMMYFUNCTION("GOOGLETRANSLATE(A3567,""bn"",""en"")"),"Daily useable but not very robust")</f>
        <v>Daily useable but not very robust</v>
      </c>
    </row>
    <row r="3568" spans="1:3" ht="15.75" customHeight="1" x14ac:dyDescent="0.25">
      <c r="A3568" s="2" t="s">
        <v>3570</v>
      </c>
      <c r="B3568" s="3" t="s">
        <v>6</v>
      </c>
      <c r="C3568" s="2" t="str">
        <f ca="1">IFERROR(__xludf.DUMMYFUNCTION("GOOGLETRANSLATE(A3568,""bn"",""en"")")," The heating element of the bottle sterilizer is defective leading to incomplete sterilization")</f>
        <v xml:space="preserve"> The heating element of the bottle sterilizer is defective leading to incomplete sterilization</v>
      </c>
    </row>
    <row r="3569" spans="1:3" ht="15.75" customHeight="1" x14ac:dyDescent="0.25">
      <c r="A3569" s="2" t="s">
        <v>3571</v>
      </c>
      <c r="B3569" s="3" t="s">
        <v>6</v>
      </c>
      <c r="C3569" s="2" t="str">
        <f ca="1">IFERROR(__xludf.DUMMYFUNCTION("GOOGLETRANSLATE(A3569,""bn"",""en"")"),"came without a seal raising doubts about authenticity")</f>
        <v>came without a seal raising doubts about authenticity</v>
      </c>
    </row>
    <row r="3570" spans="1:3" ht="15.75" customHeight="1" x14ac:dyDescent="0.25">
      <c r="A3570" s="2" t="s">
        <v>3572</v>
      </c>
      <c r="B3570" s="3" t="s">
        <v>4</v>
      </c>
      <c r="C3570" s="2" t="str">
        <f ca="1">IFERROR(__xludf.DUMMYFUNCTION("GOOGLETRANSLATE(A3570,""bn"",""en"")"),"The cupboard handles are comfortable to hold and look good")</f>
        <v>The cupboard handles are comfortable to hold and look good</v>
      </c>
    </row>
    <row r="3571" spans="1:3" ht="15.75" customHeight="1" x14ac:dyDescent="0.25">
      <c r="A3571" s="2" t="s">
        <v>3573</v>
      </c>
      <c r="B3571" s="3" t="s">
        <v>4</v>
      </c>
      <c r="C3571" s="2" t="str">
        <f ca="1">IFERROR(__xludf.DUMMYFUNCTION("GOOGLETRANSLATE(A3571,""bn"",""en"")"),"Those of you who buy some products today can win to give away the good product")</f>
        <v>Those of you who buy some products today can win to give away the good product</v>
      </c>
    </row>
    <row r="3572" spans="1:3" ht="15.75" customHeight="1" x14ac:dyDescent="0.25">
      <c r="A3572" s="2" t="s">
        <v>3574</v>
      </c>
      <c r="B3572" s="3" t="s">
        <v>6</v>
      </c>
      <c r="C3572" s="2" t="str">
        <f ca="1">IFERROR(__xludf.DUMMYFUNCTION("GOOGLETRANSLATE(A3572,""bn"",""en"")"),"The dress had a stiff collar that rubbed against the neck and caused discomfort")</f>
        <v>The dress had a stiff collar that rubbed against the neck and caused discomfort</v>
      </c>
    </row>
    <row r="3573" spans="1:3" ht="15.75" customHeight="1" x14ac:dyDescent="0.25">
      <c r="A3573" s="2" t="s">
        <v>3575</v>
      </c>
      <c r="B3573" s="3" t="s">
        <v>2</v>
      </c>
      <c r="C3573" s="2" t="str">
        <f ca="1">IFERROR(__xludf.DUMMYFUNCTION("GOOGLETRANSLATE(A3573,""bn"",""en"")"),"Excessive pressure may damage the screen")</f>
        <v>Excessive pressure may damage the screen</v>
      </c>
    </row>
    <row r="3574" spans="1:3" ht="15.75" customHeight="1" x14ac:dyDescent="0.25">
      <c r="A3574" s="2" t="s">
        <v>3576</v>
      </c>
      <c r="B3574" s="3" t="s">
        <v>2</v>
      </c>
      <c r="C3574" s="2" t="str">
        <f ca="1">IFERROR(__xludf.DUMMYFUNCTION("GOOGLETRANSLATE(A3574,""bn"",""en"")"),"Portable but more likely to break if dropped")</f>
        <v>Portable but more likely to break if dropped</v>
      </c>
    </row>
    <row r="3575" spans="1:3" ht="15.75" customHeight="1" x14ac:dyDescent="0.25">
      <c r="A3575" s="2" t="s">
        <v>3577</v>
      </c>
      <c r="B3575" s="3" t="s">
        <v>2</v>
      </c>
      <c r="C3575" s="2" t="str">
        <f ca="1">IFERROR(__xludf.DUMMYFUNCTION("GOOGLETRANSLATE(A3575,""bn"",""en"")"),"Good quality for the price is somewhat average")</f>
        <v>Good quality for the price is somewhat average</v>
      </c>
    </row>
    <row r="3576" spans="1:3" ht="15.75" customHeight="1" x14ac:dyDescent="0.25">
      <c r="A3576" s="2" t="s">
        <v>3578</v>
      </c>
      <c r="B3576" s="3" t="s">
        <v>6</v>
      </c>
      <c r="C3576" s="2" t="str">
        <f ca="1">IFERROR(__xludf.DUMMYFUNCTION("GOOGLETRANSLATE(A3576,""bn"",""en"")"),"Not exactly decent quality for the price")</f>
        <v>Not exactly decent quality for the price</v>
      </c>
    </row>
    <row r="3577" spans="1:3" ht="15.75" customHeight="1" x14ac:dyDescent="0.25">
      <c r="A3577" s="2" t="s">
        <v>3579</v>
      </c>
      <c r="B3577" s="3" t="s">
        <v>4</v>
      </c>
      <c r="C3577" s="2" t="str">
        <f ca="1">IFERROR(__xludf.DUMMYFUNCTION("GOOGLETRANSLATE(A3577,""bn"",""en"")"),"Industrial design")</f>
        <v>Industrial design</v>
      </c>
    </row>
    <row r="3578" spans="1:3" ht="15.75" customHeight="1" x14ac:dyDescent="0.25">
      <c r="A3578" s="2" t="s">
        <v>3580</v>
      </c>
      <c r="B3578" s="3" t="s">
        <v>2</v>
      </c>
      <c r="C3578" s="2" t="str">
        <f ca="1">IFERROR(__xludf.DUMMYFUNCTION("GOOGLETRANSLATE(A3578,""bn"",""en"")"),"Just average nothing remarkable")</f>
        <v>Just average nothing remarkable</v>
      </c>
    </row>
    <row r="3579" spans="1:3" ht="15.75" customHeight="1" x14ac:dyDescent="0.25">
      <c r="A3579" s="2" t="s">
        <v>3581</v>
      </c>
      <c r="B3579" s="3" t="s">
        <v>6</v>
      </c>
      <c r="C3579" s="2" t="str">
        <f ca="1">IFERROR(__xludf.DUMMYFUNCTION("GOOGLETRANSLATE(A3579,""bn"",""en"")"),"Despite being advertised as one size fits all, the jewelry was too tight and uncomfortable to wear, causing pain and discomfort.")</f>
        <v>Despite being advertised as one size fits all, the jewelry was too tight and uncomfortable to wear, causing pain and discomfort.</v>
      </c>
    </row>
    <row r="3580" spans="1:3" ht="15.75" customHeight="1" x14ac:dyDescent="0.25">
      <c r="A3580" s="2" t="s">
        <v>3582</v>
      </c>
      <c r="B3580" s="3" t="s">
        <v>6</v>
      </c>
      <c r="C3580" s="2" t="str">
        <f ca="1">IFERROR(__xludf.DUMMYFUNCTION("GOOGLETRANSLATE(A3580,""bn"",""en"")"),"Vegetable crisper does not keep fruit fresh for long which spoils prematurely")</f>
        <v>Vegetable crisper does not keep fruit fresh for long which spoils prematurely</v>
      </c>
    </row>
    <row r="3581" spans="1:3" ht="15.75" customHeight="1" x14ac:dyDescent="0.25">
      <c r="A3581" s="2" t="s">
        <v>3583</v>
      </c>
      <c r="B3581" s="3" t="s">
        <v>6</v>
      </c>
      <c r="C3581" s="2" t="str">
        <f ca="1">IFERROR(__xludf.DUMMYFUNCTION("GOOGLETRANSLATE(A3581,""bn"",""en"")"),"The fabric's tendency to rip and pull easily results in unsightly runs and tears that reduce the lifespan of the garment.")</f>
        <v>The fabric's tendency to rip and pull easily results in unsightly runs and tears that reduce the lifespan of the garment.</v>
      </c>
    </row>
    <row r="3582" spans="1:3" ht="15.75" customHeight="1" x14ac:dyDescent="0.25">
      <c r="A3582" s="2" t="s">
        <v>3584</v>
      </c>
      <c r="B3582" s="3" t="s">
        <v>2</v>
      </c>
      <c r="C3582" s="2" t="str">
        <f ca="1">IFERROR(__xludf.DUMMYFUNCTION("GOOGLETRANSLATE(A3582,""bn"",""en"")"),"The color is black which is simple but practical")</f>
        <v>The color is black which is simple but practical</v>
      </c>
    </row>
    <row r="3583" spans="1:3" ht="15.75" customHeight="1" x14ac:dyDescent="0.25">
      <c r="A3583" s="2" t="s">
        <v>3585</v>
      </c>
      <c r="B3583" s="3" t="s">
        <v>2</v>
      </c>
      <c r="C3583" s="2" t="str">
        <f ca="1">IFERROR(__xludf.DUMMYFUNCTION("GOOGLETRANSLATE(A3583,""bn"",""en"")"),"Helps to improve baby's memory but at a very simple level")</f>
        <v>Helps to improve baby's memory but at a very simple level</v>
      </c>
    </row>
    <row r="3584" spans="1:3" ht="15.75" customHeight="1" x14ac:dyDescent="0.25">
      <c r="A3584" s="2" t="s">
        <v>3586</v>
      </c>
      <c r="B3584" s="3" t="s">
        <v>2</v>
      </c>
      <c r="C3584" s="2" t="str">
        <f ca="1">IFERROR(__xludf.DUMMYFUNCTION("GOOGLETRANSLATE(A3584,""bn"",""en"")"),"Nutritional quality can be improved")</f>
        <v>Nutritional quality can be improved</v>
      </c>
    </row>
    <row r="3585" spans="1:3" ht="15.75" customHeight="1" x14ac:dyDescent="0.25">
      <c r="A3585" s="2" t="s">
        <v>3587</v>
      </c>
      <c r="B3585" s="3" t="s">
        <v>2</v>
      </c>
      <c r="C3585" s="2" t="str">
        <f ca="1">IFERROR(__xludf.DUMMYFUNCTION("GOOGLETRANSLATE(A3585,""bn"",""en"")"),"Pocket size metal detector finds metal but limited depth")</f>
        <v>Pocket size metal detector finds metal but limited depth</v>
      </c>
    </row>
    <row r="3586" spans="1:3" ht="15.75" customHeight="1" x14ac:dyDescent="0.25">
      <c r="A3586" s="2" t="s">
        <v>3588</v>
      </c>
      <c r="B3586" s="3" t="s">
        <v>6</v>
      </c>
      <c r="C3586" s="2" t="str">
        <f ca="1">IFERROR(__xludf.DUMMYFUNCTION("GOOGLETRANSLATE(A3586,""bn"",""en"")"),"Shoes lack adequate cushioning resulting in foot and ankle pain especially on hard surfaces")</f>
        <v>Shoes lack adequate cushioning resulting in foot and ankle pain especially on hard surfaces</v>
      </c>
    </row>
    <row r="3587" spans="1:3" ht="15.75" customHeight="1" x14ac:dyDescent="0.25">
      <c r="A3587" s="2" t="s">
        <v>3589</v>
      </c>
      <c r="B3587" s="3" t="s">
        <v>2</v>
      </c>
      <c r="C3587" s="2" t="str">
        <f ca="1">IFERROR(__xludf.DUMMYFUNCTION("GOOGLETRANSLATE(A3587,""bn"",""en"")"),"Audio performance seemed acceptable")</f>
        <v>Audio performance seemed acceptable</v>
      </c>
    </row>
    <row r="3588" spans="1:3" ht="15.75" customHeight="1" x14ac:dyDescent="0.25">
      <c r="A3588" s="2" t="s">
        <v>3590</v>
      </c>
      <c r="B3588" s="3" t="s">
        <v>2</v>
      </c>
      <c r="C3588" s="2" t="str">
        <f ca="1">IFERROR(__xludf.DUMMYFUNCTION("GOOGLETRANSLATE(A3588,""bn"",""en"")"),"Acceptable for the price but not suitable for long term use")</f>
        <v>Acceptable for the price but not suitable for long term use</v>
      </c>
    </row>
    <row r="3589" spans="1:3" ht="15.75" customHeight="1" x14ac:dyDescent="0.25">
      <c r="A3589" s="2" t="s">
        <v>3591</v>
      </c>
      <c r="B3589" s="3" t="s">
        <v>2</v>
      </c>
      <c r="C3589" s="2" t="str">
        <f ca="1">IFERROR(__xludf.DUMMYFUNCTION("GOOGLETRANSLATE(A3589,""bn"",""en"")"),"Earbuds are good but sometimes have problems")</f>
        <v>Earbuds are good but sometimes have problems</v>
      </c>
    </row>
    <row r="3590" spans="1:3" ht="15.75" customHeight="1" x14ac:dyDescent="0.25">
      <c r="A3590" s="2" t="s">
        <v>3592</v>
      </c>
      <c r="B3590" s="3" t="s">
        <v>4</v>
      </c>
      <c r="C3590" s="2" t="str">
        <f ca="1">IFERROR(__xludf.DUMMYFUNCTION("GOOGLETRANSLATE(A3590,""bn"",""en"")"),"Looks equally beautiful in different seasons")</f>
        <v>Looks equally beautiful in different seasons</v>
      </c>
    </row>
    <row r="3591" spans="1:3" ht="15.75" customHeight="1" x14ac:dyDescent="0.25">
      <c r="A3591" s="2" t="s">
        <v>3593</v>
      </c>
      <c r="B3591" s="3" t="s">
        <v>2</v>
      </c>
      <c r="C3591" s="2" t="str">
        <f ca="1">IFERROR(__xludf.DUMMYFUNCTION("GOOGLETRANSLATE(A3591,""bn"",""en"")"),"Neighbors did not comment")</f>
        <v>Neighbors did not comment</v>
      </c>
    </row>
    <row r="3592" spans="1:3" ht="15.75" customHeight="1" x14ac:dyDescent="0.25">
      <c r="A3592" s="2" t="s">
        <v>3594</v>
      </c>
      <c r="B3592" s="3" t="s">
        <v>6</v>
      </c>
      <c r="C3592" s="2" t="str">
        <f ca="1">IFERROR(__xludf.DUMMYFUNCTION("GOOGLETRANSLATE(A3592,""bn"",""en"")"),"The wireless mouse's cursor jumps erratically making precise movement impossible")</f>
        <v>The wireless mouse's cursor jumps erratically making precise movement impossible</v>
      </c>
    </row>
    <row r="3593" spans="1:3" ht="15.75" customHeight="1" x14ac:dyDescent="0.25">
      <c r="A3593" s="2" t="s">
        <v>3595</v>
      </c>
      <c r="B3593" s="3" t="s">
        <v>4</v>
      </c>
      <c r="C3593" s="2" t="str">
        <f ca="1">IFERROR(__xludf.DUMMYFUNCTION("GOOGLETRANSLATE(A3593,""bn"",""en"")"),"Alhamdulillah the quality of the product is very good")</f>
        <v>Alhamdulillah the quality of the product is very good</v>
      </c>
    </row>
    <row r="3594" spans="1:3" ht="15.75" customHeight="1" x14ac:dyDescent="0.25">
      <c r="A3594" s="2" t="s">
        <v>3596</v>
      </c>
      <c r="B3594" s="3" t="s">
        <v>2</v>
      </c>
      <c r="C3594" s="2" t="str">
        <f ca="1">IFERROR(__xludf.DUMMYFUNCTION("GOOGLETRANSLATE(A3594,""bn"",""en"")"),"The smart flower pot waters the plants but the app is complicated to use")</f>
        <v>The smart flower pot waters the plants but the app is complicated to use</v>
      </c>
    </row>
    <row r="3595" spans="1:3" ht="15.75" customHeight="1" x14ac:dyDescent="0.25">
      <c r="A3595" s="2" t="s">
        <v>3597</v>
      </c>
      <c r="B3595" s="3" t="s">
        <v>2</v>
      </c>
      <c r="C3595" s="2" t="str">
        <f ca="1">IFERROR(__xludf.DUMMYFUNCTION("GOOGLETRANSLATE(A3595,""bn"",""en"")"),"Dirt stuck between keyboards can be difficult to clean")</f>
        <v>Dirt stuck between keyboards can be difficult to clean</v>
      </c>
    </row>
    <row r="3596" spans="1:3" ht="15.75" customHeight="1" x14ac:dyDescent="0.25">
      <c r="A3596" s="2" t="s">
        <v>3598</v>
      </c>
      <c r="B3596" s="3" t="s">
        <v>6</v>
      </c>
      <c r="C3596" s="2" t="str">
        <f ca="1">IFERROR(__xludf.DUMMYFUNCTION("GOOGLETRANSLATE(A3596,""bn"",""en"")"),"The painting set did not include enough canvas")</f>
        <v>The painting set did not include enough canvas</v>
      </c>
    </row>
    <row r="3597" spans="1:3" ht="15.75" customHeight="1" x14ac:dyDescent="0.25">
      <c r="A3597" s="2" t="s">
        <v>3599</v>
      </c>
      <c r="B3597" s="3" t="s">
        <v>2</v>
      </c>
      <c r="C3597" s="2" t="str">
        <f ca="1">IFERROR(__xludf.DUMMYFUNCTION("GOOGLETRANSLATE(A3597,""bn"",""en"")"),"Can break easily")</f>
        <v>Can break easily</v>
      </c>
    </row>
    <row r="3598" spans="1:3" ht="15.75" customHeight="1" x14ac:dyDescent="0.25">
      <c r="A3598" s="2" t="s">
        <v>3600</v>
      </c>
      <c r="B3598" s="3" t="s">
        <v>4</v>
      </c>
      <c r="C3598" s="2" t="str">
        <f ca="1">IFERROR(__xludf.DUMMYFUNCTION("GOOGLETRANSLATE(A3598,""bn"",""en"")"),"Our school environment is always educational")</f>
        <v>Our school environment is always educational</v>
      </c>
    </row>
    <row r="3599" spans="1:3" ht="15.75" customHeight="1" x14ac:dyDescent="0.25">
      <c r="A3599" s="2" t="s">
        <v>3601</v>
      </c>
      <c r="B3599" s="3" t="s">
        <v>2</v>
      </c>
      <c r="C3599" s="2" t="str">
        <f ca="1">IFERROR(__xludf.DUMMYFUNCTION("GOOGLETRANSLATE(A3599,""bn"",""en"")"),"The taste of the food does not impress but the presentation is not attractive")</f>
        <v>The taste of the food does not impress but the presentation is not attractive</v>
      </c>
    </row>
    <row r="3600" spans="1:3" ht="15.75" customHeight="1" x14ac:dyDescent="0.25">
      <c r="A3600" s="2" t="s">
        <v>3602</v>
      </c>
      <c r="B3600" s="3" t="s">
        <v>2</v>
      </c>
      <c r="C3600" s="2" t="str">
        <f ca="1">IFERROR(__xludf.DUMMYFUNCTION("GOOGLETRANSLATE(A3600,""bn"",""en"")"),"Excessive use can damage plastic")</f>
        <v>Excessive use can damage plastic</v>
      </c>
    </row>
    <row r="3601" spans="1:3" ht="15.75" customHeight="1" x14ac:dyDescent="0.25">
      <c r="A3601" s="2" t="s">
        <v>3603</v>
      </c>
      <c r="B3601" s="3" t="s">
        <v>6</v>
      </c>
      <c r="C3601" s="2" t="str">
        <f ca="1">IFERROR(__xludf.DUMMYFUNCTION("GOOGLETRANSLATE(A3601,""bn"",""en"")"),"The lack of breathability of the material causes discomfort when worn")</f>
        <v>The lack of breathability of the material causes discomfort when worn</v>
      </c>
    </row>
    <row r="3602" spans="1:3" ht="15.75" customHeight="1" x14ac:dyDescent="0.25">
      <c r="A3602" s="2" t="s">
        <v>3604</v>
      </c>
      <c r="B3602" s="3" t="s">
        <v>6</v>
      </c>
      <c r="C3602" s="2" t="str">
        <f ca="1">IFERROR(__xludf.DUMMYFUNCTION("GOOGLETRANSLATE(A3602,""bn"",""en"")"),"  Looks cheaply made")</f>
        <v xml:space="preserve">  Looks cheaply made</v>
      </c>
    </row>
    <row r="3603" spans="1:3" ht="15.75" customHeight="1" x14ac:dyDescent="0.25">
      <c r="A3603" s="2" t="s">
        <v>3605</v>
      </c>
      <c r="B3603" s="3" t="s">
        <v>6</v>
      </c>
      <c r="C3603" s="2" t="str">
        <f ca="1">IFERROR(__xludf.DUMMYFUNCTION("GOOGLETRANSLATE(A3603,""bn"",""en"")"),"The sound quality of portable speakers deteriorates over time and becomes muffled")</f>
        <v>The sound quality of portable speakers deteriorates over time and becomes muffled</v>
      </c>
    </row>
    <row r="3604" spans="1:3" ht="15.75" customHeight="1" x14ac:dyDescent="0.25">
      <c r="A3604" s="2" t="s">
        <v>3606</v>
      </c>
      <c r="B3604" s="3" t="s">
        <v>2</v>
      </c>
      <c r="C3604" s="2" t="str">
        <f ca="1">IFERROR(__xludf.DUMMYFUNCTION("GOOGLETRANSLATE(A3604,""bn"",""en"")"),"The color is pretty but the stitching is not good")</f>
        <v>The color is pretty but the stitching is not good</v>
      </c>
    </row>
    <row r="3605" spans="1:3" ht="15.75" customHeight="1" x14ac:dyDescent="0.25">
      <c r="A3605" s="2" t="s">
        <v>3607</v>
      </c>
      <c r="B3605" s="3" t="s">
        <v>6</v>
      </c>
      <c r="C3605" s="2" t="str">
        <f ca="1">IFERROR(__xludf.DUMMYFUNCTION("GOOGLETRANSLATE(A3605,""bn"",""en"")"),"The charging ports of the power bank are not compatible with certain devices resulting in compatibility issues")</f>
        <v>The charging ports of the power bank are not compatible with certain devices resulting in compatibility issues</v>
      </c>
    </row>
    <row r="3606" spans="1:3" ht="15.75" customHeight="1" x14ac:dyDescent="0.25">
      <c r="A3606" s="2" t="s">
        <v>3608</v>
      </c>
      <c r="B3606" s="3" t="s">
        <v>4</v>
      </c>
      <c r="C3606" s="2" t="str">
        <f ca="1">IFERROR(__xludf.DUMMYFUNCTION("GOOGLETRANSLATE(A3606,""bn"",""en"")"),"I like it very much ")</f>
        <v xml:space="preserve">I like it very much </v>
      </c>
    </row>
    <row r="3607" spans="1:3" ht="15.75" customHeight="1" x14ac:dyDescent="0.25">
      <c r="A3607" s="2" t="s">
        <v>3609</v>
      </c>
      <c r="B3607" s="3" t="s">
        <v>2</v>
      </c>
      <c r="C3607" s="2" t="str">
        <f ca="1">IFERROR(__xludf.DUMMYFUNCTION("GOOGLETRANSLATE(A3607,""bn"",""en"")"),"The color of the pad is neutral")</f>
        <v>The color of the pad is neutral</v>
      </c>
    </row>
    <row r="3608" spans="1:3" ht="15.75" customHeight="1" x14ac:dyDescent="0.25">
      <c r="A3608" s="2" t="s">
        <v>3610</v>
      </c>
      <c r="B3608" s="3" t="s">
        <v>4</v>
      </c>
      <c r="C3608" s="2" t="str">
        <f ca="1">IFERROR(__xludf.DUMMYFUNCTION("GOOGLETRANSLATE(A3608,""bn"",""en"")"),"The armrests of the chair are very sturdy and comfortable")</f>
        <v>The armrests of the chair are very sturdy and comfortable</v>
      </c>
    </row>
    <row r="3609" spans="1:3" ht="15.75" customHeight="1" x14ac:dyDescent="0.25">
      <c r="A3609" s="2" t="s">
        <v>3611</v>
      </c>
      <c r="B3609" s="3" t="s">
        <v>2</v>
      </c>
      <c r="C3609" s="2" t="str">
        <f ca="1">IFERROR(__xludf.DUMMYFUNCTION("GOOGLETRANSLATE(A3609,""bn"",""en"")"),"It is a basic product for the price")</f>
        <v>It is a basic product for the price</v>
      </c>
    </row>
    <row r="3610" spans="1:3" ht="15.75" customHeight="1" x14ac:dyDescent="0.25">
      <c r="A3610" s="2" t="s">
        <v>3612</v>
      </c>
      <c r="B3610" s="3" t="s">
        <v>6</v>
      </c>
      <c r="C3610" s="2" t="str">
        <f ca="1">IFERROR(__xludf.DUMMYFUNCTION("GOOGLETRANSLATE(A3610,""bn"",""en"")"),"  The surface is not heat resistant making it susceptible to damage from hot objects and leaving burn marks")</f>
        <v xml:space="preserve">  The surface is not heat resistant making it susceptible to damage from hot objects and leaving burn marks</v>
      </c>
    </row>
    <row r="3611" spans="1:3" ht="15.75" customHeight="1" x14ac:dyDescent="0.25">
      <c r="A3611" s="2" t="s">
        <v>3613</v>
      </c>
      <c r="B3611" s="3" t="s">
        <v>2</v>
      </c>
      <c r="C3611" s="2" t="str">
        <f ca="1">IFERROR(__xludf.DUMMYFUNCTION("GOOGLETRANSLATE(A3611,""bn"",""en"")"),"The weight is light but this makes it feel a bit fragile")</f>
        <v>The weight is light but this makes it feel a bit fragile</v>
      </c>
    </row>
    <row r="3612" spans="1:3" ht="15.75" customHeight="1" x14ac:dyDescent="0.25">
      <c r="A3612" s="2" t="s">
        <v>3614</v>
      </c>
      <c r="B3612" s="3" t="s">
        <v>4</v>
      </c>
      <c r="C3612" s="2" t="str">
        <f ca="1">IFERROR(__xludf.DUMMYFUNCTION("GOOGLETRANSLATE(A3612,""bn"",""en"")"),"Its taste reminds me of the hill country")</f>
        <v>Its taste reminds me of the hill country</v>
      </c>
    </row>
    <row r="3613" spans="1:3" ht="15.75" customHeight="1" x14ac:dyDescent="0.25">
      <c r="A3613" s="2" t="s">
        <v>3615</v>
      </c>
      <c r="B3613" s="3" t="s">
        <v>4</v>
      </c>
      <c r="C3613" s="2" t="str">
        <f ca="1">IFERROR(__xludf.DUMMYFUNCTION("GOOGLETRANSLATE(A3613,""bn"",""en"")"),"The color variation is excellent")</f>
        <v>The color variation is excellent</v>
      </c>
    </row>
    <row r="3614" spans="1:3" ht="15.75" customHeight="1" x14ac:dyDescent="0.25">
      <c r="A3614" s="2" t="s">
        <v>3616</v>
      </c>
      <c r="B3614" s="3" t="s">
        <v>4</v>
      </c>
      <c r="C3614" s="2" t="str">
        <f ca="1">IFERROR(__xludf.DUMMYFUNCTION("GOOGLETRANSLATE(A3614,""bn"",""en"")"),"I have got a very good response and if I am going to give its ratings, you can definitely take it")</f>
        <v>I have got a very good response and if I am going to give its ratings, you can definitely take it</v>
      </c>
    </row>
    <row r="3615" spans="1:3" ht="15.75" customHeight="1" x14ac:dyDescent="0.25">
      <c r="A3615" s="2" t="s">
        <v>3617</v>
      </c>
      <c r="B3615" s="3" t="s">
        <v>6</v>
      </c>
      <c r="C3615" s="2" t="str">
        <f ca="1">IFERROR(__xludf.DUMMYFUNCTION("GOOGLETRANSLATE(A3615,""bn"",""en"")"),"Subpar quality does not meet expectations")</f>
        <v>Subpar quality does not meet expectations</v>
      </c>
    </row>
    <row r="3616" spans="1:3" ht="15.75" customHeight="1" x14ac:dyDescent="0.25">
      <c r="A3616" s="2" t="s">
        <v>3618</v>
      </c>
      <c r="B3616" s="3" t="s">
        <v>4</v>
      </c>
      <c r="C3616" s="2" t="str">
        <f ca="1">IFERROR(__xludf.DUMMYFUNCTION("GOOGLETRANSLATE(A3616,""bn"",""en"")"),"Its softness and softness are truly commendable")</f>
        <v>Its softness and softness are truly commendable</v>
      </c>
    </row>
    <row r="3617" spans="1:3" ht="15.75" customHeight="1" x14ac:dyDescent="0.25">
      <c r="A3617" s="2" t="s">
        <v>3619</v>
      </c>
      <c r="B3617" s="3" t="s">
        <v>2</v>
      </c>
      <c r="C3617" s="2" t="str">
        <f ca="1">IFERROR(__xludf.DUMMYFUNCTION("GOOGLETRANSLATE(A3617,""bn"",""en"")"),"The quality may not be very good")</f>
        <v>The quality may not be very good</v>
      </c>
    </row>
    <row r="3618" spans="1:3" ht="15.75" customHeight="1" x14ac:dyDescent="0.25">
      <c r="A3618" s="2" t="s">
        <v>3620</v>
      </c>
      <c r="B3618" s="3" t="s">
        <v>4</v>
      </c>
      <c r="C3618" s="2" t="str">
        <f ca="1">IFERROR(__xludf.DUMMYFUNCTION("GOOGLETRANSLATE(A3618,""bn"",""en"")"),"The quality is excellent compared to the price")</f>
        <v>The quality is excellent compared to the price</v>
      </c>
    </row>
    <row r="3619" spans="1:3" ht="15.75" customHeight="1" x14ac:dyDescent="0.25">
      <c r="A3619" s="2" t="s">
        <v>3621</v>
      </c>
      <c r="B3619" s="3" t="s">
        <v>2</v>
      </c>
      <c r="C3619" s="2" t="str">
        <f ca="1">IFERROR(__xludf.DUMMYFUNCTION("GOOGLETRANSLATE(A3619,""bn"",""en"")"),"The upgrade is impressive but not perfect")</f>
        <v>The upgrade is impressive but not perfect</v>
      </c>
    </row>
    <row r="3620" spans="1:3" ht="15.75" customHeight="1" x14ac:dyDescent="0.25">
      <c r="A3620" s="2" t="s">
        <v>3622</v>
      </c>
      <c r="B3620" s="3" t="s">
        <v>4</v>
      </c>
      <c r="C3620" s="2" t="str">
        <f ca="1">IFERROR(__xludf.DUMMYFUNCTION("GOOGLETRANSLATE(A3620,""bn"",""en"")"),"The doll's hair is combable which my daughter really enjoys she spends hours styling the doll's hair.")</f>
        <v>The doll's hair is combable which my daughter really enjoys she spends hours styling the doll's hair.</v>
      </c>
    </row>
    <row r="3621" spans="1:3" ht="15.75" customHeight="1" x14ac:dyDescent="0.25">
      <c r="A3621" s="2" t="s">
        <v>3623</v>
      </c>
      <c r="B3621" s="3" t="s">
        <v>6</v>
      </c>
      <c r="C3621" s="2" t="str">
        <f ca="1">IFERROR(__xludf.DUMMYFUNCTION("GOOGLETRANSLATE(A3621,""bn"",""en"")"),"The concealer oxidizes quickly and darkens several shades throughout the day")</f>
        <v>The concealer oxidizes quickly and darkens several shades throughout the day</v>
      </c>
    </row>
    <row r="3622" spans="1:3" ht="15.75" customHeight="1" x14ac:dyDescent="0.25">
      <c r="A3622" s="2" t="s">
        <v>3624</v>
      </c>
      <c r="B3622" s="3" t="s">
        <v>2</v>
      </c>
      <c r="C3622" s="2" t="str">
        <f ca="1">IFERROR(__xludf.DUMMYFUNCTION("GOOGLETRANSLATE(A3622,""bn"",""en"")"),"I am satisfied with using this toothpaste and brush but want to try something else")</f>
        <v>I am satisfied with using this toothpaste and brush but want to try something else</v>
      </c>
    </row>
    <row r="3623" spans="1:3" ht="15.75" customHeight="1" x14ac:dyDescent="0.25">
      <c r="A3623" s="2" t="s">
        <v>3625</v>
      </c>
      <c r="B3623" s="3" t="s">
        <v>2</v>
      </c>
      <c r="C3623" s="2" t="str">
        <f ca="1">IFERROR(__xludf.DUMMYFUNCTION("GOOGLETRANSLATE(A3623,""bn"",""en"")"),"Packaging is decent but may be prone to breakage")</f>
        <v>Packaging is decent but may be prone to breakage</v>
      </c>
    </row>
    <row r="3624" spans="1:3" ht="15.75" customHeight="1" x14ac:dyDescent="0.25">
      <c r="A3624" s="2" t="s">
        <v>3626</v>
      </c>
      <c r="B3624" s="3" t="s">
        <v>2</v>
      </c>
      <c r="C3624" s="2" t="str">
        <f ca="1">IFERROR(__xludf.DUMMYFUNCTION("GOOGLETRANSLATE(A3624,""bn"",""en"")"),"A serving spoon may be included")</f>
        <v>A serving spoon may be included</v>
      </c>
    </row>
    <row r="3625" spans="1:3" ht="15.75" customHeight="1" x14ac:dyDescent="0.25">
      <c r="A3625" s="2" t="s">
        <v>3627</v>
      </c>
      <c r="B3625" s="3" t="s">
        <v>2</v>
      </c>
      <c r="C3625" s="2" t="str">
        <f ca="1">IFERROR(__xludf.DUMMYFUNCTION("GOOGLETRANSLATE(A3625,""bn"",""en"")"),"Works but not super well")</f>
        <v>Works but not super well</v>
      </c>
    </row>
    <row r="3626" spans="1:3" ht="15.75" customHeight="1" x14ac:dyDescent="0.25">
      <c r="A3626" s="2" t="s">
        <v>3628</v>
      </c>
      <c r="B3626" s="3" t="s">
        <v>6</v>
      </c>
      <c r="C3626" s="2" t="str">
        <f ca="1">IFERROR(__xludf.DUMMYFUNCTION("GOOGLETRANSLATE(A3626,""bn"",""en"")"),"Craftmanship evident in seamless stitching and finishing")</f>
        <v>Craftmanship evident in seamless stitching and finishing</v>
      </c>
    </row>
    <row r="3627" spans="1:3" ht="15.75" customHeight="1" x14ac:dyDescent="0.25">
      <c r="A3627" s="2" t="s">
        <v>3629</v>
      </c>
      <c r="B3627" s="3" t="s">
        <v>2</v>
      </c>
      <c r="C3627" s="2" t="str">
        <f ca="1">IFERROR(__xludf.DUMMYFUNCTION("GOOGLETRANSLATE(A3627,""bn"",""en"")"),"The coffee grinder grinds the beans but is noisy")</f>
        <v>The coffee grinder grinds the beans but is noisy</v>
      </c>
    </row>
    <row r="3628" spans="1:3" ht="15.75" customHeight="1" x14ac:dyDescent="0.25">
      <c r="A3628" s="2" t="s">
        <v>3630</v>
      </c>
      <c r="B3628" s="3" t="s">
        <v>6</v>
      </c>
      <c r="C3628" s="2" t="str">
        <f ca="1">IFERROR(__xludf.DUMMYFUNCTION("GOOGLETRANSLATE(A3628,""bn"",""en"")"),"Portable blender motor heats up quickly and shuts off unexpectedly")</f>
        <v>Portable blender motor heats up quickly and shuts off unexpectedly</v>
      </c>
    </row>
    <row r="3629" spans="1:3" ht="15.75" customHeight="1" x14ac:dyDescent="0.25">
      <c r="A3629" s="2" t="s">
        <v>3631</v>
      </c>
      <c r="B3629" s="3" t="s">
        <v>4</v>
      </c>
      <c r="C3629" s="2" t="str">
        <f ca="1">IFERROR(__xludf.DUMMYFUNCTION("GOOGLETRANSLATE(A3629,""bn"",""en"")"),"The child sits down to eat every morning")</f>
        <v>The child sits down to eat every morning</v>
      </c>
    </row>
    <row r="3630" spans="1:3" ht="15.75" customHeight="1" x14ac:dyDescent="0.25">
      <c r="A3630" s="2" t="s">
        <v>3632</v>
      </c>
      <c r="B3630" s="3" t="s">
        <v>6</v>
      </c>
      <c r="C3630" s="2" t="str">
        <f ca="1">IFERROR(__xludf.DUMMYFUNCTION("GOOGLETRANSLATE(A3630,""bn"",""en"")"),"The packaging was not resealed properly resulting in loss of smell and taste")</f>
        <v>The packaging was not resealed properly resulting in loss of smell and taste</v>
      </c>
    </row>
    <row r="3631" spans="1:3" ht="15.75" customHeight="1" x14ac:dyDescent="0.25">
      <c r="A3631" s="2" t="s">
        <v>3633</v>
      </c>
      <c r="B3631" s="3" t="s">
        <v>6</v>
      </c>
      <c r="C3631" s="2" t="str">
        <f ca="1">IFERROR(__xludf.DUMMYFUNCTION("GOOGLETRANSLATE(A3631,""bn"",""en"")"),"Inadequate ventilation causes the product to overheat")</f>
        <v>Inadequate ventilation causes the product to overheat</v>
      </c>
    </row>
    <row r="3632" spans="1:3" ht="15.75" customHeight="1" x14ac:dyDescent="0.25">
      <c r="A3632" s="2" t="s">
        <v>3634</v>
      </c>
      <c r="B3632" s="3" t="s">
        <v>2</v>
      </c>
      <c r="C3632" s="2" t="str">
        <f ca="1">IFERROR(__xludf.DUMMYFUNCTION("GOOGLETRANSLATE(A3632,""bn"",""en"")"),"Easy to use and comfortable but not suitable for all earrings")</f>
        <v>Easy to use and comfortable but not suitable for all earrings</v>
      </c>
    </row>
    <row r="3633" spans="1:3" ht="15.75" customHeight="1" x14ac:dyDescent="0.25">
      <c r="A3633" s="2" t="s">
        <v>3635</v>
      </c>
      <c r="B3633" s="3" t="s">
        <v>6</v>
      </c>
      <c r="C3633" s="2" t="str">
        <f ca="1">IFERROR(__xludf.DUMMYFUNCTION("GOOGLETRANSLATE(A3633,""bn"",""en"")"),"The bag was too thin causing the tea to spill over the sides")</f>
        <v>The bag was too thin causing the tea to spill over the sides</v>
      </c>
    </row>
    <row r="3634" spans="1:3" ht="15.75" customHeight="1" x14ac:dyDescent="0.25">
      <c r="A3634" s="2" t="s">
        <v>3636</v>
      </c>
      <c r="B3634" s="3" t="s">
        <v>6</v>
      </c>
      <c r="C3634" s="2" t="str">
        <f ca="1">IFERROR(__xludf.DUMMYFUNCTION("GOOGLETRANSLATE(A3634,""bn"",""en"")"),"Despite claims to be noncomedogenic, face oils clog pores and aggravate breakouts")</f>
        <v>Despite claims to be noncomedogenic, face oils clog pores and aggravate breakouts</v>
      </c>
    </row>
    <row r="3635" spans="1:3" ht="15.75" customHeight="1" x14ac:dyDescent="0.25">
      <c r="A3635" s="2" t="s">
        <v>3637</v>
      </c>
      <c r="B3635" s="3" t="s">
        <v>2</v>
      </c>
      <c r="C3635" s="2" t="str">
        <f ca="1">IFERROR(__xludf.DUMMYFUNCTION("GOOGLETRANSLATE(A3635,""bn"",""en"")"),"The sharpness is medium")</f>
        <v>The sharpness is medium</v>
      </c>
    </row>
    <row r="3636" spans="1:3" ht="15.75" customHeight="1" x14ac:dyDescent="0.25">
      <c r="A3636" s="2" t="s">
        <v>3638</v>
      </c>
      <c r="B3636" s="3" t="s">
        <v>6</v>
      </c>
      <c r="C3636" s="2" t="str">
        <f ca="1">IFERROR(__xludf.DUMMYFUNCTION("GOOGLETRANSLATE(A3636,""bn"",""en"")"),"The thin material felt cheap and disposable")</f>
        <v>The thin material felt cheap and disposable</v>
      </c>
    </row>
    <row r="3637" spans="1:3" ht="15.75" customHeight="1" x14ac:dyDescent="0.25">
      <c r="A3637" s="2" t="s">
        <v>3639</v>
      </c>
      <c r="B3637" s="3" t="s">
        <v>4</v>
      </c>
      <c r="C3637" s="2" t="str">
        <f ca="1">IFERROR(__xludf.DUMMYFUNCTION("GOOGLETRANSLATE(A3637,""bn"",""en"")"),"You will feel the luxury by using this body wash")</f>
        <v>You will feel the luxury by using this body wash</v>
      </c>
    </row>
    <row r="3638" spans="1:3" ht="15.75" customHeight="1" x14ac:dyDescent="0.25">
      <c r="A3638" s="2" t="s">
        <v>3640</v>
      </c>
      <c r="B3638" s="3" t="s">
        <v>4</v>
      </c>
      <c r="C3638" s="2" t="str">
        <f ca="1">IFERROR(__xludf.DUMMYFUNCTION("GOOGLETRANSLATE(A3638,""bn"",""en"")"),"Loose clothes make me feel very comfortable")</f>
        <v>Loose clothes make me feel very comfortable</v>
      </c>
    </row>
    <row r="3639" spans="1:3" ht="15.75" customHeight="1" x14ac:dyDescent="0.25">
      <c r="A3639" s="2" t="s">
        <v>3641</v>
      </c>
      <c r="B3639" s="3" t="s">
        <v>2</v>
      </c>
      <c r="C3639" s="2" t="str">
        <f ca="1">IFERROR(__xludf.DUMMYFUNCTION("GOOGLETRANSLATE(A3639,""bn"",""en"")"),"Information about eco-friendly ingredients is somewhat lacking")</f>
        <v>Information about eco-friendly ingredients is somewhat lacking</v>
      </c>
    </row>
    <row r="3640" spans="1:3" ht="15.75" customHeight="1" x14ac:dyDescent="0.25">
      <c r="A3640" s="2" t="s">
        <v>3642</v>
      </c>
      <c r="B3640" s="3" t="s">
        <v>4</v>
      </c>
      <c r="C3640" s="2" t="str">
        <f ca="1">IFERROR(__xludf.DUMMYFUNCTION("GOOGLETRANSLATE(A3640,""bn"",""en"")"),"Very interesting and tasty")</f>
        <v>Very interesting and tasty</v>
      </c>
    </row>
    <row r="3641" spans="1:3" ht="15.75" customHeight="1" x14ac:dyDescent="0.25">
      <c r="A3641" s="2" t="s">
        <v>3643</v>
      </c>
      <c r="B3641" s="3" t="s">
        <v>2</v>
      </c>
      <c r="C3641" s="2" t="str">
        <f ca="1">IFERROR(__xludf.DUMMYFUNCTION("GOOGLETRANSLATE(A3641,""bn"",""en"")"),"Can be washed if dirty after use")</f>
        <v>Can be washed if dirty after use</v>
      </c>
    </row>
    <row r="3642" spans="1:3" ht="15.75" customHeight="1" x14ac:dyDescent="0.25">
      <c r="A3642" s="2" t="s">
        <v>3644</v>
      </c>
      <c r="B3642" s="3" t="s">
        <v>6</v>
      </c>
      <c r="C3642" s="2" t="str">
        <f ca="1">IFERROR(__xludf.DUMMYFUNCTION("GOOGLETRANSLATE(A3642,""bn"",""en"")"),"The blush is highly pigmented resulting in a clown-like look with just one swipe")</f>
        <v>The blush is highly pigmented resulting in a clown-like look with just one swipe</v>
      </c>
    </row>
    <row r="3643" spans="1:3" ht="15.75" customHeight="1" x14ac:dyDescent="0.25">
      <c r="A3643" s="2" t="s">
        <v>3645</v>
      </c>
      <c r="B3643" s="3" t="s">
        <v>2</v>
      </c>
      <c r="C3643" s="2" t="str">
        <f ca="1">IFERROR(__xludf.DUMMYFUNCTION("GOOGLETRANSLATE(A3643,""bn"",""en"")"),"May be useful for parties")</f>
        <v>May be useful for parties</v>
      </c>
    </row>
    <row r="3644" spans="1:3" ht="15.75" customHeight="1" x14ac:dyDescent="0.25">
      <c r="A3644" s="2" t="s">
        <v>3646</v>
      </c>
      <c r="B3644" s="3" t="s">
        <v>4</v>
      </c>
      <c r="C3644" s="2" t="str">
        <f ca="1">IFERROR(__xludf.DUMMYFUNCTION("GOOGLETRANSLATE(A3644,""bn"",""en"")"),"The author's diction is very beautiful")</f>
        <v>The author's diction is very beautiful</v>
      </c>
    </row>
    <row r="3645" spans="1:3" ht="15.75" customHeight="1" x14ac:dyDescent="0.25">
      <c r="A3645" s="2" t="s">
        <v>3647</v>
      </c>
      <c r="B3645" s="3" t="s">
        <v>6</v>
      </c>
      <c r="C3645" s="2" t="str">
        <f ca="1">IFERROR(__xludf.DUMMYFUNCTION("GOOGLETRANSLATE(A3645,""bn"",""en"")"),"A messy affair made pouring dribbling spout")</f>
        <v>A messy affair made pouring dribbling spout</v>
      </c>
    </row>
    <row r="3646" spans="1:3" ht="15.75" customHeight="1" x14ac:dyDescent="0.25">
      <c r="A3646" s="2" t="s">
        <v>3648</v>
      </c>
      <c r="B3646" s="3" t="s">
        <v>2</v>
      </c>
      <c r="C3646" s="2" t="str">
        <f ca="1">IFERROR(__xludf.DUMMYFUNCTION("GOOGLETRANSLATE(A3646,""bn"",""en"")"),"Hope it holds enough water")</f>
        <v>Hope it holds enough water</v>
      </c>
    </row>
    <row r="3647" spans="1:3" ht="15.75" customHeight="1" x14ac:dyDescent="0.25">
      <c r="A3647" s="2" t="s">
        <v>3649</v>
      </c>
      <c r="B3647" s="3" t="s">
        <v>4</v>
      </c>
      <c r="C3647" s="2" t="str">
        <f ca="1">IFERROR(__xludf.DUMMYFUNCTION("GOOGLETRANSLATE(A3647,""bn"",""en"")"),"The cushion fabric is soft and durable")</f>
        <v>The cushion fabric is soft and durable</v>
      </c>
    </row>
    <row r="3648" spans="1:3" ht="15.75" customHeight="1" x14ac:dyDescent="0.25">
      <c r="A3648" s="2" t="s">
        <v>3650</v>
      </c>
      <c r="B3648" s="3" t="s">
        <v>6</v>
      </c>
      <c r="C3648" s="2" t="str">
        <f ca="1">IFERROR(__xludf.DUMMYFUNCTION("GOOGLETRANSLATE(A3648,""bn"",""en"")"),"  The straps are too short to wear comfortably across the body causing strain")</f>
        <v xml:space="preserve">  The straps are too short to wear comfortably across the body causing strain</v>
      </c>
    </row>
    <row r="3649" spans="1:3" ht="15.75" customHeight="1" x14ac:dyDescent="0.25">
      <c r="A3649" s="2" t="s">
        <v>3651</v>
      </c>
      <c r="B3649" s="3" t="s">
        <v>6</v>
      </c>
      <c r="C3649" s="2" t="str">
        <f ca="1">IFERROR(__xludf.DUMMYFUNCTION("GOOGLETRANSLATE(A3649,""bn"",""en"")"),"The paint color was a thin consistency prone to running")</f>
        <v>The paint color was a thin consistency prone to running</v>
      </c>
    </row>
    <row r="3650" spans="1:3" ht="15.75" customHeight="1" x14ac:dyDescent="0.25">
      <c r="A3650" s="2" t="s">
        <v>3652</v>
      </c>
      <c r="B3650" s="3" t="s">
        <v>6</v>
      </c>
      <c r="C3650" s="2" t="str">
        <f ca="1">IFERROR(__xludf.DUMMYFUNCTION("GOOGLETRANSLATE(A3650,""bn"",""en"")"),"The body scrub was too abrasive which caused irritation")</f>
        <v>The body scrub was too abrasive which caused irritation</v>
      </c>
    </row>
    <row r="3651" spans="1:3" ht="15.75" customHeight="1" x14ac:dyDescent="0.25">
      <c r="A3651" s="2" t="s">
        <v>3653</v>
      </c>
      <c r="B3651" s="3" t="s">
        <v>4</v>
      </c>
      <c r="C3651" s="2" t="str">
        <f ca="1">IFERROR(__xludf.DUMMYFUNCTION("GOOGLETRANSLATE(A3651,""bn"",""en"")"),"The girl has a lot of fun while playing with her friends")</f>
        <v>The girl has a lot of fun while playing with her friends</v>
      </c>
    </row>
    <row r="3652" spans="1:3" ht="15.75" customHeight="1" x14ac:dyDescent="0.25">
      <c r="A3652" s="2" t="s">
        <v>3654</v>
      </c>
      <c r="B3652" s="3" t="s">
        <v>6</v>
      </c>
      <c r="C3652" s="2" t="str">
        <f ca="1">IFERROR(__xludf.DUMMYFUNCTION("GOOGLETRANSLATE(A3652,""bn"",""en"")"),"Shampoo strips the natural oils leaving my hair dry and brittle")</f>
        <v>Shampoo strips the natural oils leaving my hair dry and brittle</v>
      </c>
    </row>
    <row r="3653" spans="1:3" ht="15.75" customHeight="1" x14ac:dyDescent="0.25">
      <c r="A3653" s="2" t="s">
        <v>3655</v>
      </c>
      <c r="B3653" s="3" t="s">
        <v>6</v>
      </c>
      <c r="C3653" s="2" t="str">
        <f ca="1">IFERROR(__xludf.DUMMYFUNCTION("GOOGLETRANSLATE(A3653,""bn"",""en"")"),"The camera's user manual is poorly written and lacks comprehensive explanations of features and functions")</f>
        <v>The camera's user manual is poorly written and lacks comprehensive explanations of features and functions</v>
      </c>
    </row>
    <row r="3654" spans="1:3" ht="15.75" customHeight="1" x14ac:dyDescent="0.25">
      <c r="A3654" s="2" t="s">
        <v>3656</v>
      </c>
      <c r="B3654" s="3" t="s">
        <v>2</v>
      </c>
      <c r="C3654" s="2" t="str">
        <f ca="1">IFERROR(__xludf.DUMMYFUNCTION("GOOGLETRANSLATE(A3654,""bn"",""en"")"),"Not bad but not perfect")</f>
        <v>Not bad but not perfect</v>
      </c>
    </row>
    <row r="3655" spans="1:3" ht="15.75" customHeight="1" x14ac:dyDescent="0.25">
      <c r="A3655" s="2" t="s">
        <v>3657</v>
      </c>
      <c r="B3655" s="3" t="s">
        <v>4</v>
      </c>
      <c r="C3655" s="2" t="str">
        <f ca="1">IFERROR(__xludf.DUMMYFUNCTION("GOOGLETRANSLATE(A3655,""bn"",""en"")"),"I have seen my daughter learn responsibility by taking care of dolls")</f>
        <v>I have seen my daughter learn responsibility by taking care of dolls</v>
      </c>
    </row>
    <row r="3656" spans="1:3" ht="15.75" customHeight="1" x14ac:dyDescent="0.25">
      <c r="A3656" s="2" t="s">
        <v>3658</v>
      </c>
      <c r="B3656" s="3" t="s">
        <v>4</v>
      </c>
      <c r="C3656" s="2" t="str">
        <f ca="1">IFERROR(__xludf.DUMMYFUNCTION("GOOGLETRANSLATE(A3656,""bn"",""en"")"),"Apple Air Tag Card Case works")</f>
        <v>Apple Air Tag Card Case works</v>
      </c>
    </row>
    <row r="3657" spans="1:3" ht="15.75" customHeight="1" x14ac:dyDescent="0.25">
      <c r="A3657" s="2" t="s">
        <v>3659</v>
      </c>
      <c r="B3657" s="3" t="s">
        <v>6</v>
      </c>
      <c r="C3657" s="2" t="str">
        <f ca="1">IFERROR(__xludf.DUMMYFUNCTION("GOOGLETRANSLATE(A3657,""bn"",""en"")"),"Lack of cleanliness is a hygiene concern")</f>
        <v>Lack of cleanliness is a hygiene concern</v>
      </c>
    </row>
    <row r="3658" spans="1:3" ht="15.75" customHeight="1" x14ac:dyDescent="0.25">
      <c r="A3658" s="2" t="s">
        <v>3660</v>
      </c>
      <c r="B3658" s="3" t="s">
        <v>2</v>
      </c>
      <c r="C3658" s="2" t="str">
        <f ca="1">IFERROR(__xludf.DUMMYFUNCTION("GOOGLETRANSLATE(A3658,""bn"",""en"")"),"The heat is not too high")</f>
        <v>The heat is not too high</v>
      </c>
    </row>
    <row r="3659" spans="1:3" ht="15.75" customHeight="1" x14ac:dyDescent="0.25">
      <c r="A3659" s="2" t="s">
        <v>3661</v>
      </c>
      <c r="B3659" s="3" t="s">
        <v>6</v>
      </c>
      <c r="C3659" s="2" t="str">
        <f ca="1">IFERROR(__xludf.DUMMYFUNCTION("GOOGLETRANSLATE(A3659,""bn"",""en"")"),"  The wash left a residue on my skin that felt uncomfortable")</f>
        <v xml:space="preserve">  The wash left a residue on my skin that felt uncomfortable</v>
      </c>
    </row>
    <row r="3660" spans="1:3" ht="15.75" customHeight="1" x14ac:dyDescent="0.25">
      <c r="A3660" s="2" t="s">
        <v>3662</v>
      </c>
      <c r="B3660" s="3" t="s">
        <v>4</v>
      </c>
      <c r="C3660" s="2" t="str">
        <f ca="1">IFERROR(__xludf.DUMMYFUNCTION("GOOGLETRANSLATE(A3660,""bn"",""en"")"),"Wall mounting hardware works well")</f>
        <v>Wall mounting hardware works well</v>
      </c>
    </row>
    <row r="3661" spans="1:3" ht="15.75" customHeight="1" x14ac:dyDescent="0.25">
      <c r="A3661" s="2" t="s">
        <v>3663</v>
      </c>
      <c r="B3661" s="3" t="s">
        <v>4</v>
      </c>
      <c r="C3661" s="2" t="str">
        <f ca="1">IFERROR(__xludf.DUMMYFUNCTION("GOOGLETRANSLATE(A3661,""bn"",""en"")"),"The pajama fabric is very soft and comfortable")</f>
        <v>The pajama fabric is very soft and comfortable</v>
      </c>
    </row>
    <row r="3662" spans="1:3" ht="15.75" customHeight="1" x14ac:dyDescent="0.25">
      <c r="A3662" s="2" t="s">
        <v>3664</v>
      </c>
      <c r="B3662" s="3" t="s">
        <v>4</v>
      </c>
      <c r="C3662" s="2" t="str">
        <f ca="1">IFERROR(__xludf.DUMMYFUNCTION("GOOGLETRANSLATE(A3662,""bn"",""en"")"),"Liked it very much high quality")</f>
        <v>Liked it very much high quality</v>
      </c>
    </row>
    <row r="3663" spans="1:3" ht="15.75" customHeight="1" x14ac:dyDescent="0.25">
      <c r="A3663" s="2" t="s">
        <v>3665</v>
      </c>
      <c r="B3663" s="3" t="s">
        <v>4</v>
      </c>
      <c r="C3663" s="2" t="str">
        <f ca="1">IFERROR(__xludf.DUMMYFUNCTION("GOOGLETRANSLATE(A3663,""bn"",""en"")"),"School teachers are always helpful")</f>
        <v>School teachers are always helpful</v>
      </c>
    </row>
    <row r="3664" spans="1:3" ht="15.75" customHeight="1" x14ac:dyDescent="0.25">
      <c r="A3664" s="2" t="s">
        <v>3666</v>
      </c>
      <c r="B3664" s="3" t="s">
        <v>2</v>
      </c>
      <c r="C3664" s="2" t="str">
        <f ca="1">IFERROR(__xludf.DUMMYFUNCTION("GOOGLETRANSLATE(A3664,""bn"",""en"")"),"Quality leather upholstery however is not exceptional")</f>
        <v>Quality leather upholstery however is not exceptional</v>
      </c>
    </row>
    <row r="3665" spans="1:3" ht="15.75" customHeight="1" x14ac:dyDescent="0.25">
      <c r="A3665" s="2" t="s">
        <v>3667</v>
      </c>
      <c r="B3665" s="3" t="s">
        <v>4</v>
      </c>
      <c r="C3665" s="2" t="str">
        <f ca="1">IFERROR(__xludf.DUMMYFUNCTION("GOOGLETRANSLATE(A3665,""bn"",""en"")"),"Bookshelf is very useful for children's room")</f>
        <v>Bookshelf is very useful for children's room</v>
      </c>
    </row>
    <row r="3666" spans="1:3" ht="15.75" customHeight="1" x14ac:dyDescent="0.25">
      <c r="A3666" s="2" t="s">
        <v>3668</v>
      </c>
      <c r="B3666" s="3" t="s">
        <v>4</v>
      </c>
      <c r="C3666" s="2" t="str">
        <f ca="1">IFERROR(__xludf.DUMMYFUNCTION("GOOGLETRANSLATE(A3666,""bn"",""en"")"),"A few days ago when my friends came to my house")</f>
        <v>A few days ago when my friends came to my house</v>
      </c>
    </row>
    <row r="3667" spans="1:3" ht="15.75" customHeight="1" x14ac:dyDescent="0.25">
      <c r="A3667" s="2" t="s">
        <v>3669</v>
      </c>
      <c r="B3667" s="3" t="s">
        <v>4</v>
      </c>
      <c r="C3667" s="2" t="str">
        <f ca="1">IFERROR(__xludf.DUMMYFUNCTION("GOOGLETRANSLATE(A3667,""bn"",""en"")")," Connects fast, audio quality is very good")</f>
        <v xml:space="preserve"> Connects fast, audio quality is very good</v>
      </c>
    </row>
    <row r="3668" spans="1:3" ht="15.75" customHeight="1" x14ac:dyDescent="0.25">
      <c r="A3668" s="2" t="s">
        <v>3670</v>
      </c>
      <c r="B3668" s="3" t="s">
        <v>6</v>
      </c>
      <c r="C3668" s="2" t="str">
        <f ca="1">IFERROR(__xludf.DUMMYFUNCTION("GOOGLETRANSLATE(A3668,""bn"",""en"")")," The turntable motor emits a grinding sound when rotating which indicates a mechanical failure")</f>
        <v xml:space="preserve"> The turntable motor emits a grinding sound when rotating which indicates a mechanical failure</v>
      </c>
    </row>
    <row r="3669" spans="1:3" ht="15.75" customHeight="1" x14ac:dyDescent="0.25">
      <c r="A3669" s="2" t="s">
        <v>3671</v>
      </c>
      <c r="B3669" s="3" t="s">
        <v>6</v>
      </c>
      <c r="C3669" s="2" t="str">
        <f ca="1">IFERROR(__xludf.DUMMYFUNCTION("GOOGLETRANSLATE(A3669,""bn"",""en"")"),"Clothing loses elasticity over time")</f>
        <v>Clothing loses elasticity over time</v>
      </c>
    </row>
    <row r="3670" spans="1:3" ht="15.75" customHeight="1" x14ac:dyDescent="0.25">
      <c r="A3670" s="2" t="s">
        <v>3672</v>
      </c>
      <c r="B3670" s="3" t="s">
        <v>6</v>
      </c>
      <c r="C3670" s="2" t="str">
        <f ca="1">IFERROR(__xludf.DUMMYFUNCTION("GOOGLETRANSLATE(A3670,""bn"",""en"")"),"Makeup remover irritates the skin and leaves a greasy residue")</f>
        <v>Makeup remover irritates the skin and leaves a greasy residue</v>
      </c>
    </row>
    <row r="3671" spans="1:3" ht="15.75" customHeight="1" x14ac:dyDescent="0.25">
      <c r="A3671" s="2" t="s">
        <v>3673</v>
      </c>
      <c r="B3671" s="3" t="s">
        <v>6</v>
      </c>
      <c r="C3671" s="2" t="str">
        <f ca="1">IFERROR(__xludf.DUMMYFUNCTION("GOOGLETRANSLATE(A3671,""bn"",""en"")"),"The lack of a seal on the container casts doubt on its authenticity")</f>
        <v>The lack of a seal on the container casts doubt on its authenticity</v>
      </c>
    </row>
    <row r="3672" spans="1:3" ht="15.75" customHeight="1" x14ac:dyDescent="0.25">
      <c r="A3672" s="2" t="s">
        <v>3674</v>
      </c>
      <c r="B3672" s="3" t="s">
        <v>2</v>
      </c>
      <c r="C3672" s="2" t="str">
        <f ca="1">IFERROR(__xludf.DUMMYFUNCTION("GOOGLETRANSLATE(A3672,""bn"",""en"")"),"The workmanship may or may not be as expected")</f>
        <v>The workmanship may or may not be as expected</v>
      </c>
    </row>
    <row r="3673" spans="1:3" ht="15.75" customHeight="1" x14ac:dyDescent="0.25">
      <c r="A3673" s="2" t="s">
        <v>3675</v>
      </c>
      <c r="B3673" s="3" t="s">
        <v>6</v>
      </c>
      <c r="C3673" s="2" t="str">
        <f ca="1">IFERROR(__xludf.DUMMYFUNCTION("GOOGLETRANSLATE(A3673,""bn"",""en"")"),"The sharp edge burns my lips uncomfortably ")</f>
        <v xml:space="preserve">The sharp edge burns my lips uncomfortably </v>
      </c>
    </row>
    <row r="3674" spans="1:3" ht="15.75" customHeight="1" x14ac:dyDescent="0.25">
      <c r="A3674" s="2" t="s">
        <v>3676</v>
      </c>
      <c r="B3674" s="3" t="s">
        <v>2</v>
      </c>
      <c r="C3674" s="2" t="str">
        <f ca="1">IFERROR(__xludf.DUMMYFUNCTION("GOOGLETRANSLATE(A3674,""bn"",""en"")"),"The selfie stick works but feels a little heavy")</f>
        <v>The selfie stick works but feels a little heavy</v>
      </c>
    </row>
    <row r="3675" spans="1:3" ht="15.75" customHeight="1" x14ac:dyDescent="0.25">
      <c r="A3675" s="2" t="s">
        <v>3677</v>
      </c>
      <c r="B3675" s="3" t="s">
        <v>6</v>
      </c>
      <c r="C3675" s="2" t="str">
        <f ca="1">IFERROR(__xludf.DUMMYFUNCTION("GOOGLETRANSLATE(A3675,""bn"",""en"")"),"Inadequate customer support failed to address my concerns")</f>
        <v>Inadequate customer support failed to address my concerns</v>
      </c>
    </row>
    <row r="3676" spans="1:3" ht="15.75" customHeight="1" x14ac:dyDescent="0.25">
      <c r="A3676" s="2" t="s">
        <v>3678</v>
      </c>
      <c r="B3676" s="3" t="s">
        <v>2</v>
      </c>
      <c r="C3676" s="2" t="str">
        <f ca="1">IFERROR(__xludf.DUMMYFUNCTION("GOOGLETRANSLATE(A3676,""bn"",""en"")"),"The desk organizer keeps things organized but the quality of the plastic is poor")</f>
        <v>The desk organizer keeps things organized but the quality of the plastic is poor</v>
      </c>
    </row>
    <row r="3677" spans="1:3" ht="15.75" customHeight="1" x14ac:dyDescent="0.25">
      <c r="A3677" s="2" t="s">
        <v>3679</v>
      </c>
      <c r="B3677" s="3" t="s">
        <v>6</v>
      </c>
      <c r="C3677" s="2" t="str">
        <f ca="1">IFERROR(__xludf.DUMMYFUNCTION("GOOGLETRANSLATE(A3677,""bn"",""en"")"),"The hair mask promised repair but left my hair feeling frizzy and unmanageable")</f>
        <v>The hair mask promised repair but left my hair feeling frizzy and unmanageable</v>
      </c>
    </row>
    <row r="3678" spans="1:3" ht="15.75" customHeight="1" x14ac:dyDescent="0.25">
      <c r="A3678" s="2" t="s">
        <v>3680</v>
      </c>
      <c r="B3678" s="3" t="s">
        <v>6</v>
      </c>
      <c r="C3678" s="2" t="str">
        <f ca="1">IFERROR(__xludf.DUMMYFUNCTION("GOOGLETRANSLATE(A3678,""bn"",""en"")"),"The deformed bottom caused instability on the flat surface")</f>
        <v>The deformed bottom caused instability on the flat surface</v>
      </c>
    </row>
    <row r="3679" spans="1:3" ht="15.75" customHeight="1" x14ac:dyDescent="0.25">
      <c r="A3679" s="2" t="s">
        <v>3681</v>
      </c>
      <c r="B3679" s="3" t="s">
        <v>2</v>
      </c>
      <c r="C3679" s="2" t="str">
        <f ca="1">IFERROR(__xludf.DUMMYFUNCTION("GOOGLETRANSLATE(A3679,""bn"",""en"")"),"Plastic quality is at average level")</f>
        <v>Plastic quality is at average level</v>
      </c>
    </row>
    <row r="3680" spans="1:3" ht="15.75" customHeight="1" x14ac:dyDescent="0.25">
      <c r="A3680" s="2" t="s">
        <v>3682</v>
      </c>
      <c r="B3680" s="3" t="s">
        <v>6</v>
      </c>
      <c r="C3680" s="2" t="str">
        <f ca="1">IFERROR(__xludf.DUMMYFUNCTION("GOOGLETRANSLATE(A3680,""bn"",""en"")"),"The interior lighting of the wardrobe is dim and inadequate making it challenging to see the items stored inside")</f>
        <v>The interior lighting of the wardrobe is dim and inadequate making it challenging to see the items stored inside</v>
      </c>
    </row>
    <row r="3681" spans="1:3" ht="15.75" customHeight="1" x14ac:dyDescent="0.25">
      <c r="A3681" s="2" t="s">
        <v>3683</v>
      </c>
      <c r="B3681" s="3" t="s">
        <v>2</v>
      </c>
      <c r="C3681" s="2" t="str">
        <f ca="1">IFERROR(__xludf.DUMMYFUNCTION("GOOGLETRANSLATE(A3681,""bn"",""en"")"),"Wireless headphones are pretty much okay")</f>
        <v>Wireless headphones are pretty much okay</v>
      </c>
    </row>
    <row r="3682" spans="1:3" ht="15.75" customHeight="1" x14ac:dyDescent="0.25">
      <c r="A3682" s="2" t="s">
        <v>3684</v>
      </c>
      <c r="B3682" s="3" t="s">
        <v>2</v>
      </c>
      <c r="C3682" s="2" t="str">
        <f ca="1">IFERROR(__xludf.DUMMYFUNCTION("GOOGLETRANSLATE(A3682,""bn"",""en"")"),"Shaking does not make a sound")</f>
        <v>Shaking does not make a sound</v>
      </c>
    </row>
    <row r="3683" spans="1:3" ht="15.75" customHeight="1" x14ac:dyDescent="0.25">
      <c r="A3683" s="2" t="s">
        <v>3685</v>
      </c>
      <c r="B3683" s="3" t="s">
        <v>2</v>
      </c>
      <c r="C3683" s="2" t="str">
        <f ca="1">IFERROR(__xludf.DUMMYFUNCTION("GOOGLETRANSLATE(A3683,""bn"",""en"")"),"Various setting options are available")</f>
        <v>Various setting options are available</v>
      </c>
    </row>
    <row r="3684" spans="1:3" ht="15.75" customHeight="1" x14ac:dyDescent="0.25">
      <c r="A3684" s="2" t="s">
        <v>3686</v>
      </c>
      <c r="B3684" s="3" t="s">
        <v>6</v>
      </c>
      <c r="C3684" s="2" t="str">
        <f ca="1">IFERROR(__xludf.DUMMYFUNCTION("GOOGLETRANSLATE(A3684,""bn"",""en"")"),"Water leaking out of the waterproof phone case can damage the phone")</f>
        <v>Water leaking out of the waterproof phone case can damage the phone</v>
      </c>
    </row>
    <row r="3685" spans="1:3" ht="15.75" customHeight="1" x14ac:dyDescent="0.25">
      <c r="A3685" s="2" t="s">
        <v>3687</v>
      </c>
      <c r="B3685" s="3" t="s">
        <v>4</v>
      </c>
      <c r="C3685" s="2" t="str">
        <f ca="1">IFERROR(__xludf.DUMMYFUNCTION("GOOGLETRANSLATE(A3685,""bn"",""en"")"),"The stories in the new book are very interesting")</f>
        <v>The stories in the new book are very interesting</v>
      </c>
    </row>
    <row r="3686" spans="1:3" ht="15.75" customHeight="1" x14ac:dyDescent="0.25">
      <c r="A3686" s="2" t="s">
        <v>3688</v>
      </c>
      <c r="B3686" s="3" t="s">
        <v>6</v>
      </c>
      <c r="C3686" s="2" t="str">
        <f ca="1">IFERROR(__xludf.DUMMYFUNCTION("GOOGLETRANSLATE(A3686,""bn"",""en"")"),"The lack of weather sealing makes the camera vulnerable to damage in the outdoor environment")</f>
        <v>The lack of weather sealing makes the camera vulnerable to damage in the outdoor environment</v>
      </c>
    </row>
    <row r="3687" spans="1:3" ht="15.75" customHeight="1" x14ac:dyDescent="0.25">
      <c r="A3687" s="2" t="s">
        <v>3689</v>
      </c>
      <c r="B3687" s="3" t="s">
        <v>4</v>
      </c>
      <c r="C3687" s="2" t="str">
        <f ca="1">IFERROR(__xludf.DUMMYFUNCTION("GOOGLETRANSLATE(A3687,""bn"",""en"")"),"In line with new trends")</f>
        <v>In line with new trends</v>
      </c>
    </row>
    <row r="3688" spans="1:3" ht="15.75" customHeight="1" x14ac:dyDescent="0.25">
      <c r="A3688" s="2" t="s">
        <v>3690</v>
      </c>
      <c r="B3688" s="3" t="s">
        <v>4</v>
      </c>
      <c r="C3688" s="2" t="str">
        <f ca="1">IFERROR(__xludf.DUMMYFUNCTION("GOOGLETRANSLATE(A3688,""bn"",""en"")"),"This bedsheet is very easy and comfortable to use")</f>
        <v>This bedsheet is very easy and comfortable to use</v>
      </c>
    </row>
    <row r="3689" spans="1:3" ht="15.75" customHeight="1" x14ac:dyDescent="0.25">
      <c r="A3689" s="2" t="s">
        <v>3691</v>
      </c>
      <c r="B3689" s="3" t="s">
        <v>6</v>
      </c>
      <c r="C3689" s="2" t="str">
        <f ca="1">IFERROR(__xludf.DUMMYFUNCTION("GOOGLETRANSLATE(A3689,""bn"",""en"")"),"The futuristic gadget had all the bells and whistles but fell short on reliability with frequent malfunctions and software bugs.")</f>
        <v>The futuristic gadget had all the bells and whistles but fell short on reliability with frequent malfunctions and software bugs.</v>
      </c>
    </row>
    <row r="3690" spans="1:3" ht="15.75" customHeight="1" x14ac:dyDescent="0.25">
      <c r="A3690" s="2" t="s">
        <v>3692</v>
      </c>
      <c r="B3690" s="3" t="s">
        <v>6</v>
      </c>
      <c r="C3690" s="2" t="str">
        <f ca="1">IFERROR(__xludf.DUMMYFUNCTION("GOOGLETRANSLATE(A3690,""bn"",""en"")"),"The tea had a fishy odor indicating contamination or poor storage conditions")</f>
        <v>The tea had a fishy odor indicating contamination or poor storage conditions</v>
      </c>
    </row>
    <row r="3691" spans="1:3" ht="15.75" customHeight="1" x14ac:dyDescent="0.25">
      <c r="A3691" s="2" t="s">
        <v>3693</v>
      </c>
      <c r="B3691" s="3" t="s">
        <v>6</v>
      </c>
      <c r="C3691" s="2" t="str">
        <f ca="1">IFERROR(__xludf.DUMMYFUNCTION("GOOGLETRANSLATE(A3691,""bn"",""en"")"),"The frozen dinner had a strange artificial flavor and smelled when heated")</f>
        <v>The frozen dinner had a strange artificial flavor and smelled when heated</v>
      </c>
    </row>
    <row r="3692" spans="1:3" ht="15.75" customHeight="1" x14ac:dyDescent="0.25">
      <c r="A3692" s="2" t="s">
        <v>3694</v>
      </c>
      <c r="B3692" s="3" t="s">
        <v>6</v>
      </c>
      <c r="C3692" s="2" t="str">
        <f ca="1">IFERROR(__xludf.DUMMYFUNCTION("GOOGLETRANSLATE(A3692,""bn"",""en"")"),"Hair pomade doesn't hold my hair in place and makes my hair look flat")</f>
        <v>Hair pomade doesn't hold my hair in place and makes my hair look flat</v>
      </c>
    </row>
    <row r="3693" spans="1:3" ht="15.75" customHeight="1" x14ac:dyDescent="0.25">
      <c r="A3693" s="2" t="s">
        <v>3695</v>
      </c>
      <c r="B3693" s="3" t="s">
        <v>2</v>
      </c>
      <c r="C3693" s="2" t="str">
        <f ca="1">IFERROR(__xludf.DUMMYFUNCTION("GOOGLETRANSLATE(A3693,""bn"",""en"")"),"The LED light is very powerful but can get hot after a while ")</f>
        <v xml:space="preserve">The LED light is very powerful but can get hot after a while </v>
      </c>
    </row>
    <row r="3694" spans="1:3" ht="15.75" customHeight="1" x14ac:dyDescent="0.25">
      <c r="A3694" s="2" t="s">
        <v>3696</v>
      </c>
      <c r="B3694" s="3" t="s">
        <v>2</v>
      </c>
      <c r="C3694" s="2" t="str">
        <f ca="1">IFERROR(__xludf.DUMMYFUNCTION("GOOGLETRANSLATE(A3694,""bn"",""en"")"),"It can be said that the price is in line with the quality")</f>
        <v>It can be said that the price is in line with the quality</v>
      </c>
    </row>
    <row r="3695" spans="1:3" ht="15.75" customHeight="1" x14ac:dyDescent="0.25">
      <c r="A3695" s="2" t="s">
        <v>3697</v>
      </c>
      <c r="B3695" s="3" t="s">
        <v>6</v>
      </c>
      <c r="C3695" s="2" t="str">
        <f ca="1">IFERROR(__xludf.DUMMYFUNCTION("GOOGLETRANSLATE(A3695,""bn"",""en"")"),"Avoid this cheaply made overpriced item")</f>
        <v>Avoid this cheaply made overpriced item</v>
      </c>
    </row>
    <row r="3696" spans="1:3" ht="15.75" customHeight="1" x14ac:dyDescent="0.25">
      <c r="A3696" s="2" t="s">
        <v>3698</v>
      </c>
      <c r="B3696" s="3" t="s">
        <v>2</v>
      </c>
      <c r="C3696" s="2" t="str">
        <f ca="1">IFERROR(__xludf.DUMMYFUNCTION("GOOGLETRANSLATE(A3696,""bn"",""en"")"),"It looks decent but lacks innovation in design")</f>
        <v>It looks decent but lacks innovation in design</v>
      </c>
    </row>
    <row r="3697" spans="1:3" ht="15.75" customHeight="1" x14ac:dyDescent="0.25">
      <c r="A3697" s="2" t="s">
        <v>3699</v>
      </c>
      <c r="B3697" s="3" t="s">
        <v>4</v>
      </c>
      <c r="C3697" s="2" t="str">
        <f ca="1">IFERROR(__xludf.DUMMYFUNCTION("GOOGLETRANSLATE(A3697,""bn"",""en"")")," Camera quality is very happy as expected")</f>
        <v xml:space="preserve"> Camera quality is very happy as expected</v>
      </c>
    </row>
    <row r="3698" spans="1:3" ht="15.75" customHeight="1" x14ac:dyDescent="0.25">
      <c r="A3698" s="2" t="s">
        <v>3700</v>
      </c>
      <c r="B3698" s="3" t="s">
        <v>2</v>
      </c>
      <c r="C3698" s="2" t="str">
        <f ca="1">IFERROR(__xludf.DUMMYFUNCTION("GOOGLETRANSLATE(A3698,""bn"",""en"")"),"The clothing is average quality nothing special")</f>
        <v>The clothing is average quality nothing special</v>
      </c>
    </row>
    <row r="3699" spans="1:3" ht="15.75" customHeight="1" x14ac:dyDescent="0.25">
      <c r="A3699" s="2" t="s">
        <v>3701</v>
      </c>
      <c r="B3699" s="3" t="s">
        <v>4</v>
      </c>
      <c r="C3699" s="2" t="str">
        <f ca="1">IFERROR(__xludf.DUMMYFUNCTION("GOOGLETRANSLATE(A3699,""bn"",""en"")"),"Looks pretty good and feels premium in the hand")</f>
        <v>Looks pretty good and feels premium in the hand</v>
      </c>
    </row>
    <row r="3700" spans="1:3" ht="15.75" customHeight="1" x14ac:dyDescent="0.25">
      <c r="A3700" s="2" t="s">
        <v>3702</v>
      </c>
      <c r="B3700" s="3" t="s">
        <v>4</v>
      </c>
      <c r="C3700" s="2" t="str">
        <f ca="1">IFERROR(__xludf.DUMMYFUNCTION("GOOGLETRANSLATE(A3700,""bn"",""en"")"),"The bookshelf fits anywhere")</f>
        <v>The bookshelf fits anywhere</v>
      </c>
    </row>
    <row r="3701" spans="1:3" ht="15.75" customHeight="1" x14ac:dyDescent="0.25">
      <c r="A3701" s="2" t="s">
        <v>3703</v>
      </c>
      <c r="B3701" s="3" t="s">
        <v>2</v>
      </c>
      <c r="C3701" s="2" t="str">
        <f ca="1">IFERROR(__xludf.DUMMYFUNCTION("GOOGLETRANSLATE(A3701,""bn"",""en"")"),"The pocketsize radiation detector measures radiation but has a lower limit")</f>
        <v>The pocketsize radiation detector measures radiation but has a lower limit</v>
      </c>
    </row>
    <row r="3702" spans="1:3" ht="15.75" customHeight="1" x14ac:dyDescent="0.25">
      <c r="A3702" s="2" t="s">
        <v>3704</v>
      </c>
      <c r="B3702" s="3" t="s">
        <v>4</v>
      </c>
      <c r="C3702" s="2" t="str">
        <f ca="1">IFERROR(__xludf.DUMMYFUNCTION("GOOGLETRANSLATE(A3702,""bn"",""en"")"),"The lighting system at the top of the bookcase is very convenient")</f>
        <v>The lighting system at the top of the bookcase is very convenient</v>
      </c>
    </row>
    <row r="3703" spans="1:3" ht="15.75" customHeight="1" x14ac:dyDescent="0.25">
      <c r="A3703" s="2" t="s">
        <v>3705</v>
      </c>
      <c r="B3703" s="3" t="s">
        <v>2</v>
      </c>
      <c r="C3703" s="2" t="str">
        <f ca="1">IFERROR(__xludf.DUMMYFUNCTION("GOOGLETRANSLATE(A3703,""bn"",""en"")"),"The design is old fashioned but has some new elements")</f>
        <v>The design is old fashioned but has some new elements</v>
      </c>
    </row>
    <row r="3704" spans="1:3" ht="15.75" customHeight="1" x14ac:dyDescent="0.25">
      <c r="A3704" s="2" t="s">
        <v>3706</v>
      </c>
      <c r="B3704" s="3" t="s">
        <v>6</v>
      </c>
      <c r="C3704" s="2" t="str">
        <f ca="1">IFERROR(__xludf.DUMMYFUNCTION("GOOGLETRANSLATE(A3704,""bn"",""en"")"),"  The material is not waterproof as claimed which causes the contents to get wet in the rain")</f>
        <v xml:space="preserve">  The material is not waterproof as claimed which causes the contents to get wet in the rain</v>
      </c>
    </row>
    <row r="3705" spans="1:3" ht="15.75" customHeight="1" x14ac:dyDescent="0.25">
      <c r="A3705" s="2" t="s">
        <v>3707</v>
      </c>
      <c r="B3705" s="3" t="s">
        <v>6</v>
      </c>
      <c r="C3705" s="2" t="str">
        <f ca="1">IFERROR(__xludf.DUMMYFUNCTION("GOOGLETRANSLATE(A3705,""bn"",""en"")"),"The painting set does not include enough information on proper brush techniques")</f>
        <v>The painting set does not include enough information on proper brush techniques</v>
      </c>
    </row>
    <row r="3706" spans="1:3" ht="15.75" customHeight="1" x14ac:dyDescent="0.25">
      <c r="A3706" s="2" t="s">
        <v>3708</v>
      </c>
      <c r="B3706" s="3" t="s">
        <v>4</v>
      </c>
      <c r="C3706" s="2" t="str">
        <f ca="1">IFERROR(__xludf.DUMMYFUNCTION("GOOGLETRANSLATE(A3706,""bn"",""en"")"),"The characters are very alive")</f>
        <v>The characters are very alive</v>
      </c>
    </row>
    <row r="3707" spans="1:3" ht="15.75" customHeight="1" x14ac:dyDescent="0.25">
      <c r="A3707" s="2" t="s">
        <v>3709</v>
      </c>
      <c r="B3707" s="3" t="s">
        <v>6</v>
      </c>
      <c r="C3707" s="2" t="str">
        <f ca="1">IFERROR(__xludf.DUMMYFUNCTION("GOOGLETRANSLATE(A3707,""bn"",""en"")"),"The neckline shows too little too much")</f>
        <v>The neckline shows too little too much</v>
      </c>
    </row>
    <row r="3708" spans="1:3" ht="15.75" customHeight="1" x14ac:dyDescent="0.25">
      <c r="A3708" s="2" t="s">
        <v>3710</v>
      </c>
      <c r="B3708" s="3" t="s">
        <v>6</v>
      </c>
      <c r="C3708" s="2" t="str">
        <f ca="1">IFERROR(__xludf.DUMMYFUNCTION("GOOGLETRANSLATE(A3708,""bn"",""en"")"),"The UV sterilizer emits a foul smell while in use which is unpleasant")</f>
        <v>The UV sterilizer emits a foul smell while in use which is unpleasant</v>
      </c>
    </row>
    <row r="3709" spans="1:3" ht="15.75" customHeight="1" x14ac:dyDescent="0.25">
      <c r="A3709" s="2" t="s">
        <v>3711</v>
      </c>
      <c r="B3709" s="3" t="s">
        <v>4</v>
      </c>
      <c r="C3709" s="2" t="str">
        <f ca="1">IFERROR(__xludf.DUMMYFUNCTION("GOOGLETRANSLATE(A3709,""bn"",""en"")"),"The inner material of the pillows is arranged in such a way that they never pile up on one side")</f>
        <v>The inner material of the pillows is arranged in such a way that they never pile up on one side</v>
      </c>
    </row>
    <row r="3710" spans="1:3" ht="15.75" customHeight="1" x14ac:dyDescent="0.25">
      <c r="A3710" s="2" t="s">
        <v>3712</v>
      </c>
      <c r="B3710" s="3" t="s">
        <v>6</v>
      </c>
      <c r="C3710" s="2" t="str">
        <f ca="1">IFERROR(__xludf.DUMMYFUNCTION("GOOGLETRANSLATE(A3710,""bn"",""en"")"),"Fridge door swings too wide hinder movement in narrow kitchens")</f>
        <v>Fridge door swings too wide hinder movement in narrow kitchens</v>
      </c>
    </row>
    <row r="3711" spans="1:3" ht="15.75" customHeight="1" x14ac:dyDescent="0.25">
      <c r="A3711" s="2" t="s">
        <v>3713</v>
      </c>
      <c r="B3711" s="3" t="s">
        <v>4</v>
      </c>
      <c r="C3711" s="2" t="str">
        <f ca="1">IFERROR(__xludf.DUMMYFUNCTION("GOOGLETRANSLATE(A3711,""bn"",""en"")"),"Every time I drink this coffee I feel a new sensation")</f>
        <v>Every time I drink this coffee I feel a new sensation</v>
      </c>
    </row>
    <row r="3712" spans="1:3" ht="15.75" customHeight="1" x14ac:dyDescent="0.25">
      <c r="A3712" s="2" t="s">
        <v>3714</v>
      </c>
      <c r="B3712" s="3" t="s">
        <v>2</v>
      </c>
      <c r="C3712" s="2" t="str">
        <f ca="1">IFERROR(__xludf.DUMMYFUNCTION("GOOGLETRANSLATE(A3712,""bn"",""en"")"),"The electronic facial pore analyzer checks the skin but drains the battery quickly")</f>
        <v>The electronic facial pore analyzer checks the skin but drains the battery quickly</v>
      </c>
    </row>
    <row r="3713" spans="1:3" ht="15.75" customHeight="1" x14ac:dyDescent="0.25">
      <c r="A3713" s="2" t="s">
        <v>3715</v>
      </c>
      <c r="B3713" s="3" t="s">
        <v>4</v>
      </c>
      <c r="C3713" s="2" t="str">
        <f ca="1">IFERROR(__xludf.DUMMYFUNCTION("GOOGLETRANSLATE(A3713,""bn"",""en"")"),"It melts in the mouth but is also smooth and fun to chew")</f>
        <v>It melts in the mouth but is also smooth and fun to chew</v>
      </c>
    </row>
    <row r="3714" spans="1:3" ht="15.75" customHeight="1" x14ac:dyDescent="0.25">
      <c r="A3714" s="2" t="s">
        <v>3716</v>
      </c>
      <c r="B3714" s="3" t="s">
        <v>4</v>
      </c>
      <c r="C3714" s="2" t="str">
        <f ca="1">IFERROR(__xludf.DUMMYFUNCTION("GOOGLETRANSLATE(A3714,""bn"",""en"")"),"Each product in the kit provides a smooth finish")</f>
        <v>Each product in the kit provides a smooth finish</v>
      </c>
    </row>
    <row r="3715" spans="1:3" ht="15.75" customHeight="1" x14ac:dyDescent="0.25">
      <c r="A3715" s="2" t="s">
        <v>3717</v>
      </c>
      <c r="B3715" s="3" t="s">
        <v>4</v>
      </c>
      <c r="C3715" s="2" t="str">
        <f ca="1">IFERROR(__xludf.DUMMYFUNCTION("GOOGLETRANSLATE(A3715,""bn"",""en"")"),"This body wash enhances the natural beauty of the skin")</f>
        <v>This body wash enhances the natural beauty of the skin</v>
      </c>
    </row>
    <row r="3716" spans="1:3" ht="15.75" customHeight="1" x14ac:dyDescent="0.25">
      <c r="A3716" s="2" t="s">
        <v>3718</v>
      </c>
      <c r="B3716" s="3" t="s">
        <v>4</v>
      </c>
      <c r="C3716" s="2" t="str">
        <f ca="1">IFERROR(__xludf.DUMMYFUNCTION("GOOGLETRANSLATE(A3716,""bn"",""en"")"),"Low vibration is also very clearly felt which is not found in other speakers")</f>
        <v>Low vibration is also very clearly felt which is not found in other speakers</v>
      </c>
    </row>
    <row r="3717" spans="1:3" ht="15.75" customHeight="1" x14ac:dyDescent="0.25">
      <c r="A3717" s="2" t="s">
        <v>3719</v>
      </c>
      <c r="B3717" s="3" t="s">
        <v>4</v>
      </c>
      <c r="C3717" s="2" t="str">
        <f ca="1">IFERROR(__xludf.DUMMYFUNCTION("GOOGLETRANSLATE(A3717,""bn"",""en"")"),"It enhances the quality of makeup products")</f>
        <v>It enhances the quality of makeup products</v>
      </c>
    </row>
    <row r="3718" spans="1:3" ht="15.75" customHeight="1" x14ac:dyDescent="0.25">
      <c r="A3718" s="2" t="s">
        <v>3720</v>
      </c>
      <c r="B3718" s="3" t="s">
        <v>6</v>
      </c>
      <c r="C3718" s="2" t="str">
        <f ca="1">IFERROR(__xludf.DUMMYFUNCTION("GOOGLETRANSLATE(A3718,""bn"",""en"")"),"The canvas had visible creases and folds")</f>
        <v>The canvas had visible creases and folds</v>
      </c>
    </row>
    <row r="3719" spans="1:3" ht="15.75" customHeight="1" x14ac:dyDescent="0.25">
      <c r="A3719" s="2" t="s">
        <v>3721</v>
      </c>
      <c r="B3719" s="3" t="s">
        <v>2</v>
      </c>
      <c r="C3719" s="2" t="str">
        <f ca="1">IFERROR(__xludf.DUMMYFUNCTION("GOOGLETRANSLATE(A3719,""bn"",""en"")"),"Excessive rubbing can cause the screen to become stained")</f>
        <v>Excessive rubbing can cause the screen to become stained</v>
      </c>
    </row>
    <row r="3720" spans="1:3" ht="15.75" customHeight="1" x14ac:dyDescent="0.25">
      <c r="A3720" s="2" t="s">
        <v>3722</v>
      </c>
      <c r="B3720" s="3" t="s">
        <v>4</v>
      </c>
      <c r="C3720" s="2" t="str">
        <f ca="1">IFERROR(__xludf.DUMMYFUNCTION("GOOGLETRANSLATE(A3720,""bn"",""en"")"),"The instruction manual that came with the bookcase was very straightforward")</f>
        <v>The instruction manual that came with the bookcase was very straightforward</v>
      </c>
    </row>
    <row r="3721" spans="1:3" ht="15.75" customHeight="1" x14ac:dyDescent="0.25">
      <c r="A3721" s="2" t="s">
        <v>3723</v>
      </c>
      <c r="B3721" s="3" t="s">
        <v>2</v>
      </c>
      <c r="C3721" s="2" t="str">
        <f ca="1">IFERROR(__xludf.DUMMYFUNCTION("GOOGLETRANSLATE(A3721,""bn"",""en"")"),"It could have been better")</f>
        <v>It could have been better</v>
      </c>
    </row>
    <row r="3722" spans="1:3" ht="15.75" customHeight="1" x14ac:dyDescent="0.25">
      <c r="A3722" s="2" t="s">
        <v>3724</v>
      </c>
      <c r="B3722" s="3" t="s">
        <v>4</v>
      </c>
      <c r="C3722" s="2" t="str">
        <f ca="1">IFERROR(__xludf.DUMMYFUNCTION("GOOGLETRANSLATE(A3722,""bn"",""en"")"),"Excellent shipping ")</f>
        <v xml:space="preserve">Excellent shipping </v>
      </c>
    </row>
    <row r="3723" spans="1:3" ht="15.75" customHeight="1" x14ac:dyDescent="0.25">
      <c r="A3723" s="2" t="s">
        <v>3725</v>
      </c>
      <c r="B3723" s="3" t="s">
        <v>6</v>
      </c>
      <c r="C3723" s="2" t="str">
        <f ca="1">IFERROR(__xludf.DUMMYFUNCTION("GOOGLETRANSLATE(A3723,""bn"",""en"")"),"The cups had a sharp texture suggesting poor quality clay")</f>
        <v>The cups had a sharp texture suggesting poor quality clay</v>
      </c>
    </row>
    <row r="3724" spans="1:3" ht="15.75" customHeight="1" x14ac:dyDescent="0.25">
      <c r="A3724" s="2" t="s">
        <v>3726</v>
      </c>
      <c r="B3724" s="3" t="s">
        <v>6</v>
      </c>
      <c r="C3724" s="2" t="str">
        <f ca="1">IFERROR(__xludf.DUMMYFUNCTION("GOOGLETRANSLATE(A3724,""bn"",""en"")"),"  The fog was a malfunctioning sprayer that squirted everywhere")</f>
        <v xml:space="preserve">  The fog was a malfunctioning sprayer that squirted everywhere</v>
      </c>
    </row>
    <row r="3725" spans="1:3" ht="15.75" customHeight="1" x14ac:dyDescent="0.25">
      <c r="A3725" s="2" t="s">
        <v>3727</v>
      </c>
      <c r="B3725" s="3" t="s">
        <v>2</v>
      </c>
      <c r="C3725" s="2" t="str">
        <f ca="1">IFERROR(__xludf.DUMMYFUNCTION("GOOGLETRANSLATE(A3725,""bn"",""en"")"),"Can be attached with a magnet but the hold is not very strong")</f>
        <v>Can be attached with a magnet but the hold is not very strong</v>
      </c>
    </row>
    <row r="3726" spans="1:3" ht="15.75" customHeight="1" x14ac:dyDescent="0.25">
      <c r="A3726" s="2" t="s">
        <v>3728</v>
      </c>
      <c r="B3726" s="3" t="s">
        <v>6</v>
      </c>
      <c r="C3726" s="2" t="str">
        <f ca="1">IFERROR(__xludf.DUMMYFUNCTION("GOOGLETRANSLATE(A3726,""bn"",""en"")"),"Product color fades quickly looking dull and worn")</f>
        <v>Product color fades quickly looking dull and worn</v>
      </c>
    </row>
    <row r="3727" spans="1:3" ht="15.75" customHeight="1" x14ac:dyDescent="0.25">
      <c r="A3727" s="2" t="s">
        <v>3729</v>
      </c>
      <c r="B3727" s="3" t="s">
        <v>6</v>
      </c>
      <c r="C3727" s="2" t="str">
        <f ca="1">IFERROR(__xludf.DUMMYFUNCTION("GOOGLETRANSLATE(A3727,""bn"",""en"")"),"The fridge sometimes makes loud noises and disturbs the peace of the house")</f>
        <v>The fridge sometimes makes loud noises and disturbs the peace of the house</v>
      </c>
    </row>
    <row r="3728" spans="1:3" ht="15.75" customHeight="1" x14ac:dyDescent="0.25">
      <c r="A3728" s="2" t="s">
        <v>3730</v>
      </c>
      <c r="B3728" s="3" t="s">
        <v>4</v>
      </c>
      <c r="C3728" s="2" t="str">
        <f ca="1">IFERROR(__xludf.DUMMYFUNCTION("GOOGLETRANSLATE(A3728,""bn"",""en"")"),"The child is very happy to get the new toy")</f>
        <v>The child is very happy to get the new toy</v>
      </c>
    </row>
    <row r="3729" spans="1:3" ht="15.75" customHeight="1" x14ac:dyDescent="0.25">
      <c r="A3729" s="2" t="s">
        <v>3731</v>
      </c>
      <c r="B3729" s="3" t="s">
        <v>6</v>
      </c>
      <c r="C3729" s="2" t="str">
        <f ca="1">IFERROR(__xludf.DUMMYFUNCTION("GOOGLETRANSLATE(A3729,""bn"",""en"")"),"The tea had a chemical smell that suggested contamination or improper processing")</f>
        <v>The tea had a chemical smell that suggested contamination or improper processing</v>
      </c>
    </row>
    <row r="3730" spans="1:3" ht="15.75" customHeight="1" x14ac:dyDescent="0.25">
      <c r="A3730" s="2" t="s">
        <v>3732</v>
      </c>
      <c r="B3730" s="3" t="s">
        <v>2</v>
      </c>
      <c r="C3730" s="2" t="str">
        <f ca="1">IFERROR(__xludf.DUMMYFUNCTION("GOOGLETRANSLATE(A3730,""bn"",""en"")"),"Quality is average level and price is reasonable")</f>
        <v>Quality is average level and price is reasonable</v>
      </c>
    </row>
    <row r="3731" spans="1:3" ht="15.75" customHeight="1" x14ac:dyDescent="0.25">
      <c r="A3731" s="2" t="s">
        <v>3733</v>
      </c>
      <c r="B3731" s="3" t="s">
        <v>2</v>
      </c>
      <c r="C3731" s="2" t="str">
        <f ca="1">IFERROR(__xludf.DUMMYFUNCTION("GOOGLETRANSLATE(A3731,""bn"",""en"")"),"Should be shaken after use")</f>
        <v>Should be shaken after use</v>
      </c>
    </row>
    <row r="3732" spans="1:3" ht="15.75" customHeight="1" x14ac:dyDescent="0.25">
      <c r="A3732" s="2" t="s">
        <v>3734</v>
      </c>
      <c r="B3732" s="3" t="s">
        <v>4</v>
      </c>
      <c r="C3732" s="2" t="str">
        <f ca="1">IFERROR(__xludf.DUMMYFUNCTION("GOOGLETRANSLATE(A3732,""bn"",""en"")"),"Can be taken with food or on an empty stomach ")</f>
        <v xml:space="preserve">Can be taken with food or on an empty stomach </v>
      </c>
    </row>
    <row r="3733" spans="1:3" ht="15.75" customHeight="1" x14ac:dyDescent="0.25">
      <c r="A3733" s="2" t="s">
        <v>3735</v>
      </c>
      <c r="B3733" s="3" t="s">
        <v>4</v>
      </c>
      <c r="C3733" s="2" t="str">
        <f ca="1">IFERROR(__xludf.DUMMYFUNCTION("GOOGLETRANSLATE(A3733,""bn"",""en"")"),"The soap keeps the skin taut")</f>
        <v>The soap keeps the skin taut</v>
      </c>
    </row>
    <row r="3734" spans="1:3" ht="15.75" customHeight="1" x14ac:dyDescent="0.25">
      <c r="A3734" s="2" t="s">
        <v>3736</v>
      </c>
      <c r="B3734" s="3" t="s">
        <v>4</v>
      </c>
      <c r="C3734" s="2" t="str">
        <f ca="1">IFERROR(__xludf.DUMMYFUNCTION("GOOGLETRANSLATE(A3734,""bn"",""en"")"),"The sheet is very durable and the color and fabric quality remain intact even after prolonged regular use")</f>
        <v>The sheet is very durable and the color and fabric quality remain intact even after prolonged regular use</v>
      </c>
    </row>
    <row r="3735" spans="1:3" ht="15.75" customHeight="1" x14ac:dyDescent="0.25">
      <c r="A3735" s="2" t="s">
        <v>3737</v>
      </c>
      <c r="B3735" s="3" t="s">
        <v>6</v>
      </c>
      <c r="C3735" s="2" t="str">
        <f ca="1">IFERROR(__xludf.DUMMYFUNCTION("GOOGLETRANSLATE(A3735,""bn"",""en"")"),"The dress had a large stain on the front which was not mentioned in the product description")</f>
        <v>The dress had a large stain on the front which was not mentioned in the product description</v>
      </c>
    </row>
    <row r="3736" spans="1:3" ht="15.75" customHeight="1" x14ac:dyDescent="0.25">
      <c r="A3736" s="2" t="s">
        <v>3738</v>
      </c>
      <c r="B3736" s="3" t="s">
        <v>2</v>
      </c>
      <c r="C3736" s="2" t="str">
        <f ca="1">IFERROR(__xludf.DUMMYFUNCTION("GOOGLETRANSLATE(A3736,""bn"",""en"")"),"Use with chemicals should be avoided")</f>
        <v>Use with chemicals should be avoided</v>
      </c>
    </row>
    <row r="3737" spans="1:3" ht="15.75" customHeight="1" x14ac:dyDescent="0.25">
      <c r="A3737" s="2" t="s">
        <v>3739</v>
      </c>
      <c r="B3737" s="3" t="s">
        <v>2</v>
      </c>
      <c r="C3737" s="2" t="str">
        <f ca="1">IFERROR(__xludf.DUMMYFUNCTION("GOOGLETRANSLATE(A3737,""bn"",""en"")"),"Helps the child learn language but has a limited vocabulary")</f>
        <v>Helps the child learn language but has a limited vocabulary</v>
      </c>
    </row>
    <row r="3738" spans="1:3" ht="15.75" customHeight="1" x14ac:dyDescent="0.25">
      <c r="A3738" s="2" t="s">
        <v>3740</v>
      </c>
      <c r="B3738" s="3" t="s">
        <v>2</v>
      </c>
      <c r="C3738" s="2" t="str">
        <f ca="1">IFERROR(__xludf.DUMMYFUNCTION("GOOGLETRANSLATE(A3738,""bn"",""en"")"),"Many show colors")</f>
        <v>Many show colors</v>
      </c>
    </row>
    <row r="3739" spans="1:3" ht="15.75" customHeight="1" x14ac:dyDescent="0.25">
      <c r="A3739" s="2" t="s">
        <v>3741</v>
      </c>
      <c r="B3739" s="3" t="s">
        <v>4</v>
      </c>
      <c r="C3739" s="2" t="str">
        <f ca="1">IFERROR(__xludf.DUMMYFUNCTION("GOOGLETRANSLATE(A3739,""bn"",""en"")"),"Honey can be used in various cuisines")</f>
        <v>Honey can be used in various cuisines</v>
      </c>
    </row>
    <row r="3740" spans="1:3" ht="15.75" customHeight="1" x14ac:dyDescent="0.25">
      <c r="A3740" s="2" t="s">
        <v>3742</v>
      </c>
      <c r="B3740" s="3" t="s">
        <v>4</v>
      </c>
      <c r="C3740" s="2" t="str">
        <f ca="1">IFERROR(__xludf.DUMMYFUNCTION("GOOGLETRANSLATE(A3740,""bn"",""en"")"),"The smell of wood in the closet created a cozy atmosphere in my room")</f>
        <v>The smell of wood in the closet created a cozy atmosphere in my room</v>
      </c>
    </row>
    <row r="3741" spans="1:3" ht="15.75" customHeight="1" x14ac:dyDescent="0.25">
      <c r="A3741" s="2" t="s">
        <v>3743</v>
      </c>
      <c r="B3741" s="3" t="s">
        <v>4</v>
      </c>
      <c r="C3741" s="2" t="str">
        <f ca="1">IFERROR(__xludf.DUMMYFUNCTION("GOOGLETRANSLATE(A3741,""bn"",""en"")"),"Each level of the shelf is extremely easy to clean")</f>
        <v>Each level of the shelf is extremely easy to clean</v>
      </c>
    </row>
    <row r="3742" spans="1:3" ht="15.75" customHeight="1" x14ac:dyDescent="0.25">
      <c r="A3742" s="2" t="s">
        <v>3744</v>
      </c>
      <c r="B3742" s="3" t="s">
        <v>4</v>
      </c>
      <c r="C3742" s="2" t="str">
        <f ca="1">IFERROR(__xludf.DUMMYFUNCTION("GOOGLETRANSLATE(A3742,""bn"",""en"")"),"The meaning of tea is understood by the skilled tea expert behind it")</f>
        <v>The meaning of tea is understood by the skilled tea expert behind it</v>
      </c>
    </row>
    <row r="3743" spans="1:3" ht="15.75" customHeight="1" x14ac:dyDescent="0.25">
      <c r="A3743" s="2" t="s">
        <v>3745</v>
      </c>
      <c r="B3743" s="3" t="s">
        <v>4</v>
      </c>
      <c r="C3743" s="2" t="str">
        <f ca="1">IFERROR(__xludf.DUMMYFUNCTION("GOOGLETRANSLATE(A3743,""bn"",""en"")"),"Using a makeup brush boosts confidence")</f>
        <v>Using a makeup brush boosts confidence</v>
      </c>
    </row>
    <row r="3744" spans="1:3" ht="15.75" customHeight="1" x14ac:dyDescent="0.25">
      <c r="A3744" s="2" t="s">
        <v>3746</v>
      </c>
      <c r="B3744" s="3" t="s">
        <v>6</v>
      </c>
      <c r="C3744" s="2" t="str">
        <f ca="1">IFERROR(__xludf.DUMMYFUNCTION("GOOGLETRANSLATE(A3744,""bn"",""en"")"),"not perfect")</f>
        <v>not perfect</v>
      </c>
    </row>
    <row r="3745" spans="1:3" ht="15.75" customHeight="1" x14ac:dyDescent="0.25">
      <c r="A3745" s="2" t="s">
        <v>3747</v>
      </c>
      <c r="B3745" s="3" t="s">
        <v>6</v>
      </c>
      <c r="C3745" s="2" t="str">
        <f ca="1">IFERROR(__xludf.DUMMYFUNCTION("GOOGLETRANSLATE(A3745,""bn"",""en"")")," The stand had sharp edges that posed a risk of injury to children and pets")</f>
        <v xml:space="preserve"> The stand had sharp edges that posed a risk of injury to children and pets</v>
      </c>
    </row>
    <row r="3746" spans="1:3" ht="15.75" customHeight="1" x14ac:dyDescent="0.25">
      <c r="A3746" s="2" t="s">
        <v>3748</v>
      </c>
      <c r="B3746" s="3" t="s">
        <v>4</v>
      </c>
      <c r="C3746" s="2" t="str">
        <f ca="1">IFERROR(__xludf.DUMMYFUNCTION("GOOGLETRANSLATE(A3746,""bn"",""en"")"),"I will definitely buy again")</f>
        <v>I will definitely buy again</v>
      </c>
    </row>
    <row r="3747" spans="1:3" ht="15.75" customHeight="1" x14ac:dyDescent="0.25">
      <c r="A3747" s="2" t="s">
        <v>3749</v>
      </c>
      <c r="B3747" s="3" t="s">
        <v>6</v>
      </c>
      <c r="C3747" s="2" t="str">
        <f ca="1">IFERROR(__xludf.DUMMYFUNCTION("GOOGLETRANSLATE(A3747,""bn"",""en"")"),"Cordless phone reception is poor with frequent dropped calls")</f>
        <v>Cordless phone reception is poor with frequent dropped calls</v>
      </c>
    </row>
    <row r="3748" spans="1:3" ht="15.75" customHeight="1" x14ac:dyDescent="0.25">
      <c r="A3748" s="2" t="s">
        <v>3750</v>
      </c>
      <c r="B3748" s="3" t="s">
        <v>2</v>
      </c>
      <c r="C3748" s="2" t="str">
        <f ca="1">IFERROR(__xludf.DUMMYFUNCTION("GOOGLETRANSLATE(A3748,""bn"",""en"")"),"Each bag is wrapped in a separate foil packet")</f>
        <v>Each bag is wrapped in a separate foil packet</v>
      </c>
    </row>
    <row r="3749" spans="1:3" ht="15.75" customHeight="1" x14ac:dyDescent="0.25">
      <c r="A3749" s="2" t="s">
        <v>3751</v>
      </c>
      <c r="B3749" s="3" t="s">
        <v>2</v>
      </c>
      <c r="C3749" s="2" t="str">
        <f ca="1">IFERROR(__xludf.DUMMYFUNCTION("GOOGLETRANSLATE(A3749,""bn"",""en"")"),"Various animal noises are made but not all are clear")</f>
        <v>Various animal noises are made but not all are clear</v>
      </c>
    </row>
    <row r="3750" spans="1:3" ht="15.75" customHeight="1" x14ac:dyDescent="0.25">
      <c r="A3750" s="2" t="s">
        <v>3752</v>
      </c>
      <c r="B3750" s="3" t="s">
        <v>6</v>
      </c>
      <c r="C3750" s="2" t="str">
        <f ca="1">IFERROR(__xludf.DUMMYFUNCTION("GOOGLETRANSLATE(A3750,""bn"",""en"")"),"Frustrated by sizing errors that result in not fitting")</f>
        <v>Frustrated by sizing errors that result in not fitting</v>
      </c>
    </row>
    <row r="3751" spans="1:3" ht="15.75" customHeight="1" x14ac:dyDescent="0.25">
      <c r="A3751" s="2" t="s">
        <v>3753</v>
      </c>
      <c r="B3751" s="3" t="s">
        <v>6</v>
      </c>
      <c r="C3751" s="2" t="str">
        <f ca="1">IFERROR(__xludf.DUMMYFUNCTION("GOOGLETRANSLATE(A3751,""bn"",""en"")"),"Electric razor blades rust after exposure to moisture, affecting performance")</f>
        <v>Electric razor blades rust after exposure to moisture, affecting performance</v>
      </c>
    </row>
    <row r="3752" spans="1:3" ht="15.75" customHeight="1" x14ac:dyDescent="0.25">
      <c r="A3752" s="2" t="s">
        <v>3754</v>
      </c>
      <c r="B3752" s="3" t="s">
        <v>6</v>
      </c>
      <c r="C3752" s="2" t="str">
        <f ca="1">IFERROR(__xludf.DUMMYFUNCTION("GOOGLETRANSLATE(A3752,""bn"",""en"")"),"Freezer temperature settings are not correct resulting in frozen items in the freezer compartment")</f>
        <v>Freezer temperature settings are not correct resulting in frozen items in the freezer compartment</v>
      </c>
    </row>
    <row r="3753" spans="1:3" ht="15.75" customHeight="1" x14ac:dyDescent="0.25">
      <c r="A3753" s="2" t="s">
        <v>3755</v>
      </c>
      <c r="B3753" s="3" t="s">
        <v>6</v>
      </c>
      <c r="C3753" s="2" t="str">
        <f ca="1">IFERROR(__xludf.DUMMYFUNCTION("GOOGLETRANSLATE(A3753,""bn"",""en"")"),"The fridge came with a broken glass shelf that needed replacing")</f>
        <v>The fridge came with a broken glass shelf that needed replacing</v>
      </c>
    </row>
    <row r="3754" spans="1:3" ht="15.75" customHeight="1" x14ac:dyDescent="0.25">
      <c r="A3754" s="2" t="s">
        <v>3756</v>
      </c>
      <c r="B3754" s="3" t="s">
        <v>6</v>
      </c>
      <c r="C3754" s="2" t="str">
        <f ca="1">IFERROR(__xludf.DUMMYFUNCTION("GOOGLETRANSLATE(A3754,""bn"",""en"")"),"Water spills on the electric kettle and makes a mess on the countertop")</f>
        <v>Water spills on the electric kettle and makes a mess on the countertop</v>
      </c>
    </row>
    <row r="3755" spans="1:3" ht="15.75" customHeight="1" x14ac:dyDescent="0.25">
      <c r="A3755" s="2" t="s">
        <v>3757</v>
      </c>
      <c r="B3755" s="3" t="s">
        <v>6</v>
      </c>
      <c r="C3755" s="2" t="str">
        <f ca="1">IFERROR(__xludf.DUMMYFUNCTION("GOOGLETRANSLATE(A3755,""bn"",""en"")"),"Electric scooter handlebar grips are slippery and hard to hold securely")</f>
        <v>Electric scooter handlebar grips are slippery and hard to hold securely</v>
      </c>
    </row>
    <row r="3756" spans="1:3" ht="15.75" customHeight="1" x14ac:dyDescent="0.25">
      <c r="A3756" s="2" t="s">
        <v>3758</v>
      </c>
      <c r="B3756" s="3" t="s">
        <v>4</v>
      </c>
      <c r="C3756" s="2" t="str">
        <f ca="1">IFERROR(__xludf.DUMMYFUNCTION("GOOGLETRANSLATE(A3756,""bn"",""en"")"),"Precious from Phoenix")</f>
        <v>Precious from Phoenix</v>
      </c>
    </row>
    <row r="3757" spans="1:3" ht="15.75" customHeight="1" x14ac:dyDescent="0.25">
      <c r="A3757" s="2" t="s">
        <v>3759</v>
      </c>
      <c r="B3757" s="3" t="s">
        <v>4</v>
      </c>
      <c r="C3757" s="2" t="str">
        <f ca="1">IFERROR(__xludf.DUMMYFUNCTION("GOOGLETRANSLATE(A3757,""bn"",""en"")"),"Reminiscent of old memories as it lingers")</f>
        <v>Reminiscent of old memories as it lingers</v>
      </c>
    </row>
    <row r="3758" spans="1:3" ht="15.75" customHeight="1" x14ac:dyDescent="0.25">
      <c r="A3758" s="2" t="s">
        <v>3760</v>
      </c>
      <c r="B3758" s="3" t="s">
        <v>6</v>
      </c>
      <c r="C3758" s="2" t="str">
        <f ca="1">IFERROR(__xludf.DUMMYFUNCTION("GOOGLETRANSLATE(A3758,""bn"",""en"")"),"  The mask had a weird smell that I didn't like")</f>
        <v xml:space="preserve">  The mask had a weird smell that I didn't like</v>
      </c>
    </row>
    <row r="3759" spans="1:3" ht="15.75" customHeight="1" x14ac:dyDescent="0.25">
      <c r="A3759" s="2" t="s">
        <v>3761</v>
      </c>
      <c r="B3759" s="3" t="s">
        <v>4</v>
      </c>
      <c r="C3759" s="2" t="str">
        <f ca="1">IFERROR(__xludf.DUMMYFUNCTION("GOOGLETRANSLATE(A3759,""bn"",""en"")"),"The dress is very affordable")</f>
        <v>The dress is very affordable</v>
      </c>
    </row>
    <row r="3760" spans="1:3" ht="15.75" customHeight="1" x14ac:dyDescent="0.25">
      <c r="A3760" s="2" t="s">
        <v>3762</v>
      </c>
      <c r="B3760" s="3" t="s">
        <v>6</v>
      </c>
      <c r="C3760" s="2" t="str">
        <f ca="1">IFERROR(__xludf.DUMMYFUNCTION("GOOGLETRANSLATE(A3760,""bn"",""en"")"),"Hair oil makes my hair look greasy and attracts dirt and dust")</f>
        <v>Hair oil makes my hair look greasy and attracts dirt and dust</v>
      </c>
    </row>
    <row r="3761" spans="1:3" ht="15.75" customHeight="1" x14ac:dyDescent="0.25">
      <c r="A3761" s="2" t="s">
        <v>3763</v>
      </c>
      <c r="B3761" s="3" t="s">
        <v>2</v>
      </c>
      <c r="C3761" s="2" t="str">
        <f ca="1">IFERROR(__xludf.DUMMYFUNCTION("GOOGLETRANSLATE(A3761,""bn"",""en"")"),"Wireless and convenient but can have occasional connection issues")</f>
        <v>Wireless and convenient but can have occasional connection issues</v>
      </c>
    </row>
    <row r="3762" spans="1:3" ht="15.75" customHeight="1" x14ac:dyDescent="0.25">
      <c r="A3762" s="2" t="s">
        <v>3764</v>
      </c>
      <c r="B3762" s="3" t="s">
        <v>2</v>
      </c>
      <c r="C3762" s="2" t="str">
        <f ca="1">IFERROR(__xludf.DUMMYFUNCTION("GOOGLETRANSLATE(A3762,""bn"",""en"")"),"The humidity of the room should be maintained")</f>
        <v>The humidity of the room should be maintained</v>
      </c>
    </row>
    <row r="3763" spans="1:3" ht="15.75" customHeight="1" x14ac:dyDescent="0.25">
      <c r="A3763" s="2" t="s">
        <v>3765</v>
      </c>
      <c r="B3763" s="3" t="s">
        <v>2</v>
      </c>
      <c r="C3763" s="2" t="str">
        <f ca="1">IFERROR(__xludf.DUMMYFUNCTION("GOOGLETRANSLATE(A3763,""bn"",""en"")"),"Anything without smell is unintelligible")</f>
        <v>Anything without smell is unintelligible</v>
      </c>
    </row>
    <row r="3764" spans="1:3" ht="15.75" customHeight="1" x14ac:dyDescent="0.25">
      <c r="A3764" s="2" t="s">
        <v>3766</v>
      </c>
      <c r="B3764" s="3" t="s">
        <v>4</v>
      </c>
      <c r="C3764" s="2" t="str">
        <f ca="1">IFERROR(__xludf.DUMMYFUNCTION("GOOGLETRANSLATE(A3764,""bn"",""en"")"),"Nice camera")</f>
        <v>Nice camera</v>
      </c>
    </row>
    <row r="3765" spans="1:3" ht="15.75" customHeight="1" x14ac:dyDescent="0.25">
      <c r="A3765" s="2" t="s">
        <v>3767</v>
      </c>
      <c r="B3765" s="3" t="s">
        <v>4</v>
      </c>
      <c r="C3765" s="2" t="str">
        <f ca="1">IFERROR(__xludf.DUMMYFUNCTION("GOOGLETRANSLATE(A3765,""bn"",""en"")"),"The child has a lot of fun with his toys")</f>
        <v>The child has a lot of fun with his toys</v>
      </c>
    </row>
    <row r="3766" spans="1:3" ht="15.75" customHeight="1" x14ac:dyDescent="0.25">
      <c r="A3766" s="2" t="s">
        <v>3768</v>
      </c>
      <c r="B3766" s="3" t="s">
        <v>4</v>
      </c>
      <c r="C3766" s="2" t="str">
        <f ca="1">IFERROR(__xludf.DUMMYFUNCTION("GOOGLETRANSLATE(A3766,""bn"",""en"")"),"Our office always has a good working environment")</f>
        <v>Our office always has a good working environment</v>
      </c>
    </row>
    <row r="3767" spans="1:3" ht="15.75" customHeight="1" x14ac:dyDescent="0.25">
      <c r="A3767" s="2" t="s">
        <v>3769</v>
      </c>
      <c r="B3767" s="3" t="s">
        <v>6</v>
      </c>
      <c r="C3767" s="2" t="str">
        <f ca="1">IFERROR(__xludf.DUMMYFUNCTION("GOOGLETRANSLATE(A3767,""bn"",""en"")"),"Poorly built not worth the investment")</f>
        <v>Poorly built not worth the investment</v>
      </c>
    </row>
    <row r="3768" spans="1:3" ht="15.75" customHeight="1" x14ac:dyDescent="0.25">
      <c r="A3768" s="2" t="s">
        <v>3770</v>
      </c>
      <c r="B3768" s="3" t="s">
        <v>4</v>
      </c>
      <c r="C3768" s="2" t="str">
        <f ca="1">IFERROR(__xludf.DUMMYFUNCTION("GOOGLETRANSLATE(A3768,""bn"",""en"")"),"The colors are easy to wash which is safe for children")</f>
        <v>The colors are easy to wash which is safe for children</v>
      </c>
    </row>
    <row r="3769" spans="1:3" ht="15.75" customHeight="1" x14ac:dyDescent="0.25">
      <c r="A3769" s="2" t="s">
        <v>3771</v>
      </c>
      <c r="B3769" s="3" t="s">
        <v>4</v>
      </c>
      <c r="C3769" s="2" t="str">
        <f ca="1">IFERROR(__xludf.DUMMYFUNCTION("GOOGLETRANSLATE(A3769,""bn"",""en"")"),"The flower brings a touch of nature to the house")</f>
        <v>The flower brings a touch of nature to the house</v>
      </c>
    </row>
    <row r="3770" spans="1:3" ht="15.75" customHeight="1" x14ac:dyDescent="0.25">
      <c r="A3770" s="2" t="s">
        <v>3772</v>
      </c>
      <c r="B3770" s="3" t="s">
        <v>4</v>
      </c>
      <c r="C3770" s="2" t="str">
        <f ca="1">IFERROR(__xludf.DUMMYFUNCTION("GOOGLETRANSLATE(A3770,""bn"",""en"")"),"The storage capacity is huge which is suitable for storing a lot of data")</f>
        <v>The storage capacity is huge which is suitable for storing a lot of data</v>
      </c>
    </row>
    <row r="3771" spans="1:3" ht="15.75" customHeight="1" x14ac:dyDescent="0.25">
      <c r="A3771" s="2" t="s">
        <v>3773</v>
      </c>
      <c r="B3771" s="3" t="s">
        <v>6</v>
      </c>
      <c r="C3771" s="2" t="str">
        <f ca="1">IFERROR(__xludf.DUMMYFUNCTION("GOOGLETRANSLATE(A3771,""bn"",""en"")"),"Baby pacifier nipples are too hard to cause discomfort for baby's mouth")</f>
        <v>Baby pacifier nipples are too hard to cause discomfort for baby's mouth</v>
      </c>
    </row>
    <row r="3772" spans="1:3" ht="15.75" customHeight="1" x14ac:dyDescent="0.25">
      <c r="A3772" s="2" t="s">
        <v>3774</v>
      </c>
      <c r="B3772" s="3" t="s">
        <v>6</v>
      </c>
      <c r="C3772" s="2" t="str">
        <f ca="1">IFERROR(__xludf.DUMMYFUNCTION("GOOGLETRANSLATE(A3772,""bn"",""en"")"),"The smartphone case design peels off easily leaving no adhesive residue")</f>
        <v>The smartphone case design peels off easily leaving no adhesive residue</v>
      </c>
    </row>
    <row r="3773" spans="1:3" ht="15.75" customHeight="1" x14ac:dyDescent="0.25">
      <c r="A3773" s="2" t="s">
        <v>3775</v>
      </c>
      <c r="B3773" s="3" t="s">
        <v>4</v>
      </c>
      <c r="C3773" s="2" t="str">
        <f ca="1">IFERROR(__xludf.DUMMYFUNCTION("GOOGLETRANSLATE(A3773,""bn"",""en"")"),"The navigation of the mobile is very easy")</f>
        <v>The navigation of the mobile is very easy</v>
      </c>
    </row>
    <row r="3774" spans="1:3" ht="15.75" customHeight="1" x14ac:dyDescent="0.25">
      <c r="A3774" s="2" t="s">
        <v>3776</v>
      </c>
      <c r="B3774" s="3" t="s">
        <v>6</v>
      </c>
      <c r="C3774" s="2" t="str">
        <f ca="1">IFERROR(__xludf.DUMMYFUNCTION("GOOGLETRANSLATE(A3774,""bn"",""en"")"),"Heavy units were difficult to lift especially when full")</f>
        <v>Heavy units were difficult to lift especially when full</v>
      </c>
    </row>
    <row r="3775" spans="1:3" ht="15.75" customHeight="1" x14ac:dyDescent="0.25">
      <c r="A3775" s="2" t="s">
        <v>3777</v>
      </c>
      <c r="B3775" s="3" t="s">
        <v>4</v>
      </c>
      <c r="C3775" s="2" t="str">
        <f ca="1">IFERROR(__xludf.DUMMYFUNCTION("GOOGLETRANSLATE(A3775,""bn"",""en"")"),"The build quality of the product is excellent and the sound quality is also good")</f>
        <v>The build quality of the product is excellent and the sound quality is also good</v>
      </c>
    </row>
    <row r="3776" spans="1:3" ht="15.75" customHeight="1" x14ac:dyDescent="0.25">
      <c r="A3776" s="2" t="s">
        <v>3778</v>
      </c>
      <c r="B3776" s="3" t="s">
        <v>2</v>
      </c>
      <c r="C3776" s="2" t="str">
        <f ca="1">IFERROR(__xludf.DUMMYFUNCTION("GOOGLETRANSLATE(A3776,""bn"",""en"")"),"Hot air is directed towards the user")</f>
        <v>Hot air is directed towards the user</v>
      </c>
    </row>
    <row r="3777" spans="1:3" ht="15.75" customHeight="1" x14ac:dyDescent="0.25">
      <c r="A3777" s="2" t="s">
        <v>3779</v>
      </c>
      <c r="B3777" s="3" t="s">
        <v>4</v>
      </c>
      <c r="C3777" s="2" t="str">
        <f ca="1">IFERROR(__xludf.DUMMYFUNCTION("GOOGLETRANSLATE(A3777,""bn"",""en"")"),"I will tell everyone to eat")</f>
        <v>I will tell everyone to eat</v>
      </c>
    </row>
    <row r="3778" spans="1:3" ht="15.75" customHeight="1" x14ac:dyDescent="0.25">
      <c r="A3778" s="2" t="s">
        <v>3780</v>
      </c>
      <c r="B3778" s="3" t="s">
        <v>4</v>
      </c>
      <c r="C3778" s="2" t="str">
        <f ca="1">IFERROR(__xludf.DUMMYFUNCTION("GOOGLETRANSLATE(A3778,""bn"",""en"")"),"WiFi router provides fast internet")</f>
        <v>WiFi router provides fast internet</v>
      </c>
    </row>
    <row r="3779" spans="1:3" ht="15.75" customHeight="1" x14ac:dyDescent="0.25">
      <c r="A3779" s="2" t="s">
        <v>3781</v>
      </c>
      <c r="B3779" s="3" t="s">
        <v>2</v>
      </c>
      <c r="C3779" s="2" t="str">
        <f ca="1">IFERROR(__xludf.DUMMYFUNCTION("GOOGLETRANSLATE(A3779,""bn"",""en"")"),"Runs well for long periods of time but issues in hot environments")</f>
        <v>Runs well for long periods of time but issues in hot environments</v>
      </c>
    </row>
    <row r="3780" spans="1:3" ht="15.75" customHeight="1" x14ac:dyDescent="0.25">
      <c r="A3780" s="2" t="s">
        <v>3782</v>
      </c>
      <c r="B3780" s="3" t="s">
        <v>4</v>
      </c>
      <c r="C3780" s="2" t="str">
        <f ca="1">IFERROR(__xludf.DUMMYFUNCTION("GOOGLETRANSLATE(A3780,""bn"",""en"")"),"It's really great for a good night's sleep")</f>
        <v>It's really great for a good night's sleep</v>
      </c>
    </row>
    <row r="3781" spans="1:3" ht="15.75" customHeight="1" x14ac:dyDescent="0.25">
      <c r="A3781" s="2" t="s">
        <v>3783</v>
      </c>
      <c r="B3781" s="3" t="s">
        <v>2</v>
      </c>
      <c r="C3781" s="2" t="str">
        <f ca="1">IFERROR(__xludf.DUMMYFUNCTION("GOOGLETRANSLATE(A3781,""bn"",""en"")"),"Has short circuit protection")</f>
        <v>Has short circuit protection</v>
      </c>
    </row>
    <row r="3782" spans="1:3" ht="15.75" customHeight="1" x14ac:dyDescent="0.25">
      <c r="A3782" s="2" t="s">
        <v>3784</v>
      </c>
      <c r="B3782" s="3" t="s">
        <v>4</v>
      </c>
      <c r="C3782" s="2" t="str">
        <f ca="1">IFERROR(__xludf.DUMMYFUNCTION("GOOGLETRANSLATE(A3782,""bn"",""en"")"),"This coffee has become a luxury for me")</f>
        <v>This coffee has become a luxury for me</v>
      </c>
    </row>
    <row r="3783" spans="1:3" ht="15.75" customHeight="1" x14ac:dyDescent="0.25">
      <c r="A3783" s="2" t="s">
        <v>3785</v>
      </c>
      <c r="B3783" s="3" t="s">
        <v>4</v>
      </c>
      <c r="C3783" s="2" t="str">
        <f ca="1">IFERROR(__xludf.DUMMYFUNCTION("GOOGLETRANSLATE(A3783,""bn"",""en"")"),"very sweet")</f>
        <v>very sweet</v>
      </c>
    </row>
    <row r="3784" spans="1:3" ht="15.75" customHeight="1" x14ac:dyDescent="0.25">
      <c r="A3784" s="2" t="s">
        <v>3786</v>
      </c>
      <c r="B3784" s="3" t="s">
        <v>2</v>
      </c>
      <c r="C3784" s="2" t="str">
        <f ca="1">IFERROR(__xludf.DUMMYFUNCTION("GOOGLETRANSLATE(A3784,""bn"",""en"")"),"The price is affordable but the quality is not that good")</f>
        <v>The price is affordable but the quality is not that good</v>
      </c>
    </row>
    <row r="3785" spans="1:3" ht="15.75" customHeight="1" x14ac:dyDescent="0.25">
      <c r="A3785" s="2" t="s">
        <v>3787</v>
      </c>
      <c r="B3785" s="3" t="s">
        <v>6</v>
      </c>
      <c r="C3785" s="2" t="str">
        <f ca="1">IFERROR(__xludf.DUMMYFUNCTION("GOOGLETRANSLATE(A3785,""bn"",""en"")"),"Of course there are simplistic negative points")</f>
        <v>Of course there are simplistic negative points</v>
      </c>
    </row>
    <row r="3786" spans="1:3" ht="15.75" customHeight="1" x14ac:dyDescent="0.25">
      <c r="A3786" s="2" t="s">
        <v>3788</v>
      </c>
      <c r="B3786" s="3" t="s">
        <v>4</v>
      </c>
      <c r="C3786" s="2" t="str">
        <f ca="1">IFERROR(__xludf.DUMMYFUNCTION("GOOGLETRANSLATE(A3786,""bn"",""en"")"),"Reliable and convenient")</f>
        <v>Reliable and convenient</v>
      </c>
    </row>
    <row r="3787" spans="1:3" ht="15.75" customHeight="1" x14ac:dyDescent="0.25">
      <c r="A3787" s="2" t="s">
        <v>3789</v>
      </c>
      <c r="B3787" s="3" t="s">
        <v>6</v>
      </c>
      <c r="C3787" s="2" t="str">
        <f ca="1">IFERROR(__xludf.DUMMYFUNCTION("GOOGLETRANSLATE(A3787,""bn"",""en"")"),"The eyeshadow palette has duplicate shades which reduces its versatility")</f>
        <v>The eyeshadow palette has duplicate shades which reduces its versatility</v>
      </c>
    </row>
    <row r="3788" spans="1:3" ht="15.75" customHeight="1" x14ac:dyDescent="0.25">
      <c r="A3788" s="2" t="s">
        <v>3790</v>
      </c>
      <c r="B3788" s="3" t="s">
        <v>6</v>
      </c>
      <c r="C3788" s="2" t="str">
        <f ca="1">IFERROR(__xludf.DUMMYFUNCTION("GOOGLETRANSLATE(A3788,""bn"",""en"")"),"Undersized does not meet expectations")</f>
        <v>Undersized does not meet expectations</v>
      </c>
    </row>
    <row r="3789" spans="1:3" ht="15.75" customHeight="1" x14ac:dyDescent="0.25">
      <c r="A3789" s="2" t="s">
        <v>3791</v>
      </c>
      <c r="B3789" s="3" t="s">
        <v>4</v>
      </c>
      <c r="C3789" s="2" t="str">
        <f ca="1">IFERROR(__xludf.DUMMYFUNCTION("GOOGLETRANSLATE(A3789,""bn"",""en"")"),"The back support of the dining chairs is designed in such a way that one can sit for a long time")</f>
        <v>The back support of the dining chairs is designed in such a way that one can sit for a long time</v>
      </c>
    </row>
    <row r="3790" spans="1:3" ht="15.75" customHeight="1" x14ac:dyDescent="0.25">
      <c r="A3790" s="2" t="s">
        <v>3792</v>
      </c>
      <c r="B3790" s="3" t="s">
        <v>4</v>
      </c>
      <c r="C3790" s="2" t="str">
        <f ca="1">IFERROR(__xludf.DUMMYFUNCTION("GOOGLETRANSLATE(A3790,""bn"",""en"")"),"A good portable clip-on light is a good value")</f>
        <v>A good portable clip-on light is a good value</v>
      </c>
    </row>
    <row r="3791" spans="1:3" ht="15.75" customHeight="1" x14ac:dyDescent="0.25">
      <c r="A3791" s="2" t="s">
        <v>3793</v>
      </c>
      <c r="B3791" s="3" t="s">
        <v>4</v>
      </c>
      <c r="C3791" s="2" t="str">
        <f ca="1">IFERROR(__xludf.DUMMYFUNCTION("GOOGLETRANSLATE(A3791,""bn"",""en"")"),"I feel no pain while combing my hair which is very important to me")</f>
        <v>I feel no pain while combing my hair which is very important to me</v>
      </c>
    </row>
    <row r="3792" spans="1:3" ht="15.75" customHeight="1" x14ac:dyDescent="0.25">
      <c r="A3792" s="2" t="s">
        <v>3794</v>
      </c>
      <c r="B3792" s="3" t="s">
        <v>2</v>
      </c>
      <c r="C3792" s="2" t="str">
        <f ca="1">IFERROR(__xludf.DUMMYFUNCTION("GOOGLETRANSLATE(A3792,""bn"",""en"")"),"Reflection is clear but not too bright")</f>
        <v>Reflection is clear but not too bright</v>
      </c>
    </row>
    <row r="3793" spans="1:3" ht="15.75" customHeight="1" x14ac:dyDescent="0.25">
      <c r="A3793" s="2" t="s">
        <v>3795</v>
      </c>
      <c r="B3793" s="3" t="s">
        <v>4</v>
      </c>
      <c r="C3793" s="2" t="str">
        <f ca="1">IFERROR(__xludf.DUMMYFUNCTION("GOOGLETRANSLATE(A3793,""bn"",""en"")"),"WiFi connectivity is very useful I can now control the AC with Google Assistant too")</f>
        <v>WiFi connectivity is very useful I can now control the AC with Google Assistant too</v>
      </c>
    </row>
    <row r="3794" spans="1:3" ht="15.75" customHeight="1" x14ac:dyDescent="0.25">
      <c r="A3794" s="2" t="s">
        <v>3796</v>
      </c>
      <c r="B3794" s="3" t="s">
        <v>4</v>
      </c>
      <c r="C3794" s="2" t="str">
        <f ca="1">IFERROR(__xludf.DUMMYFUNCTION("GOOGLETRANSLATE(A3794,""bn"",""en"")"),"Pajamas are very comfortable for winter")</f>
        <v>Pajamas are very comfortable for winter</v>
      </c>
    </row>
    <row r="3795" spans="1:3" ht="15.75" customHeight="1" x14ac:dyDescent="0.25">
      <c r="A3795" s="2" t="s">
        <v>3797</v>
      </c>
      <c r="B3795" s="3" t="s">
        <v>4</v>
      </c>
      <c r="C3795" s="2" t="str">
        <f ca="1">IFERROR(__xludf.DUMMYFUNCTION("GOOGLETRANSLATE(A3795,""bn"",""en"")"),"Has fast cooling capacity")</f>
        <v>Has fast cooling capacity</v>
      </c>
    </row>
    <row r="3796" spans="1:3" ht="15.75" customHeight="1" x14ac:dyDescent="0.25">
      <c r="A3796" s="2" t="s">
        <v>3798</v>
      </c>
      <c r="B3796" s="3" t="s">
        <v>4</v>
      </c>
      <c r="C3796" s="2" t="str">
        <f ca="1">IFERROR(__xludf.DUMMYFUNCTION("GOOGLETRANSLATE(A3796,""bn"",""en"")"),"The soap increases the smoothness of the skin")</f>
        <v>The soap increases the smoothness of the skin</v>
      </c>
    </row>
    <row r="3797" spans="1:3" ht="15.75" customHeight="1" x14ac:dyDescent="0.25">
      <c r="A3797" s="2" t="s">
        <v>3799</v>
      </c>
      <c r="B3797" s="3" t="s">
        <v>2</v>
      </c>
      <c r="C3797" s="2" t="str">
        <f ca="1">IFERROR(__xludf.DUMMYFUNCTION("GOOGLETRANSLATE(A3797,""bn"",""en"")"),"The brush set is of medium quality")</f>
        <v>The brush set is of medium quality</v>
      </c>
    </row>
    <row r="3798" spans="1:3" ht="15.75" customHeight="1" x14ac:dyDescent="0.25">
      <c r="A3798" s="2" t="s">
        <v>3800</v>
      </c>
      <c r="B3798" s="3" t="s">
        <v>4</v>
      </c>
      <c r="C3798" s="2" t="str">
        <f ca="1">IFERROR(__xludf.DUMMYFUNCTION("GOOGLETRANSLATE(A3798,""bn"",""en"")"),"The shaving foam blends smoothly into the skin")</f>
        <v>The shaving foam blends smoothly into the skin</v>
      </c>
    </row>
    <row r="3799" spans="1:3" ht="15.75" customHeight="1" x14ac:dyDescent="0.25">
      <c r="A3799" s="2" t="s">
        <v>3801</v>
      </c>
      <c r="B3799" s="3" t="s">
        <v>6</v>
      </c>
      <c r="C3799" s="2" t="str">
        <f ca="1">IFERROR(__xludf.DUMMYFUNCTION("GOOGLETRANSLATE(A3799,""bn"",""en"")"),"Hair wax was difficult to wash off leaving my hair feeling greasy and sticky")</f>
        <v>Hair wax was difficult to wash off leaving my hair feeling greasy and sticky</v>
      </c>
    </row>
    <row r="3800" spans="1:3" ht="15.75" customHeight="1" x14ac:dyDescent="0.25">
      <c r="A3800" s="2" t="s">
        <v>3802</v>
      </c>
      <c r="B3800" s="3" t="s">
        <v>4</v>
      </c>
      <c r="C3800" s="2" t="str">
        <f ca="1">IFERROR(__xludf.DUMMYFUNCTION("GOOGLETRANSLATE(A3800,""bn"",""en"")"),"If I were to give ratings I would give it very impressive")</f>
        <v>If I were to give ratings I would give it very impressive</v>
      </c>
    </row>
    <row r="3801" spans="1:3" ht="15.75" customHeight="1" x14ac:dyDescent="0.25">
      <c r="A3801" s="2" t="s">
        <v>3803</v>
      </c>
      <c r="B3801" s="3" t="s">
        <v>6</v>
      </c>
      <c r="C3801" s="2" t="str">
        <f ca="1">IFERROR(__xludf.DUMMYFUNCTION("GOOGLETRANSLATE(A3801,""bn"",""en"")"),"The canned vegetables were bland and tasted like they were overcooked")</f>
        <v>The canned vegetables were bland and tasted like they were overcooked</v>
      </c>
    </row>
    <row r="3802" spans="1:3" ht="15.75" customHeight="1" x14ac:dyDescent="0.25">
      <c r="A3802" s="2" t="s">
        <v>3804</v>
      </c>
      <c r="B3802" s="3" t="s">
        <v>4</v>
      </c>
      <c r="C3802" s="2" t="str">
        <f ca="1">IFERROR(__xludf.DUMMYFUNCTION("GOOGLETRANSLATE(A3802,""bn"",""en"")"),"The lipstick shades of the makeup kit are very attractive")</f>
        <v>The lipstick shades of the makeup kit are very attractive</v>
      </c>
    </row>
    <row r="3803" spans="1:3" ht="15.75" customHeight="1" x14ac:dyDescent="0.25">
      <c r="A3803" s="2" t="s">
        <v>3805</v>
      </c>
      <c r="B3803" s="3" t="s">
        <v>4</v>
      </c>
      <c r="C3803" s="2" t="str">
        <f ca="1">IFERROR(__xludf.DUMMYFUNCTION("GOOGLETRANSLATE(A3803,""bn"",""en"")"),"The use of soap keeps the skin healthy")</f>
        <v>The use of soap keeps the skin healthy</v>
      </c>
    </row>
    <row r="3804" spans="1:3" ht="15.75" customHeight="1" x14ac:dyDescent="0.25">
      <c r="A3804" s="2" t="s">
        <v>3806</v>
      </c>
      <c r="B3804" s="3" t="s">
        <v>2</v>
      </c>
      <c r="C3804" s="2" t="str">
        <f ca="1">IFERROR(__xludf.DUMMYFUNCTION("GOOGLETRANSLATE(A3804,""bn"",""en"")"),"It provides warmth but is nothing special compared to other comforters")</f>
        <v>It provides warmth but is nothing special compared to other comforters</v>
      </c>
    </row>
    <row r="3805" spans="1:3" ht="15.75" customHeight="1" x14ac:dyDescent="0.25">
      <c r="A3805" s="2" t="s">
        <v>3807</v>
      </c>
      <c r="B3805" s="3" t="s">
        <v>6</v>
      </c>
      <c r="C3805" s="2" t="str">
        <f ca="1">IFERROR(__xludf.DUMMYFUNCTION("GOOGLETRANSLATE(A3805,""bn"",""en"")"),"The cups were too small to barely hold a sip of tea")</f>
        <v>The cups were too small to barely hold a sip of tea</v>
      </c>
    </row>
    <row r="3806" spans="1:3" ht="15.75" customHeight="1" x14ac:dyDescent="0.25">
      <c r="A3806" s="2" t="s">
        <v>3808</v>
      </c>
      <c r="B3806" s="3" t="s">
        <v>4</v>
      </c>
      <c r="C3806" s="2" t="str">
        <f ca="1">IFERROR(__xludf.DUMMYFUNCTION("GOOGLETRANSLATE(A3806,""bn"",""en"")"),"Beauty soap reduces the appearance of chapped skin")</f>
        <v>Beauty soap reduces the appearance of chapped skin</v>
      </c>
    </row>
    <row r="3807" spans="1:3" ht="15.75" customHeight="1" x14ac:dyDescent="0.25">
      <c r="A3807" s="2" t="s">
        <v>3809</v>
      </c>
      <c r="B3807" s="3" t="s">
        <v>4</v>
      </c>
      <c r="C3807" s="2" t="str">
        <f ca="1">IFERROR(__xludf.DUMMYFUNCTION("GOOGLETRANSLATE(A3807,""bn"",""en"")"),"Its taste reminds me of winter morning fog")</f>
        <v>Its taste reminds me of winter morning fog</v>
      </c>
    </row>
    <row r="3808" spans="1:3" ht="15.75" customHeight="1" x14ac:dyDescent="0.25">
      <c r="A3808" s="2" t="s">
        <v>3810</v>
      </c>
      <c r="B3808" s="3" t="s">
        <v>6</v>
      </c>
      <c r="C3808" s="2" t="str">
        <f ca="1">IFERROR(__xludf.DUMMYFUNCTION("GOOGLETRANSLATE(A3808,""bn"",""en"")"),"Hairspray didn't hold my hair in place and my hair was stiff and frizzy")</f>
        <v>Hairspray didn't hold my hair in place and my hair was stiff and frizzy</v>
      </c>
    </row>
    <row r="3809" spans="1:3" ht="15.75" customHeight="1" x14ac:dyDescent="0.25">
      <c r="A3809" s="2" t="s">
        <v>3811</v>
      </c>
      <c r="B3809" s="3" t="s">
        <v>2</v>
      </c>
      <c r="C3809" s="2" t="str">
        <f ca="1">IFERROR(__xludf.DUMMYFUNCTION("GOOGLETRANSLATE(A3809,""bn"",""en"")"),"I had hoped for better but the work was done fairly well")</f>
        <v>I had hoped for better but the work was done fairly well</v>
      </c>
    </row>
    <row r="3810" spans="1:3" ht="15.75" customHeight="1" x14ac:dyDescent="0.25">
      <c r="A3810" s="2" t="s">
        <v>3812</v>
      </c>
      <c r="B3810" s="3" t="s">
        <v>6</v>
      </c>
      <c r="C3810" s="2" t="str">
        <f ca="1">IFERROR(__xludf.DUMMYFUNCTION("GOOGLETRANSLATE(A3810,""bn"",""en"")"),"Product warranty coverage was inadequate")</f>
        <v>Product warranty coverage was inadequate</v>
      </c>
    </row>
    <row r="3811" spans="1:3" ht="15.75" customHeight="1" x14ac:dyDescent="0.25">
      <c r="A3811" s="2" t="s">
        <v>3813</v>
      </c>
      <c r="B3811" s="3" t="s">
        <v>2</v>
      </c>
      <c r="C3811" s="2" t="str">
        <f ca="1">IFERROR(__xludf.DUMMYFUNCTION("GOOGLETRANSLATE(A3811,""bn"",""en"")"),"Available in different sizes but all have the same quality")</f>
        <v>Available in different sizes but all have the same quality</v>
      </c>
    </row>
    <row r="3812" spans="1:3" ht="15.75" customHeight="1" x14ac:dyDescent="0.25">
      <c r="A3812" s="2" t="s">
        <v>3814</v>
      </c>
      <c r="B3812" s="3" t="s">
        <v>2</v>
      </c>
      <c r="C3812" s="2" t="str">
        <f ca="1">IFERROR(__xludf.DUMMYFUNCTION("GOOGLETRANSLATE(A3812,""bn"",""en"")"),"Flipcharts are a bit different than expected")</f>
        <v>Flipcharts are a bit different than expected</v>
      </c>
    </row>
    <row r="3813" spans="1:3" ht="15.75" customHeight="1" x14ac:dyDescent="0.25">
      <c r="A3813" s="2" t="s">
        <v>3815</v>
      </c>
      <c r="B3813" s="3" t="s">
        <v>4</v>
      </c>
      <c r="C3813" s="2" t="str">
        <f ca="1">IFERROR(__xludf.DUMMYFUNCTION("GOOGLETRANSLATE(A3813,""bn"",""en"")"),"The cooling capacity is excellent")</f>
        <v>The cooling capacity is excellent</v>
      </c>
    </row>
    <row r="3814" spans="1:3" ht="15.75" customHeight="1" x14ac:dyDescent="0.25">
      <c r="A3814" s="2" t="s">
        <v>3816</v>
      </c>
      <c r="B3814" s="3" t="s">
        <v>2</v>
      </c>
      <c r="C3814" s="2" t="str">
        <f ca="1">IFERROR(__xludf.DUMMYFUNCTION("GOOGLETRANSLATE(A3814,""bn"",""en"")"),"The packaging is simple but functional")</f>
        <v>The packaging is simple but functional</v>
      </c>
    </row>
    <row r="3815" spans="1:3" ht="15.75" customHeight="1" x14ac:dyDescent="0.25">
      <c r="A3815" s="2" t="s">
        <v>3817</v>
      </c>
      <c r="B3815" s="3" t="s">
        <v>4</v>
      </c>
      <c r="C3815" s="2" t="str">
        <f ca="1">IFERROR(__xludf.DUMMYFUNCTION("GOOGLETRANSLATE(A3815,""bn"",""en"")"),"Makeup brushes enhance skin tone")</f>
        <v>Makeup brushes enhance skin tone</v>
      </c>
    </row>
    <row r="3816" spans="1:3" ht="15.75" customHeight="1" x14ac:dyDescent="0.25">
      <c r="A3816" s="2" t="s">
        <v>3818</v>
      </c>
      <c r="B3816" s="3" t="s">
        <v>6</v>
      </c>
      <c r="C3816" s="2" t="str">
        <f ca="1">IFERROR(__xludf.DUMMYFUNCTION("GOOGLETRANSLATE(A3816,""bn"",""en"")"),"The hair spray had a strong chemical smell that was overpowering and unpleasant")</f>
        <v>The hair spray had a strong chemical smell that was overpowering and unpleasant</v>
      </c>
    </row>
    <row r="3817" spans="1:3" ht="15.75" customHeight="1" x14ac:dyDescent="0.25">
      <c r="A3817" s="2" t="s">
        <v>3819</v>
      </c>
      <c r="B3817" s="3" t="s">
        <v>6</v>
      </c>
      <c r="C3817" s="2" t="str">
        <f ca="1">IFERROR(__xludf.DUMMYFUNCTION("GOOGLETRANSLATE(A3817,""bn"",""en"")"),"Noise canceling systems disturb family members")</f>
        <v>Noise canceling systems disturb family members</v>
      </c>
    </row>
    <row r="3818" spans="1:3" ht="15.75" customHeight="1" x14ac:dyDescent="0.25">
      <c r="A3818" s="2" t="s">
        <v>3820</v>
      </c>
      <c r="B3818" s="3" t="s">
        <v>4</v>
      </c>
      <c r="C3818" s="2" t="str">
        <f ca="1">IFERROR(__xludf.DUMMYFUNCTION("GOOGLETRANSLATE(A3818,""bn"",""en"")"),"The bookshelf is suitable for both indoor and outdoor use")</f>
        <v>The bookshelf is suitable for both indoor and outdoor use</v>
      </c>
    </row>
    <row r="3819" spans="1:3" ht="15.75" customHeight="1" x14ac:dyDescent="0.25">
      <c r="A3819" s="2" t="s">
        <v>3821</v>
      </c>
      <c r="B3819" s="3" t="s">
        <v>4</v>
      </c>
      <c r="C3819" s="2" t="str">
        <f ca="1">IFERROR(__xludf.DUMMYFUNCTION("GOOGLETRANSLATE(A3819,""bn"",""en"")"),"The color and pattern of this bedsheet is harmonious and very ideal")</f>
        <v>The color and pattern of this bedsheet is harmonious and very ideal</v>
      </c>
    </row>
    <row r="3820" spans="1:3" ht="15.75" customHeight="1" x14ac:dyDescent="0.25">
      <c r="A3820" s="2" t="s">
        <v>3822</v>
      </c>
      <c r="B3820" s="3" t="s">
        <v>4</v>
      </c>
      <c r="C3820" s="2" t="str">
        <f ca="1">IFERROR(__xludf.DUMMYFUNCTION("GOOGLETRANSLATE(A3820,""bn"",""en"")"),"Bright as the sun")</f>
        <v>Bright as the sun</v>
      </c>
    </row>
    <row r="3821" spans="1:3" ht="15.75" customHeight="1" x14ac:dyDescent="0.25">
      <c r="A3821" s="2" t="s">
        <v>3823</v>
      </c>
      <c r="B3821" s="3" t="s">
        <v>6</v>
      </c>
      <c r="C3821" s="2" t="str">
        <f ca="1">IFERROR(__xludf.DUMMYFUNCTION("GOOGLETRANSLATE(A3821,""bn"",""en"")"),"The power bank's charging cable connector is prone to corrosion affecting its conductivity")</f>
        <v>The power bank's charging cable connector is prone to corrosion affecting its conductivity</v>
      </c>
    </row>
    <row r="3822" spans="1:3" ht="15.75" customHeight="1" x14ac:dyDescent="0.25">
      <c r="A3822" s="2" t="s">
        <v>3824</v>
      </c>
      <c r="B3822" s="3" t="s">
        <v>2</v>
      </c>
      <c r="C3822" s="2" t="str">
        <f ca="1">IFERROR(__xludf.DUMMYFUNCTION("GOOGLETRANSLATE(A3822,""bn"",""en"")"),"Overheating can melt plastic")</f>
        <v>Overheating can melt plastic</v>
      </c>
    </row>
    <row r="3823" spans="1:3" ht="15.75" customHeight="1" x14ac:dyDescent="0.25">
      <c r="A3823" s="2" t="s">
        <v>3825</v>
      </c>
      <c r="B3823" s="3" t="s">
        <v>6</v>
      </c>
      <c r="C3823" s="2" t="str">
        <f ca="1">IFERROR(__xludf.DUMMYFUNCTION("GOOGLETRANSLATE(A3823,""bn"",""en"")"),"The suction cups of the bath pillow lose their grip causing it to fall to the bottom of the tub")</f>
        <v>The suction cups of the bath pillow lose their grip causing it to fall to the bottom of the tub</v>
      </c>
    </row>
    <row r="3824" spans="1:3" ht="15.75" customHeight="1" x14ac:dyDescent="0.25">
      <c r="A3824" s="2" t="s">
        <v>3826</v>
      </c>
      <c r="B3824" s="3" t="s">
        <v>2</v>
      </c>
      <c r="C3824" s="2" t="str">
        <f ca="1">IFERROR(__xludf.DUMMYFUNCTION("GOOGLETRANSLATE(A3824,""bn"",""en"")"),"This is noticeable to everyone")</f>
        <v>This is noticeable to everyone</v>
      </c>
    </row>
    <row r="3825" spans="1:3" ht="15.75" customHeight="1" x14ac:dyDescent="0.25">
      <c r="A3825" s="2" t="s">
        <v>3827</v>
      </c>
      <c r="B3825" s="3" t="s">
        <v>6</v>
      </c>
      <c r="C3825" s="2" t="str">
        <f ca="1">IFERROR(__xludf.DUMMYFUNCTION("GOOGLETRANSLATE(A3825,""bn"",""en"")"),"Not suitable for long term use due to poor construction")</f>
        <v>Not suitable for long term use due to poor construction</v>
      </c>
    </row>
    <row r="3826" spans="1:3" ht="15.75" customHeight="1" x14ac:dyDescent="0.25">
      <c r="A3826" s="2" t="s">
        <v>3828</v>
      </c>
      <c r="B3826" s="3" t="s">
        <v>2</v>
      </c>
      <c r="C3826" s="2" t="str">
        <f ca="1">IFERROR(__xludf.DUMMYFUNCTION("GOOGLETRANSLATE(A3826,""bn"",""en"")"),"The bottle may not be ideal for travel")</f>
        <v>The bottle may not be ideal for travel</v>
      </c>
    </row>
    <row r="3827" spans="1:3" ht="15.75" customHeight="1" x14ac:dyDescent="0.25">
      <c r="A3827" s="2" t="s">
        <v>3829</v>
      </c>
      <c r="B3827" s="3" t="s">
        <v>2</v>
      </c>
      <c r="C3827" s="2" t="str">
        <f ca="1">IFERROR(__xludf.DUMMYFUNCTION("GOOGLETRANSLATE(A3827,""bn"",""en"")"),"The harps are slightly oily indicating their condition")</f>
        <v>The harps are slightly oily indicating their condition</v>
      </c>
    </row>
    <row r="3828" spans="1:3" ht="15.75" customHeight="1" x14ac:dyDescent="0.25">
      <c r="A3828" s="2" t="s">
        <v>3830</v>
      </c>
      <c r="B3828" s="3" t="s">
        <v>6</v>
      </c>
      <c r="C3828" s="2" t="str">
        <f ca="1">IFERROR(__xludf.DUMMYFUNCTION("GOOGLETRANSLATE(A3828,""bn"",""en"")"),"The stones in the jewelry were dull and dull failing to capture the brilliance promised in the product photos.")</f>
        <v>The stones in the jewelry were dull and dull failing to capture the brilliance promised in the product photos.</v>
      </c>
    </row>
    <row r="3829" spans="1:3" ht="15.75" customHeight="1" x14ac:dyDescent="0.25">
      <c r="A3829" s="2" t="s">
        <v>3831</v>
      </c>
      <c r="B3829" s="3" t="s">
        <v>6</v>
      </c>
      <c r="C3829" s="2" t="str">
        <f ca="1">IFERROR(__xludf.DUMMYFUNCTION("GOOGLETRANSLATE(A3829,""bn"",""en"")"),"The cups were poorly polished with rough patches inside")</f>
        <v>The cups were poorly polished with rough patches inside</v>
      </c>
    </row>
    <row r="3830" spans="1:3" ht="15.75" customHeight="1" x14ac:dyDescent="0.25">
      <c r="A3830" s="2" t="s">
        <v>3832</v>
      </c>
      <c r="B3830" s="3" t="s">
        <v>6</v>
      </c>
      <c r="C3830" s="2" t="str">
        <f ca="1">IFERROR(__xludf.DUMMYFUNCTION("GOOGLETRANSLATE(A3830,""bn"",""en"")"),"The brush had a loose ferrule which caused it to wobble while painting")</f>
        <v>The brush had a loose ferrule which caused it to wobble while painting</v>
      </c>
    </row>
    <row r="3831" spans="1:3" ht="15.75" customHeight="1" x14ac:dyDescent="0.25">
      <c r="A3831" s="2" t="s">
        <v>3833</v>
      </c>
      <c r="B3831" s="3" t="s">
        <v>4</v>
      </c>
      <c r="C3831" s="2" t="str">
        <f ca="1">IFERROR(__xludf.DUMMYFUNCTION("GOOGLETRANSLATE(A3831,""bn"",""en"")"),"It is also used in hair care")</f>
        <v>It is also used in hair care</v>
      </c>
    </row>
    <row r="3832" spans="1:3" ht="15.75" customHeight="1" x14ac:dyDescent="0.25">
      <c r="A3832" s="2" t="s">
        <v>3834</v>
      </c>
      <c r="B3832" s="3" t="s">
        <v>6</v>
      </c>
      <c r="C3832" s="2" t="str">
        <f ca="1">IFERROR(__xludf.DUMMYFUNCTION("GOOGLETRANSLATE(A3832,""bn"",""en"")"),"Portable air purifiers do not freshen the air by emitting bad odors")</f>
        <v>Portable air purifiers do not freshen the air by emitting bad odors</v>
      </c>
    </row>
    <row r="3833" spans="1:3" ht="15.75" customHeight="1" x14ac:dyDescent="0.25">
      <c r="A3833" s="2" t="s">
        <v>3835</v>
      </c>
      <c r="B3833" s="3" t="s">
        <v>4</v>
      </c>
      <c r="C3833" s="2" t="str">
        <f ca="1">IFERROR(__xludf.DUMMYFUNCTION("GOOGLETRANSLATE(A3833,""bn"",""en"")"),"The legs of the furniture do not leave any marks on the floor")</f>
        <v>The legs of the furniture do not leave any marks on the floor</v>
      </c>
    </row>
    <row r="3834" spans="1:3" ht="15.75" customHeight="1" x14ac:dyDescent="0.25">
      <c r="A3834" s="2" t="s">
        <v>3836</v>
      </c>
      <c r="B3834" s="3" t="s">
        <v>6</v>
      </c>
      <c r="C3834" s="2" t="str">
        <f ca="1">IFERROR(__xludf.DUMMYFUNCTION("GOOGLETRANSLATE(A3834,""bn"",""en"")"),"Disappointing kit")</f>
        <v>Disappointing kit</v>
      </c>
    </row>
    <row r="3835" spans="1:3" ht="15.75" customHeight="1" x14ac:dyDescent="0.25">
      <c r="A3835" s="2" t="s">
        <v>3837</v>
      </c>
      <c r="B3835" s="3" t="s">
        <v>6</v>
      </c>
      <c r="C3835" s="2" t="str">
        <f ca="1">IFERROR(__xludf.DUMMYFUNCTION("GOOGLETRANSLATE(A3835,""bn"",""en"")"),"Lids become deformed after exposure to hot temperatures")</f>
        <v>Lids become deformed after exposure to hot temperatures</v>
      </c>
    </row>
    <row r="3836" spans="1:3" ht="15.75" customHeight="1" x14ac:dyDescent="0.25">
      <c r="A3836" s="2" t="s">
        <v>3838</v>
      </c>
      <c r="B3836" s="3" t="s">
        <v>2</v>
      </c>
      <c r="C3836" s="2" t="str">
        <f ca="1">IFERROR(__xludf.DUMMYFUNCTION("GOOGLETRANSLATE(A3836,""bn"",""en"")"),"The length hits an unflattering point on awkward legs and makes it look attractive")</f>
        <v>The length hits an unflattering point on awkward legs and makes it look attractive</v>
      </c>
    </row>
    <row r="3837" spans="1:3" ht="15.75" customHeight="1" x14ac:dyDescent="0.25">
      <c r="A3837" s="2" t="s">
        <v>3839</v>
      </c>
      <c r="B3837" s="3" t="s">
        <v>4</v>
      </c>
      <c r="C3837" s="2" t="str">
        <f ca="1">IFERROR(__xludf.DUMMYFUNCTION("GOOGLETRANSLATE(A3837,""bn"",""en"")"),"Expensive but cost effective in the long run")</f>
        <v>Expensive but cost effective in the long run</v>
      </c>
    </row>
    <row r="3838" spans="1:3" ht="15.75" customHeight="1" x14ac:dyDescent="0.25">
      <c r="A3838" s="2" t="s">
        <v>3840</v>
      </c>
      <c r="B3838" s="3" t="s">
        <v>4</v>
      </c>
      <c r="C3838" s="2" t="str">
        <f ca="1">IFERROR(__xludf.DUMMYFUNCTION("GOOGLETRANSLATE(A3838,""bn"",""en"")"),"I am absolutely impressed")</f>
        <v>I am absolutely impressed</v>
      </c>
    </row>
    <row r="3839" spans="1:3" ht="15.75" customHeight="1" x14ac:dyDescent="0.25">
      <c r="A3839" s="2" t="s">
        <v>3841</v>
      </c>
      <c r="B3839" s="3" t="s">
        <v>6</v>
      </c>
      <c r="C3839" s="2" t="str">
        <f ca="1">IFERROR(__xludf.DUMMYFUNCTION("GOOGLETRANSLATE(A3839,""bn"",""en"")"),"Pieces that were too small presented a choking hazard")</f>
        <v>Pieces that were too small presented a choking hazard</v>
      </c>
    </row>
    <row r="3840" spans="1:3" ht="15.75" customHeight="1" x14ac:dyDescent="0.25">
      <c r="A3840" s="2" t="s">
        <v>3842</v>
      </c>
      <c r="B3840" s="3" t="s">
        <v>6</v>
      </c>
      <c r="C3840" s="2" t="str">
        <f ca="1">IFERROR(__xludf.DUMMYFUNCTION("GOOGLETRANSLATE(A3840,""bn"",""en"")"),"  The scrub irritates my skin and causes small cuts")</f>
        <v xml:space="preserve">  The scrub irritates my skin and causes small cuts</v>
      </c>
    </row>
    <row r="3841" spans="1:3" ht="15.75" customHeight="1" x14ac:dyDescent="0.25">
      <c r="A3841" s="2" t="s">
        <v>3843</v>
      </c>
      <c r="B3841" s="3" t="s">
        <v>6</v>
      </c>
      <c r="C3841" s="2" t="str">
        <f ca="1">IFERROR(__xludf.DUMMYFUNCTION("GOOGLETRANSLATE(A3841,""bn"",""en"")"),"The body wash dispenser gets clogged easily making it difficult to dispense the product")</f>
        <v>The body wash dispenser gets clogged easily making it difficult to dispense the product</v>
      </c>
    </row>
    <row r="3842" spans="1:3" ht="15.75" customHeight="1" x14ac:dyDescent="0.25">
      <c r="A3842" s="2" t="s">
        <v>3844</v>
      </c>
      <c r="B3842" s="3" t="s">
        <v>4</v>
      </c>
      <c r="C3842" s="2" t="str">
        <f ca="1">IFERROR(__xludf.DUMMYFUNCTION("GOOGLETRANSLATE(A3842,""bn"",""en"")"),"This light is perfect for reading at night")</f>
        <v>This light is perfect for reading at night</v>
      </c>
    </row>
    <row r="3843" spans="1:3" ht="15.75" customHeight="1" x14ac:dyDescent="0.25">
      <c r="A3843" s="2" t="s">
        <v>3845</v>
      </c>
      <c r="B3843" s="3" t="s">
        <v>6</v>
      </c>
      <c r="C3843" s="2" t="str">
        <f ca="1">IFERROR(__xludf.DUMMYFUNCTION("GOOGLETRANSLATE(A3843,""bn"",""en"")")," Audio playback tends to stutter or lag especially when connected to a source device wirelessly")</f>
        <v xml:space="preserve"> Audio playback tends to stutter or lag especially when connected to a source device wirelessly</v>
      </c>
    </row>
    <row r="3844" spans="1:3" ht="15.75" customHeight="1" x14ac:dyDescent="0.25">
      <c r="A3844" s="2" t="s">
        <v>3846</v>
      </c>
      <c r="B3844" s="3" t="s">
        <v>2</v>
      </c>
      <c r="C3844" s="2" t="str">
        <f ca="1">IFERROR(__xludf.DUMMYFUNCTION("GOOGLETRANSLATE(A3844,""bn"",""en"")"),"The price is reasonable but the finishing is not good")</f>
        <v>The price is reasonable but the finishing is not good</v>
      </c>
    </row>
    <row r="3845" spans="1:3" ht="15.75" customHeight="1" x14ac:dyDescent="0.25">
      <c r="A3845" s="2" t="s">
        <v>3847</v>
      </c>
      <c r="B3845" s="3" t="s">
        <v>4</v>
      </c>
      <c r="C3845" s="2" t="str">
        <f ca="1">IFERROR(__xludf.DUMMYFUNCTION("GOOGLETRANSLATE(A3845,""bn"",""en"")"),"Great quality product so good in this budget")</f>
        <v>Great quality product so good in this budget</v>
      </c>
    </row>
    <row r="3846" spans="1:3" ht="15.75" customHeight="1" x14ac:dyDescent="0.25">
      <c r="A3846" s="2" t="s">
        <v>3848</v>
      </c>
      <c r="B3846" s="3" t="s">
        <v>2</v>
      </c>
      <c r="C3846" s="2" t="str">
        <f ca="1">IFERROR(__xludf.DUMMYFUNCTION("GOOGLETRANSLATE(A3846,""bn"",""en"")"),"The brand seems reliable")</f>
        <v>The brand seems reliable</v>
      </c>
    </row>
    <row r="3847" spans="1:3" ht="15.75" customHeight="1" x14ac:dyDescent="0.25">
      <c r="A3847" s="2" t="s">
        <v>3849</v>
      </c>
      <c r="B3847" s="3" t="s">
        <v>6</v>
      </c>
      <c r="C3847" s="2" t="str">
        <f ca="1">IFERROR(__xludf.DUMMYFUNCTION("GOOGLETRANSLATE(A3847,""bn"",""en"")"),"Color fading and chipping gave an aged look")</f>
        <v>Color fading and chipping gave an aged look</v>
      </c>
    </row>
    <row r="3848" spans="1:3" ht="15.75" customHeight="1" x14ac:dyDescent="0.25">
      <c r="A3848" s="2" t="s">
        <v>3850</v>
      </c>
      <c r="B3848" s="3" t="s">
        <v>4</v>
      </c>
      <c r="C3848" s="2" t="str">
        <f ca="1">IFERROR(__xludf.DUMMYFUNCTION("GOOGLETRANSLATE(A3848,""bn"",""en"")"),"The girl is always working on new ideas")</f>
        <v>The girl is always working on new ideas</v>
      </c>
    </row>
    <row r="3849" spans="1:3" ht="15.75" customHeight="1" x14ac:dyDescent="0.25">
      <c r="A3849" s="2" t="s">
        <v>3851</v>
      </c>
      <c r="B3849" s="3" t="s">
        <v>2</v>
      </c>
      <c r="C3849" s="2" t="str">
        <f ca="1">IFERROR(__xludf.DUMMYFUNCTION("GOOGLETRANSLATE(A3849,""bn"",""en"")"),"Nice party gift but the opening process is a bit complicated")</f>
        <v>Nice party gift but the opening process is a bit complicated</v>
      </c>
    </row>
    <row r="3850" spans="1:3" ht="15.75" customHeight="1" x14ac:dyDescent="0.25">
      <c r="A3850" s="2" t="s">
        <v>3852</v>
      </c>
      <c r="B3850" s="3" t="s">
        <v>4</v>
      </c>
      <c r="C3850" s="2" t="str">
        <f ca="1">IFERROR(__xludf.DUMMYFUNCTION("GOOGLETRANSLATE(A3850,""bn"",""en"")"),"Honey is helpful in preventing various diseases")</f>
        <v>Honey is helpful in preventing various diseases</v>
      </c>
    </row>
    <row r="3851" spans="1:3" ht="15.75" customHeight="1" x14ac:dyDescent="0.25">
      <c r="A3851" s="2" t="s">
        <v>3853</v>
      </c>
      <c r="B3851" s="3" t="s">
        <v>4</v>
      </c>
      <c r="C3851" s="2" t="str">
        <f ca="1">IFERROR(__xludf.DUMMYFUNCTION("GOOGLETRANSLATE(A3851,""bn"",""en"")"),"The fan is quite powerful and can be used for a long time")</f>
        <v>The fan is quite powerful and can be used for a long time</v>
      </c>
    </row>
    <row r="3852" spans="1:3" ht="15.75" customHeight="1" x14ac:dyDescent="0.25">
      <c r="A3852" s="2" t="s">
        <v>3854</v>
      </c>
      <c r="B3852" s="3" t="s">
        <v>6</v>
      </c>
      <c r="C3852" s="2" t="str">
        <f ca="1">IFERROR(__xludf.DUMMYFUNCTION("GOOGLETRANSLATE(A3852,""bn"",""en"")"),"Discovered styles I didn't like")</f>
        <v>Discovered styles I didn't like</v>
      </c>
    </row>
    <row r="3853" spans="1:3" ht="15.75" customHeight="1" x14ac:dyDescent="0.25">
      <c r="A3853" s="2" t="s">
        <v>3855</v>
      </c>
      <c r="B3853" s="3" t="s">
        <v>6</v>
      </c>
      <c r="C3853" s="2" t="str">
        <f ca="1">IFERROR(__xludf.DUMMYFUNCTION("GOOGLETRANSLATE(A3853,""bn"",""en"")")," The built-in microphone picks up unwanted voice commands from background noise")</f>
        <v xml:space="preserve"> The built-in microphone picks up unwanted voice commands from background noise</v>
      </c>
    </row>
    <row r="3854" spans="1:3" ht="15.75" customHeight="1" x14ac:dyDescent="0.25">
      <c r="A3854" s="2" t="s">
        <v>3856</v>
      </c>
      <c r="B3854" s="3" t="s">
        <v>6</v>
      </c>
      <c r="C3854" s="2" t="str">
        <f ca="1">IFERROR(__xludf.DUMMYFUNCTION("GOOGLETRANSLATE(A3854,""bn"",""en"")"),"Overpriced items that look cheap")</f>
        <v>Overpriced items that look cheap</v>
      </c>
    </row>
    <row r="3855" spans="1:3" ht="15.75" customHeight="1" x14ac:dyDescent="0.25">
      <c r="A3855" s="2" t="s">
        <v>3857</v>
      </c>
      <c r="B3855" s="3" t="s">
        <v>4</v>
      </c>
      <c r="C3855" s="2" t="str">
        <f ca="1">IFERROR(__xludf.DUMMYFUNCTION("GOOGLETRANSLATE(A3855,""bn"",""en"")"),"Brings peace and tranquility in the mind")</f>
        <v>Brings peace and tranquility in the mind</v>
      </c>
    </row>
    <row r="3856" spans="1:3" ht="15.75" customHeight="1" x14ac:dyDescent="0.25">
      <c r="A3856" s="2" t="s">
        <v>3858</v>
      </c>
      <c r="B3856" s="3" t="s">
        <v>6</v>
      </c>
      <c r="C3856" s="2" t="str">
        <f ca="1">IFERROR(__xludf.DUMMYFUNCTION("GOOGLETRANSLATE(A3856,""bn"",""en"")")," The material is prone to peeling giving it a worn out look")</f>
        <v xml:space="preserve"> The material is prone to peeling giving it a worn out look</v>
      </c>
    </row>
    <row r="3857" spans="1:3" ht="15.75" customHeight="1" x14ac:dyDescent="0.25">
      <c r="A3857" s="2" t="s">
        <v>3859</v>
      </c>
      <c r="B3857" s="3" t="s">
        <v>2</v>
      </c>
      <c r="C3857" s="2" t="str">
        <f ca="1">IFERROR(__xludf.DUMMYFUNCTION("GOOGLETRANSLATE(A3857,""bn"",""en"")"),"There is some tension")</f>
        <v>There is some tension</v>
      </c>
    </row>
    <row r="3858" spans="1:3" ht="15.75" customHeight="1" x14ac:dyDescent="0.25">
      <c r="A3858" s="2" t="s">
        <v>3860</v>
      </c>
      <c r="B3858" s="3" t="s">
        <v>6</v>
      </c>
      <c r="C3858" s="2" t="str">
        <f ca="1">IFERROR(__xludf.DUMMYFUNCTION("GOOGLETRANSLATE(A3858,""bn"",""en"")"),"The jewelery design was poorly executed with uneven stones and crooked settings which detracted from its overall beauty.")</f>
        <v>The jewelery design was poorly executed with uneven stones and crooked settings which detracted from its overall beauty.</v>
      </c>
    </row>
    <row r="3859" spans="1:3" ht="15.75" customHeight="1" x14ac:dyDescent="0.25">
      <c r="A3859" s="2" t="s">
        <v>3861</v>
      </c>
      <c r="B3859" s="3" t="s">
        <v>4</v>
      </c>
      <c r="C3859" s="2" t="str">
        <f ca="1">IFERROR(__xludf.DUMMYFUNCTION("GOOGLETRANSLATE(A3859,""bn"",""en"")"),"The quality of the tea seems to have been prepared with special care")</f>
        <v>The quality of the tea seems to have been prepared with special care</v>
      </c>
    </row>
    <row r="3860" spans="1:3" ht="15.75" customHeight="1" x14ac:dyDescent="0.25">
      <c r="A3860" s="2" t="s">
        <v>3862</v>
      </c>
      <c r="B3860" s="3" t="s">
        <v>4</v>
      </c>
      <c r="C3860" s="2" t="str">
        <f ca="1">IFERROR(__xludf.DUMMYFUNCTION("GOOGLETRANSLATE(A3860,""bn"",""en"")"),"It was also good that the mobile does not heat up")</f>
        <v>It was also good that the mobile does not heat up</v>
      </c>
    </row>
    <row r="3861" spans="1:3" ht="15.75" customHeight="1" x14ac:dyDescent="0.25">
      <c r="A3861" s="2" t="s">
        <v>3863</v>
      </c>
      <c r="B3861" s="3" t="s">
        <v>2</v>
      </c>
      <c r="C3861" s="2" t="str">
        <f ca="1">IFERROR(__xludf.DUMMYFUNCTION("GOOGLETRANSLATE(A3861,""bn"",""en"")"),"Prices are moderate")</f>
        <v>Prices are moderate</v>
      </c>
    </row>
    <row r="3862" spans="1:3" ht="15.75" customHeight="1" x14ac:dyDescent="0.25">
      <c r="A3862" s="2" t="s">
        <v>3864</v>
      </c>
      <c r="B3862" s="3" t="s">
        <v>6</v>
      </c>
      <c r="C3862" s="2" t="str">
        <f ca="1">IFERROR(__xludf.DUMMYFUNCTION("GOOGLETRANSLATE(A3862,""bn"",""en"")"),"The design lacks versatility limiting its application for various occasions")</f>
        <v>The design lacks versatility limiting its application for various occasions</v>
      </c>
    </row>
    <row r="3863" spans="1:3" ht="15.75" customHeight="1" x14ac:dyDescent="0.25">
      <c r="A3863" s="2" t="s">
        <v>3865</v>
      </c>
      <c r="B3863" s="3" t="s">
        <v>4</v>
      </c>
      <c r="C3863" s="2" t="str">
        <f ca="1">IFERROR(__xludf.DUMMYFUNCTION("GOOGLETRANSLATE(A3863,""bn"",""en"")"),"It is remarkable for softness and warmth")</f>
        <v>It is remarkable for softness and warmth</v>
      </c>
    </row>
    <row r="3864" spans="1:3" ht="15.75" customHeight="1" x14ac:dyDescent="0.25">
      <c r="A3864" s="2" t="s">
        <v>3866</v>
      </c>
      <c r="B3864" s="3" t="s">
        <v>6</v>
      </c>
      <c r="C3864" s="2" t="str">
        <f ca="1">IFERROR(__xludf.DUMMYFUNCTION("GOOGLETRANSLATE(A3864,""bn"",""en"")")," The tee came with a hole in the fabric that was difficult to repair without further damaging it")</f>
        <v xml:space="preserve"> The tee came with a hole in the fabric that was difficult to repair without further damaging it</v>
      </c>
    </row>
    <row r="3865" spans="1:3" ht="15.75" customHeight="1" x14ac:dyDescent="0.25">
      <c r="A3865" s="2" t="s">
        <v>3867</v>
      </c>
      <c r="B3865" s="3" t="s">
        <v>6</v>
      </c>
      <c r="C3865" s="2" t="str">
        <f ca="1">IFERROR(__xludf.DUMMYFUNCTION("GOOGLETRANSLATE(A3865,""bn"",""en"")"),"The paint dries quickly in the tubes")</f>
        <v>The paint dries quickly in the tubes</v>
      </c>
    </row>
    <row r="3866" spans="1:3" ht="15.75" customHeight="1" x14ac:dyDescent="0.25">
      <c r="A3866" s="2" t="s">
        <v>3868</v>
      </c>
      <c r="B3866" s="3" t="s">
        <v>6</v>
      </c>
      <c r="C3866" s="2" t="str">
        <f ca="1">IFERROR(__xludf.DUMMYFUNCTION("GOOGLETRANSLATE(A3866,""bn"",""en"")"),"Disappointing experience comes from opening the container")</f>
        <v>Disappointing experience comes from opening the container</v>
      </c>
    </row>
    <row r="3867" spans="1:3" ht="15.75" customHeight="1" x14ac:dyDescent="0.25">
      <c r="A3867" s="2" t="s">
        <v>3869</v>
      </c>
      <c r="B3867" s="3" t="s">
        <v>2</v>
      </c>
      <c r="C3867" s="2" t="str">
        <f ca="1">IFERROR(__xludf.DUMMYFUNCTION("GOOGLETRANSLATE(A3867,""bn"",""en"")"),"Fabric stains easily")</f>
        <v>Fabric stains easily</v>
      </c>
    </row>
    <row r="3868" spans="1:3" ht="15.75" customHeight="1" x14ac:dyDescent="0.25">
      <c r="A3868" s="2" t="s">
        <v>3870</v>
      </c>
      <c r="B3868" s="3" t="s">
        <v>6</v>
      </c>
      <c r="C3868" s="2" t="str">
        <f ca="1">IFERROR(__xludf.DUMMYFUNCTION("GOOGLETRANSLATE(A3868,""bn"",""en"")"),"Just what I wanted could be better quality")</f>
        <v>Just what I wanted could be better quality</v>
      </c>
    </row>
    <row r="3869" spans="1:3" ht="15.75" customHeight="1" x14ac:dyDescent="0.25">
      <c r="A3869" s="2" t="s">
        <v>3871</v>
      </c>
      <c r="B3869" s="3" t="s">
        <v>2</v>
      </c>
      <c r="C3869" s="2" t="str">
        <f ca="1">IFERROR(__xludf.DUMMYFUNCTION("GOOGLETRANSLATE(A3869,""bn"",""en"")"),"Quality is good but not exceptional")</f>
        <v>Quality is good but not exceptional</v>
      </c>
    </row>
    <row r="3870" spans="1:3" ht="15.75" customHeight="1" x14ac:dyDescent="0.25">
      <c r="A3870" s="2" t="s">
        <v>3872</v>
      </c>
      <c r="B3870" s="3" t="s">
        <v>2</v>
      </c>
      <c r="C3870" s="2" t="str">
        <f ca="1">IFERROR(__xludf.DUMMYFUNCTION("GOOGLETRANSLATE(A3870,""bn"",""en"")"),"Makes noise when moving but not very interesting")</f>
        <v>Makes noise when moving but not very interesting</v>
      </c>
    </row>
    <row r="3871" spans="1:3" ht="15.75" customHeight="1" x14ac:dyDescent="0.25">
      <c r="A3871" s="2" t="s">
        <v>3873</v>
      </c>
      <c r="B3871" s="3" t="s">
        <v>2</v>
      </c>
      <c r="C3871" s="2" t="str">
        <f ca="1">IFERROR(__xludf.DUMMYFUNCTION("GOOGLETRANSLATE(A3871,""bn"",""en"")"),"Not very helpful")</f>
        <v>Not very helpful</v>
      </c>
    </row>
    <row r="3872" spans="1:3" ht="15.75" customHeight="1" x14ac:dyDescent="0.25">
      <c r="A3872" s="2" t="s">
        <v>3874</v>
      </c>
      <c r="B3872" s="3" t="s">
        <v>4</v>
      </c>
      <c r="C3872" s="2" t="str">
        <f ca="1">IFERROR(__xludf.DUMMYFUNCTION("GOOGLETRANSLATE(A3872,""bn"",""en"")"),"Great little gadget is much better")</f>
        <v>Great little gadget is much better</v>
      </c>
    </row>
    <row r="3873" spans="1:3" ht="15.75" customHeight="1" x14ac:dyDescent="0.25">
      <c r="A3873" s="2" t="s">
        <v>3875</v>
      </c>
      <c r="B3873" s="3" t="s">
        <v>6</v>
      </c>
      <c r="C3873" s="2" t="str">
        <f ca="1">IFERROR(__xludf.DUMMYFUNCTION("GOOGLETRANSLATE(A3873,""bn"",""en"")"),"Shoes have poor arch support causing discomfort and fatigue during extended wear")</f>
        <v>Shoes have poor arch support causing discomfort and fatigue during extended wear</v>
      </c>
    </row>
    <row r="3874" spans="1:3" ht="15.75" customHeight="1" x14ac:dyDescent="0.25">
      <c r="A3874" s="2" t="s">
        <v>3876</v>
      </c>
      <c r="B3874" s="3" t="s">
        <v>2</v>
      </c>
      <c r="C3874" s="2" t="str">
        <f ca="1">IFERROR(__xludf.DUMMYFUNCTION("GOOGLETRANSLATE(A3874,""bn"",""en"")"),"Can be used on high flow days")</f>
        <v>Can be used on high flow days</v>
      </c>
    </row>
    <row r="3875" spans="1:3" ht="15.75" customHeight="1" x14ac:dyDescent="0.25">
      <c r="A3875" s="2" t="s">
        <v>3877</v>
      </c>
      <c r="B3875" s="3" t="s">
        <v>6</v>
      </c>
      <c r="C3875" s="2" t="str">
        <f ca="1">IFERROR(__xludf.DUMMYFUNCTION("GOOGLETRANSLATE(A3875,""bn"",""en"")"),"Impractical design that is not suitable for daily wear")</f>
        <v>Impractical design that is not suitable for daily wear</v>
      </c>
    </row>
    <row r="3876" spans="1:3" ht="15.75" customHeight="1" x14ac:dyDescent="0.25">
      <c r="A3876" s="2" t="s">
        <v>3878</v>
      </c>
      <c r="B3876" s="3" t="s">
        <v>4</v>
      </c>
      <c r="C3876" s="2" t="str">
        <f ca="1">IFERROR(__xludf.DUMMYFUNCTION("GOOGLETRANSLATE(A3876,""bn"",""en"")"),"Children play happily in the park")</f>
        <v>Children play happily in the park</v>
      </c>
    </row>
    <row r="3877" spans="1:3" ht="15.75" customHeight="1" x14ac:dyDescent="0.25">
      <c r="A3877" s="2" t="s">
        <v>3879</v>
      </c>
      <c r="B3877" s="3" t="s">
        <v>6</v>
      </c>
      <c r="C3877" s="2" t="str">
        <f ca="1">IFERROR(__xludf.DUMMYFUNCTION("GOOGLETRANSLATE(A3877,""bn"",""en"")"),"Unstable and unreliable it is worthless")</f>
        <v>Unstable and unreliable it is worthless</v>
      </c>
    </row>
    <row r="3878" spans="1:3" ht="15.75" customHeight="1" x14ac:dyDescent="0.25">
      <c r="A3878" s="2" t="s">
        <v>3880</v>
      </c>
      <c r="B3878" s="3" t="s">
        <v>2</v>
      </c>
      <c r="C3878" s="2" t="str">
        <f ca="1">IFERROR(__xludf.DUMMYFUNCTION("GOOGLETRANSLATE(A3878,""bn"",""en"")"),"Comfortable to wear but the finishing is not good")</f>
        <v>Comfortable to wear but the finishing is not good</v>
      </c>
    </row>
    <row r="3879" spans="1:3" ht="15.75" customHeight="1" x14ac:dyDescent="0.25">
      <c r="A3879" s="2" t="s">
        <v>3881</v>
      </c>
      <c r="B3879" s="3" t="s">
        <v>4</v>
      </c>
      <c r="C3879" s="2" t="str">
        <f ca="1">IFERROR(__xludf.DUMMYFUNCTION("GOOGLETRANSLATE(A3879,""bn"",""en"")"),"This shampoo is very effective in protecting hair health")</f>
        <v>This shampoo is very effective in protecting hair health</v>
      </c>
    </row>
    <row r="3880" spans="1:3" ht="15.75" customHeight="1" x14ac:dyDescent="0.25">
      <c r="A3880" s="2" t="s">
        <v>3882</v>
      </c>
      <c r="B3880" s="3" t="s">
        <v>4</v>
      </c>
      <c r="C3880" s="2" t="str">
        <f ca="1">IFERROR(__xludf.DUMMYFUNCTION("GOOGLETRANSLATE(A3880,""bn"",""en"")"),"Great product for attaching Airtags to your pet's collar")</f>
        <v>Great product for attaching Airtags to your pet's collar</v>
      </c>
    </row>
    <row r="3881" spans="1:3" ht="15.75" customHeight="1" x14ac:dyDescent="0.25">
      <c r="A3881" s="2" t="s">
        <v>3883</v>
      </c>
      <c r="B3881" s="3" t="s">
        <v>2</v>
      </c>
      <c r="C3881" s="2" t="str">
        <f ca="1">IFERROR(__xludf.DUMMYFUNCTION("GOOGLETRANSLATE(A3881,""bn"",""en"")"),"Works well enough but not impressive")</f>
        <v>Works well enough but not impressive</v>
      </c>
    </row>
    <row r="3882" spans="1:3" ht="15.75" customHeight="1" x14ac:dyDescent="0.25">
      <c r="A3882" s="2" t="s">
        <v>3884</v>
      </c>
      <c r="B3882" s="3" t="s">
        <v>6</v>
      </c>
      <c r="C3882" s="2" t="str">
        <f ca="1">IFERROR(__xludf.DUMMYFUNCTION("GOOGLETRANSLATE(A3882,""bn"",""en"")")," The tee came with loose buttons that had to be reattached before wearing")</f>
        <v xml:space="preserve"> The tee came with loose buttons that had to be reattached before wearing</v>
      </c>
    </row>
    <row r="3883" spans="1:3" ht="15.75" customHeight="1" x14ac:dyDescent="0.25">
      <c r="A3883" s="2" t="s">
        <v>3885</v>
      </c>
      <c r="B3883" s="3" t="s">
        <v>6</v>
      </c>
      <c r="C3883" s="2" t="str">
        <f ca="1">IFERROR(__xludf.DUMMYFUNCTION("GOOGLETRANSLATE(A3883,""bn"",""en"")"),"The rough texture of the fabric causes irritation and discomfort")</f>
        <v>The rough texture of the fabric causes irritation and discomfort</v>
      </c>
    </row>
    <row r="3884" spans="1:3" ht="15.75" customHeight="1" x14ac:dyDescent="0.25">
      <c r="A3884" s="2" t="s">
        <v>3886</v>
      </c>
      <c r="B3884" s="3" t="s">
        <v>6</v>
      </c>
      <c r="C3884" s="2" t="str">
        <f ca="1">IFERROR(__xludf.DUMMYFUNCTION("GOOGLETRANSLATE(A3884,""bn"",""en"")"),"  The lotion contains glitter particles that transfer onto clothing leaving behind a trail of glitter")</f>
        <v xml:space="preserve">  The lotion contains glitter particles that transfer onto clothing leaving behind a trail of glitter</v>
      </c>
    </row>
    <row r="3885" spans="1:3" ht="15.75" customHeight="1" x14ac:dyDescent="0.25">
      <c r="A3885" s="2" t="s">
        <v>3887</v>
      </c>
      <c r="B3885" s="3" t="s">
        <v>4</v>
      </c>
      <c r="C3885" s="2" t="str">
        <f ca="1">IFERROR(__xludf.DUMMYFUNCTION("GOOGLETRANSLATE(A3885,""bn"",""en"")"),"I especially love the size of these pillows, they are just right for my bed, not too big or too small")</f>
        <v>I especially love the size of these pillows, they are just right for my bed, not too big or too small</v>
      </c>
    </row>
    <row r="3886" spans="1:3" ht="15.75" customHeight="1" x14ac:dyDescent="0.25">
      <c r="A3886" s="2" t="s">
        <v>3888</v>
      </c>
      <c r="B3886" s="3" t="s">
        <v>4</v>
      </c>
      <c r="C3886" s="2" t="str">
        <f ca="1">IFERROR(__xludf.DUMMYFUNCTION("GOOGLETRANSLATE(A3886,""bn"",""en"")"),"Of course I am going to write some more positive comments")</f>
        <v>Of course I am going to write some more positive comments</v>
      </c>
    </row>
    <row r="3887" spans="1:3" ht="15.75" customHeight="1" x14ac:dyDescent="0.25">
      <c r="A3887" s="2" t="s">
        <v>3889</v>
      </c>
      <c r="B3887" s="3" t="s">
        <v>6</v>
      </c>
      <c r="C3887" s="2" t="str">
        <f ca="1">IFERROR(__xludf.DUMMYFUNCTION("GOOGLETRANSLATE(A3887,""bn"",""en"")"),"The fridge arrived with visible scratches indicating poor handling during transit")</f>
        <v>The fridge arrived with visible scratches indicating poor handling during transit</v>
      </c>
    </row>
    <row r="3888" spans="1:3" ht="15.75" customHeight="1" x14ac:dyDescent="0.25">
      <c r="A3888" s="2" t="s">
        <v>3890</v>
      </c>
      <c r="B3888" s="3" t="s">
        <v>6</v>
      </c>
      <c r="C3888" s="2" t="str">
        <f ca="1">IFERROR(__xludf.DUMMYFUNCTION("GOOGLETRANSLATE(A3888,""bn"",""en"")"),"Waste of money because they are not as effective as expected")</f>
        <v>Waste of money because they are not as effective as expected</v>
      </c>
    </row>
    <row r="3889" spans="1:3" ht="15.75" customHeight="1" x14ac:dyDescent="0.25">
      <c r="A3889" s="2" t="s">
        <v>3891</v>
      </c>
      <c r="B3889" s="3" t="s">
        <v>6</v>
      </c>
      <c r="C3889" s="2" t="str">
        <f ca="1">IFERROR(__xludf.DUMMYFUNCTION("GOOGLETRANSLATE(A3889,""bn"",""en"")"),"The blender blade assembly is difficult to remove and difficult to clean thoroughly")</f>
        <v>The blender blade assembly is difficult to remove and difficult to clean thoroughly</v>
      </c>
    </row>
    <row r="3890" spans="1:3" ht="15.75" customHeight="1" x14ac:dyDescent="0.25">
      <c r="A3890" s="2" t="s">
        <v>3892</v>
      </c>
      <c r="B3890" s="3" t="s">
        <v>2</v>
      </c>
      <c r="C3890" s="2" t="str">
        <f ca="1">IFERROR(__xludf.DUMMYFUNCTION("GOOGLETRANSLATE(A3890,""bn"",""en"")"),"Some plants have fared better but the fertilizer costs a bit more")</f>
        <v>Some plants have fared better but the fertilizer costs a bit more</v>
      </c>
    </row>
    <row r="3891" spans="1:3" ht="15.75" customHeight="1" x14ac:dyDescent="0.25">
      <c r="A3891" s="2" t="s">
        <v>3893</v>
      </c>
      <c r="B3891" s="3" t="s">
        <v>2</v>
      </c>
      <c r="C3891" s="2" t="str">
        <f ca="1">IFERROR(__xludf.DUMMYFUNCTION("GOOGLETRANSLATE(A3891,""bn"",""en"")"),"A capable scanner for the price may have concerns about compatibility")</f>
        <v>A capable scanner for the price may have concerns about compatibility</v>
      </c>
    </row>
    <row r="3892" spans="1:3" ht="15.75" customHeight="1" x14ac:dyDescent="0.25">
      <c r="A3892" s="2" t="s">
        <v>3894</v>
      </c>
      <c r="B3892" s="3" t="s">
        <v>4</v>
      </c>
      <c r="C3892" s="2" t="str">
        <f ca="1">IFERROR(__xludf.DUMMYFUNCTION("GOOGLETRANSLATE(A3892,""bn"",""en"")"),"Its quality and taste impressed me")</f>
        <v>Its quality and taste impressed me</v>
      </c>
    </row>
    <row r="3893" spans="1:3" ht="15.75" customHeight="1" x14ac:dyDescent="0.25">
      <c r="A3893" s="2" t="s">
        <v>3895</v>
      </c>
      <c r="B3893" s="3" t="s">
        <v>6</v>
      </c>
      <c r="C3893" s="2" t="str">
        <f ca="1">IFERROR(__xludf.DUMMYFUNCTION("GOOGLETRANSLATE(A3893,""bn"",""en"")"),"The rough texture makes it difficult to clean the stuck dirt")</f>
        <v>The rough texture makes it difficult to clean the stuck dirt</v>
      </c>
    </row>
    <row r="3894" spans="1:3" ht="15.75" customHeight="1" x14ac:dyDescent="0.25">
      <c r="A3894" s="2" t="s">
        <v>3896</v>
      </c>
      <c r="B3894" s="3" t="s">
        <v>6</v>
      </c>
      <c r="C3894" s="2" t="str">
        <f ca="1">IFERROR(__xludf.DUMMYFUNCTION("GOOGLETRANSLATE(A3894,""bn"",""en"")")," Camera lenses are prone to scratching affecting image quality and clarity")</f>
        <v xml:space="preserve"> Camera lenses are prone to scratching affecting image quality and clarity</v>
      </c>
    </row>
    <row r="3895" spans="1:3" ht="15.75" customHeight="1" x14ac:dyDescent="0.25">
      <c r="A3895" s="2" t="s">
        <v>3897</v>
      </c>
      <c r="B3895" s="3" t="s">
        <v>6</v>
      </c>
      <c r="C3895" s="2" t="str">
        <f ca="1">IFERROR(__xludf.DUMMYFUNCTION("GOOGLETRANSLATE(A3895,""bn"",""en"")")," The display panel is difficult to read especially in low light conditions")</f>
        <v xml:space="preserve"> The display panel is difficult to read especially in low light conditions</v>
      </c>
    </row>
    <row r="3896" spans="1:3" ht="15.75" customHeight="1" x14ac:dyDescent="0.25">
      <c r="A3896" s="2" t="s">
        <v>3898</v>
      </c>
      <c r="B3896" s="3" t="s">
        <v>4</v>
      </c>
      <c r="C3896" s="2" t="str">
        <f ca="1">IFERROR(__xludf.DUMMYFUNCTION("GOOGLETRANSLATE(A3896,""bn"",""en"")"),"The doll is teaching my daughter to be caring and empathetic")</f>
        <v>The doll is teaching my daughter to be caring and empathetic</v>
      </c>
    </row>
    <row r="3897" spans="1:3" ht="15.75" customHeight="1" x14ac:dyDescent="0.25">
      <c r="A3897" s="2" t="s">
        <v>3899</v>
      </c>
      <c r="B3897" s="3" t="s">
        <v>6</v>
      </c>
      <c r="C3897" s="2" t="str">
        <f ca="1">IFERROR(__xludf.DUMMYFUNCTION("GOOGLETRANSLATE(A3897,""bn"",""en"")")," Despite following care instructions the garment shrinks enough after the first wash to become unwearable")</f>
        <v xml:space="preserve"> Despite following care instructions the garment shrinks enough after the first wash to become unwearable</v>
      </c>
    </row>
    <row r="3898" spans="1:3" ht="15.75" customHeight="1" x14ac:dyDescent="0.25">
      <c r="A3898" s="2" t="s">
        <v>3900</v>
      </c>
      <c r="B3898" s="3" t="s">
        <v>4</v>
      </c>
      <c r="C3898" s="2" t="str">
        <f ca="1">IFERROR(__xludf.DUMMYFUNCTION("GOOGLETRANSLATE(A3898,""bn"",""en"")"),"The shelves of the bookshelf are easily adjustable for different sizes of books")</f>
        <v>The shelves of the bookshelf are easily adjustable for different sizes of books</v>
      </c>
    </row>
    <row r="3899" spans="1:3" ht="15.75" customHeight="1" x14ac:dyDescent="0.25">
      <c r="A3899" s="2" t="s">
        <v>3901</v>
      </c>
      <c r="B3899" s="3" t="s">
        <v>2</v>
      </c>
      <c r="C3899" s="2" t="str">
        <f ca="1">IFERROR(__xludf.DUMMYFUNCTION("GOOGLETRANSLATE(A3899,""bn"",""en"")"),"Can be easily disposed of after use")</f>
        <v>Can be easily disposed of after use</v>
      </c>
    </row>
    <row r="3900" spans="1:3" ht="15.75" customHeight="1" x14ac:dyDescent="0.25">
      <c r="A3900" s="2" t="s">
        <v>3902</v>
      </c>
      <c r="B3900" s="3" t="s">
        <v>6</v>
      </c>
      <c r="C3900" s="2" t="str">
        <f ca="1">IFERROR(__xludf.DUMMYFUNCTION("GOOGLETRANSLATE(A3900,""bn"",""en"")"),"It is frustrating to receive a dress with missing embellishments")</f>
        <v>It is frustrating to receive a dress with missing embellishments</v>
      </c>
    </row>
    <row r="3901" spans="1:3" ht="15.75" customHeight="1" x14ac:dyDescent="0.25">
      <c r="A3901" s="2" t="s">
        <v>3903</v>
      </c>
      <c r="B3901" s="3" t="s">
        <v>6</v>
      </c>
      <c r="C3901" s="2" t="str">
        <f ca="1">IFERROR(__xludf.DUMMYFUNCTION("GOOGLETRANSLATE(A3901,""bn"",""en"")"),"The coffee lacked depth and complexity and the flavor was one-dimensional")</f>
        <v>The coffee lacked depth and complexity and the flavor was one-dimensional</v>
      </c>
    </row>
    <row r="3902" spans="1:3" ht="15.75" customHeight="1" x14ac:dyDescent="0.25">
      <c r="A3902" s="2" t="s">
        <v>3904</v>
      </c>
      <c r="B3902" s="3" t="s">
        <v>4</v>
      </c>
      <c r="C3902" s="2" t="str">
        <f ca="1">IFERROR(__xludf.DUMMYFUNCTION("GOOGLETRANSLATE(A3902,""bn"",""en"")"),"Nice phone holder")</f>
        <v>Nice phone holder</v>
      </c>
    </row>
    <row r="3903" spans="1:3" ht="15.75" customHeight="1" x14ac:dyDescent="0.25">
      <c r="A3903" s="2" t="s">
        <v>3905</v>
      </c>
      <c r="B3903" s="3" t="s">
        <v>4</v>
      </c>
      <c r="C3903" s="2" t="str">
        <f ca="1">IFERROR(__xludf.DUMMYFUNCTION("GOOGLETRANSLATE(A3903,""bn"",""en"")"),"The power of the pea is very high")</f>
        <v>The power of the pea is very high</v>
      </c>
    </row>
    <row r="3904" spans="1:3" ht="15.75" customHeight="1" x14ac:dyDescent="0.25">
      <c r="A3904" s="2" t="s">
        <v>3906</v>
      </c>
      <c r="B3904" s="3" t="s">
        <v>6</v>
      </c>
      <c r="C3904" s="2" t="str">
        <f ca="1">IFERROR(__xludf.DUMMYFUNCTION("GOOGLETRANSLATE(A3904,""bn"",""en"")"),"The phone's WiFi connection is unstable and frequently drops or disconnects")</f>
        <v>The phone's WiFi connection is unstable and frequently drops or disconnects</v>
      </c>
    </row>
    <row r="3905" spans="1:3" ht="15.75" customHeight="1" x14ac:dyDescent="0.25">
      <c r="A3905" s="2" t="s">
        <v>3907</v>
      </c>
      <c r="B3905" s="3" t="s">
        <v>6</v>
      </c>
      <c r="C3905" s="2" t="str">
        <f ca="1">IFERROR(__xludf.DUMMYFUNCTION("GOOGLETRANSLATE(A3905,""bn"",""en"")"),"The coffee machine's brew cycle takes too long to brew slow coffee")</f>
        <v>The coffee machine's brew cycle takes too long to brew slow coffee</v>
      </c>
    </row>
    <row r="3906" spans="1:3" ht="15.75" customHeight="1" x14ac:dyDescent="0.25">
      <c r="A3906" s="2" t="s">
        <v>3908</v>
      </c>
      <c r="B3906" s="3" t="s">
        <v>2</v>
      </c>
      <c r="C3906" s="2" t="str">
        <f ca="1">IFERROR(__xludf.DUMMYFUNCTION("GOOGLETRANSLATE(A3906,""bn"",""en"")"),"The mirror was slightly different compared to the expected quality")</f>
        <v>The mirror was slightly different compared to the expected quality</v>
      </c>
    </row>
    <row r="3907" spans="1:3" ht="15.75" customHeight="1" x14ac:dyDescent="0.25">
      <c r="A3907" s="2" t="s">
        <v>3909</v>
      </c>
      <c r="B3907" s="3" t="s">
        <v>4</v>
      </c>
      <c r="C3907" s="2" t="str">
        <f ca="1">IFERROR(__xludf.DUMMYFUNCTION("GOOGLETRANSLATE(A3907,""bn"",""en"")"),"Hands are extremely soft in the morning if used overnight")</f>
        <v>Hands are extremely soft in the morning if used overnight</v>
      </c>
    </row>
    <row r="3908" spans="1:3" ht="15.75" customHeight="1" x14ac:dyDescent="0.25">
      <c r="A3908" s="2" t="s">
        <v>3910</v>
      </c>
      <c r="B3908" s="3" t="s">
        <v>2</v>
      </c>
      <c r="C3908" s="2" t="str">
        <f ca="1">IFERROR(__xludf.DUMMYFUNCTION("GOOGLETRANSLATE(A3908,""bn"",""en"")"),"Although the soil health was somewhat better, the yield was not as expected")</f>
        <v>Although the soil health was somewhat better, the yield was not as expected</v>
      </c>
    </row>
    <row r="3909" spans="1:3" ht="15.75" customHeight="1" x14ac:dyDescent="0.25">
      <c r="A3909" s="2" t="s">
        <v>3911</v>
      </c>
      <c r="B3909" s="3" t="s">
        <v>4</v>
      </c>
      <c r="C3909" s="2" t="str">
        <f ca="1">IFERROR(__xludf.DUMMYFUNCTION("GOOGLETRANSLATE(A3909,""bn"",""en"")"),"The comforter is very light weight")</f>
        <v>The comforter is very light weight</v>
      </c>
    </row>
    <row r="3910" spans="1:3" ht="15.75" customHeight="1" x14ac:dyDescent="0.25">
      <c r="A3910" s="2" t="s">
        <v>3912</v>
      </c>
      <c r="B3910" s="3" t="s">
        <v>6</v>
      </c>
      <c r="C3910" s="2" t="str">
        <f ca="1">IFERROR(__xludf.DUMMYFUNCTION("GOOGLETRANSLATE(A3910,""bn"",""en"")"),"Product performance deteriorates rapidly after minimal use")</f>
        <v>Product performance deteriorates rapidly after minimal use</v>
      </c>
    </row>
    <row r="3911" spans="1:3" ht="15.75" customHeight="1" x14ac:dyDescent="0.25">
      <c r="A3911" s="2" t="s">
        <v>3913</v>
      </c>
      <c r="B3911" s="3" t="s">
        <v>4</v>
      </c>
      <c r="C3911" s="2" t="str">
        <f ca="1">IFERROR(__xludf.DUMMYFUNCTION("GOOGLETRANSLATE(A3911,""bn"",""en"")"),"Makes my dry skin instantly soft and smooth")</f>
        <v>Makes my dry skin instantly soft and smooth</v>
      </c>
    </row>
    <row r="3912" spans="1:3" ht="15.75" customHeight="1" x14ac:dyDescent="0.25">
      <c r="A3912" s="2" t="s">
        <v>3914</v>
      </c>
      <c r="B3912" s="3" t="s">
        <v>2</v>
      </c>
      <c r="C3912" s="2" t="str">
        <f ca="1">IFERROR(__xludf.DUMMYFUNCTION("GOOGLETRANSLATE(A3912,""bn"",""en"")"),"Slightly thinner than expected")</f>
        <v>Slightly thinner than expected</v>
      </c>
    </row>
    <row r="3913" spans="1:3" ht="15.75" customHeight="1" x14ac:dyDescent="0.25">
      <c r="A3913" s="2" t="s">
        <v>3915</v>
      </c>
      <c r="B3913" s="3" t="s">
        <v>2</v>
      </c>
      <c r="C3913" s="2" t="str">
        <f ca="1">IFERROR(__xludf.DUMMYFUNCTION("GOOGLETRANSLATE(A3913,""bn"",""en"")"),"Not that big but there is work to be done")</f>
        <v>Not that big but there is work to be done</v>
      </c>
    </row>
    <row r="3914" spans="1:3" ht="15.75" customHeight="1" x14ac:dyDescent="0.25">
      <c r="A3914" s="2" t="s">
        <v>3916</v>
      </c>
      <c r="B3914" s="3" t="s">
        <v>2</v>
      </c>
      <c r="C3914" s="2" t="str">
        <f ca="1">IFERROR(__xludf.DUMMYFUNCTION("GOOGLETRANSLATE(A3914,""bn"",""en"")"),"Movement during use will drain the water")</f>
        <v>Movement during use will drain the water</v>
      </c>
    </row>
    <row r="3915" spans="1:3" ht="15.75" customHeight="1" x14ac:dyDescent="0.25">
      <c r="A3915" s="2" t="s">
        <v>3917</v>
      </c>
      <c r="B3915" s="3" t="s">
        <v>2</v>
      </c>
      <c r="C3915" s="2" t="str">
        <f ca="1">IFERROR(__xludf.DUMMYFUNCTION("GOOGLETRANSLATE(A3915,""bn"",""en"")"),"Average quality fabric but nice cut")</f>
        <v>Average quality fabric but nice cut</v>
      </c>
    </row>
    <row r="3916" spans="1:3" ht="15.75" customHeight="1" x14ac:dyDescent="0.25">
      <c r="A3916" s="2" t="s">
        <v>3918</v>
      </c>
      <c r="B3916" s="3" t="s">
        <v>2</v>
      </c>
      <c r="C3916" s="2" t="str">
        <f ca="1">IFERROR(__xludf.DUMMYFUNCTION("GOOGLETRANSLATE(A3916,""bn"",""en"")"),"The product is not soft")</f>
        <v>The product is not soft</v>
      </c>
    </row>
    <row r="3917" spans="1:3" ht="15.75" customHeight="1" x14ac:dyDescent="0.25">
      <c r="A3917" s="2" t="s">
        <v>3919</v>
      </c>
      <c r="B3917" s="3" t="s">
        <v>4</v>
      </c>
      <c r="C3917" s="2" t="str">
        <f ca="1">IFERROR(__xludf.DUMMYFUNCTION("GOOGLETRANSLATE(A3917,""bn"",""en"")"),"You will feel the freshness by using this body wash")</f>
        <v>You will feel the freshness by using this body wash</v>
      </c>
    </row>
    <row r="3918" spans="1:3" ht="15.75" customHeight="1" x14ac:dyDescent="0.25">
      <c r="A3918" s="2" t="s">
        <v>3920</v>
      </c>
      <c r="B3918" s="3" t="s">
        <v>2</v>
      </c>
      <c r="C3918" s="2" t="str">
        <f ca="1">IFERROR(__xludf.DUMMYFUNCTION("GOOGLETRANSLATE(A3918,""bn"",""en"")"),"Check for leaks before use")</f>
        <v>Check for leaks before use</v>
      </c>
    </row>
    <row r="3919" spans="1:3" ht="15.75" customHeight="1" x14ac:dyDescent="0.25">
      <c r="A3919" s="2" t="s">
        <v>3921</v>
      </c>
      <c r="B3919" s="3" t="s">
        <v>6</v>
      </c>
      <c r="C3919" s="2" t="str">
        <f ca="1">IFERROR(__xludf.DUMMYFUNCTION("GOOGLETRANSLATE(A3919,""bn"",""en"")"),"Clothing has no durability Shows signs of wear after minimal use")</f>
        <v>Clothing has no durability Shows signs of wear after minimal use</v>
      </c>
    </row>
    <row r="3920" spans="1:3" ht="15.75" customHeight="1" x14ac:dyDescent="0.25">
      <c r="A3920" s="2" t="s">
        <v>3922</v>
      </c>
      <c r="B3920" s="3" t="s">
        <v>6</v>
      </c>
      <c r="C3920" s="2" t="str">
        <f ca="1">IFERROR(__xludf.DUMMYFUNCTION("GOOGLETRANSLATE(A3920,""bn"",""en"")"),"Dirty dolls ruined the experience Dirty and used")</f>
        <v>Dirty dolls ruined the experience Dirty and used</v>
      </c>
    </row>
    <row r="3921" spans="1:3" ht="15.75" customHeight="1" x14ac:dyDescent="0.25">
      <c r="A3921" s="2" t="s">
        <v>3923</v>
      </c>
      <c r="B3921" s="3" t="s">
        <v>4</v>
      </c>
      <c r="C3921" s="2" t="str">
        <f ca="1">IFERROR(__xludf.DUMMYFUNCTION("GOOGLETRANSLATE(A3921,""bn"",""en"")"),"It is the best in terms of cost and performance")</f>
        <v>It is the best in terms of cost and performance</v>
      </c>
    </row>
    <row r="3922" spans="1:3" ht="15.75" customHeight="1" x14ac:dyDescent="0.25">
      <c r="A3922" s="2" t="s">
        <v>3924</v>
      </c>
      <c r="B3922" s="3" t="s">
        <v>4</v>
      </c>
      <c r="C3922" s="2" t="str">
        <f ca="1">IFERROR(__xludf.DUMMYFUNCTION("GOOGLETRANSLATE(A3922,""bn"",""en"")"),"The high quality and efficient performance of the fan is highly commendable")</f>
        <v>The high quality and efficient performance of the fan is highly commendable</v>
      </c>
    </row>
    <row r="3923" spans="1:3" ht="15.75" customHeight="1" x14ac:dyDescent="0.25">
      <c r="A3923" s="2" t="s">
        <v>3925</v>
      </c>
      <c r="B3923" s="3" t="s">
        <v>2</v>
      </c>
      <c r="C3923" s="2" t="str">
        <f ca="1">IFERROR(__xludf.DUMMYFUNCTION("GOOGLETRANSLATE(A3923,""bn"",""en"")"),"The quality is good for the price but could have been improved")</f>
        <v>The quality is good for the price but could have been improved</v>
      </c>
    </row>
    <row r="3924" spans="1:3" ht="15.75" customHeight="1" x14ac:dyDescent="0.25">
      <c r="A3924" s="2" t="s">
        <v>3926</v>
      </c>
      <c r="B3924" s="3" t="s">
        <v>6</v>
      </c>
      <c r="C3924" s="2" t="str">
        <f ca="1">IFERROR(__xludf.DUMMYFUNCTION("GOOGLETRANSLATE(A3924,""bn"",""en"")"),"The product causes visual fatigue")</f>
        <v>The product causes visual fatigue</v>
      </c>
    </row>
    <row r="3925" spans="1:3" ht="15.75" customHeight="1" x14ac:dyDescent="0.25">
      <c r="A3925" s="2" t="s">
        <v>3927</v>
      </c>
      <c r="B3925" s="3" t="s">
        <v>4</v>
      </c>
      <c r="C3925" s="2" t="str">
        <f ca="1">IFERROR(__xludf.DUMMYFUNCTION("GOOGLETRANSLATE(A3925,""bn"",""en"")"),"very nice looking")</f>
        <v>very nice looking</v>
      </c>
    </row>
    <row r="3926" spans="1:3" ht="15.75" customHeight="1" x14ac:dyDescent="0.25">
      <c r="A3926" s="2" t="s">
        <v>3928</v>
      </c>
      <c r="B3926" s="3" t="s">
        <v>4</v>
      </c>
      <c r="C3926" s="2" t="str">
        <f ca="1">IFERROR(__xludf.DUMMYFUNCTION("GOOGLETRANSLATE(A3926,""bn"",""en"")"),"The movie watching experience with these speakers is a completely different home theater experience")</f>
        <v>The movie watching experience with these speakers is a completely different home theater experience</v>
      </c>
    </row>
    <row r="3927" spans="1:3" ht="15.75" customHeight="1" x14ac:dyDescent="0.25">
      <c r="A3927" s="2" t="s">
        <v>3929</v>
      </c>
      <c r="B3927" s="3" t="s">
        <v>4</v>
      </c>
      <c r="C3927" s="2" t="str">
        <f ca="1">IFERROR(__xludf.DUMMYFUNCTION("GOOGLETRANSLATE(A3927,""bn"",""en"")"),"Perfect for a multiroom setup, can play the same song in all rooms of the house")</f>
        <v>Perfect for a multiroom setup, can play the same song in all rooms of the house</v>
      </c>
    </row>
    <row r="3928" spans="1:3" ht="15.75" customHeight="1" x14ac:dyDescent="0.25">
      <c r="A3928" s="2" t="s">
        <v>3930</v>
      </c>
      <c r="B3928" s="3" t="s">
        <v>4</v>
      </c>
      <c r="C3928" s="2" t="str">
        <f ca="1">IFERROR(__xludf.DUMMYFUNCTION("GOOGLETRANSLATE(A3928,""bn"",""en"")"),"The paper is very smooth and less prone to tearing")</f>
        <v>The paper is very smooth and less prone to tearing</v>
      </c>
    </row>
    <row r="3929" spans="1:3" ht="15.75" customHeight="1" x14ac:dyDescent="0.25">
      <c r="A3929" s="2" t="s">
        <v>3931</v>
      </c>
      <c r="B3929" s="3" t="s">
        <v>2</v>
      </c>
      <c r="C3929" s="2" t="str">
        <f ca="1">IFERROR(__xludf.DUMMYFUNCTION("GOOGLETRANSLATE(A3929,""bn"",""en"")"),"The book stand works but the quality of the plastic is not good")</f>
        <v>The book stand works but the quality of the plastic is not good</v>
      </c>
    </row>
    <row r="3930" spans="1:3" ht="15.75" customHeight="1" x14ac:dyDescent="0.25">
      <c r="A3930" s="2" t="s">
        <v>3932</v>
      </c>
      <c r="B3930" s="3" t="s">
        <v>2</v>
      </c>
      <c r="C3930" s="2" t="str">
        <f ca="1">IFERROR(__xludf.DUMMYFUNCTION("GOOGLETRANSLATE(A3930,""bn"",""en"")"),"The electronic pet feeder delivers food but the timer is unreliable")</f>
        <v>The electronic pet feeder delivers food but the timer is unreliable</v>
      </c>
    </row>
    <row r="3931" spans="1:3" ht="15.75" customHeight="1" x14ac:dyDescent="0.25">
      <c r="A3931" s="2" t="s">
        <v>3933</v>
      </c>
      <c r="B3931" s="3" t="s">
        <v>6</v>
      </c>
      <c r="C3931" s="2" t="str">
        <f ca="1">IFERROR(__xludf.DUMMYFUNCTION("GOOGLETRANSLATE(A3931,""bn"",""en"")"),"I found a faded and washed out color unknown")</f>
        <v>I found a faded and washed out color unknown</v>
      </c>
    </row>
    <row r="3932" spans="1:3" ht="15.75" customHeight="1" x14ac:dyDescent="0.25">
      <c r="A3932" s="2" t="s">
        <v>3934</v>
      </c>
      <c r="B3932" s="3" t="s">
        <v>2</v>
      </c>
      <c r="C3932" s="2" t="str">
        <f ca="1">IFERROR(__xludf.DUMMYFUNCTION("GOOGLETRANSLATE(A3932,""bn"",""en"")"),"Cheap and effective but somewhat unsustainable")</f>
        <v>Cheap and effective but somewhat unsustainable</v>
      </c>
    </row>
    <row r="3933" spans="1:3" ht="15.75" customHeight="1" x14ac:dyDescent="0.25">
      <c r="A3933" s="2" t="s">
        <v>3935</v>
      </c>
      <c r="B3933" s="3" t="s">
        <v>6</v>
      </c>
      <c r="C3933" s="2" t="str">
        <f ca="1">IFERROR(__xludf.DUMMYFUNCTION("GOOGLETRANSLATE(A3933,""bn"",""en"")"),"Zippers on solar powered backpacks get stuck and are difficult to open and close")</f>
        <v>Zippers on solar powered backpacks get stuck and are difficult to open and close</v>
      </c>
    </row>
    <row r="3934" spans="1:3" ht="15.75" customHeight="1" x14ac:dyDescent="0.25">
      <c r="A3934" s="2" t="s">
        <v>3936</v>
      </c>
      <c r="B3934" s="3" t="s">
        <v>4</v>
      </c>
      <c r="C3934" s="2" t="str">
        <f ca="1">IFERROR(__xludf.DUMMYFUNCTION("GOOGLETRANSLATE(A3934,""bn"",""en"")"),"The care labels that come with the set are very clear and straightforward making it easy to care for")</f>
        <v>The care labels that come with the set are very clear and straightforward making it easy to care for</v>
      </c>
    </row>
    <row r="3935" spans="1:3" ht="15.75" customHeight="1" x14ac:dyDescent="0.25">
      <c r="A3935" s="2" t="s">
        <v>3937</v>
      </c>
      <c r="B3935" s="3" t="s">
        <v>6</v>
      </c>
      <c r="C3935" s="2" t="str">
        <f ca="1">IFERROR(__xludf.DUMMYFUNCTION("GOOGLETRANSLATE(A3935,""bn"",""en"")"),"Error of smart coffee maker not brewing coffee properly")</f>
        <v>Error of smart coffee maker not brewing coffee properly</v>
      </c>
    </row>
    <row r="3936" spans="1:3" ht="15.75" customHeight="1" x14ac:dyDescent="0.25">
      <c r="A3936" s="2" t="s">
        <v>3938</v>
      </c>
      <c r="B3936" s="3" t="s">
        <v>4</v>
      </c>
      <c r="C3936" s="2" t="str">
        <f ca="1">IFERROR(__xludf.DUMMYFUNCTION("GOOGLETRANSLATE(A3936,""bn"",""en"")"),"The video recording quality of the mobile is very good")</f>
        <v>The video recording quality of the mobile is very good</v>
      </c>
    </row>
    <row r="3937" spans="1:3" ht="15.75" customHeight="1" x14ac:dyDescent="0.25">
      <c r="A3937" s="2" t="s">
        <v>3939</v>
      </c>
      <c r="B3937" s="3" t="s">
        <v>6</v>
      </c>
      <c r="C3937" s="2" t="str">
        <f ca="1">IFERROR(__xludf.DUMMYFUNCTION("GOOGLETRANSLATE(A3937,""bn"",""en"")"),"Bath mat material becomes slippery when wet, posing a safety hazard")</f>
        <v>Bath mat material becomes slippery when wet, posing a safety hazard</v>
      </c>
    </row>
    <row r="3938" spans="1:3" ht="15.75" customHeight="1" x14ac:dyDescent="0.25">
      <c r="A3938" s="2" t="s">
        <v>3940</v>
      </c>
      <c r="B3938" s="3" t="s">
        <v>4</v>
      </c>
      <c r="C3938" s="2" t="str">
        <f ca="1">IFERROR(__xludf.DUMMYFUNCTION("GOOGLETRANSLATE(A3938,""bn"",""en"")"),"The design of the plates is very classic and neat")</f>
        <v>The design of the plates is very classic and neat</v>
      </c>
    </row>
    <row r="3939" spans="1:3" ht="15.75" customHeight="1" x14ac:dyDescent="0.25">
      <c r="A3939" s="2" t="s">
        <v>3941</v>
      </c>
      <c r="B3939" s="3" t="s">
        <v>4</v>
      </c>
      <c r="C3939" s="2" t="str">
        <f ca="1">IFERROR(__xludf.DUMMYFUNCTION("GOOGLETRANSLATE(A3939,""bn"",""en"")"),"Quality and reasonable price")</f>
        <v>Quality and reasonable price</v>
      </c>
    </row>
    <row r="3940" spans="1:3" ht="15.75" customHeight="1" x14ac:dyDescent="0.25">
      <c r="A3940" s="2" t="s">
        <v>3942</v>
      </c>
      <c r="B3940" s="3" t="s">
        <v>2</v>
      </c>
      <c r="C3940" s="2" t="str">
        <f ca="1">IFERROR(__xludf.DUMMYFUNCTION("GOOGLETRANSLATE(A3940,""bn"",""en"")"),"Made in USA but has some room for improvement")</f>
        <v>Made in USA but has some room for improvement</v>
      </c>
    </row>
    <row r="3941" spans="1:3" ht="15.75" customHeight="1" x14ac:dyDescent="0.25">
      <c r="A3941" s="2" t="s">
        <v>3943</v>
      </c>
      <c r="B3941" s="3" t="s">
        <v>4</v>
      </c>
      <c r="C3941" s="2" t="str">
        <f ca="1">IFERROR(__xludf.DUMMYFUNCTION("GOOGLETRANSLATE(A3941,""bn"",""en"")"),"What is this dollar launch monitor great product quality good value great product ")</f>
        <v xml:space="preserve">What is this dollar launch monitor great product quality good value great product </v>
      </c>
    </row>
    <row r="3942" spans="1:3" ht="15.75" customHeight="1" x14ac:dyDescent="0.25">
      <c r="A3942" s="2" t="s">
        <v>3944</v>
      </c>
      <c r="B3942" s="3" t="s">
        <v>2</v>
      </c>
      <c r="C3942" s="2" t="str">
        <f ca="1">IFERROR(__xludf.DUMMYFUNCTION("GOOGLETRANSLATE(A3942,""bn"",""en"")"),"The light pad fits but doesn't work as advertised")</f>
        <v>The light pad fits but doesn't work as advertised</v>
      </c>
    </row>
    <row r="3943" spans="1:3" ht="15.75" customHeight="1" x14ac:dyDescent="0.25">
      <c r="A3943" s="2" t="s">
        <v>3945</v>
      </c>
      <c r="B3943" s="3" t="s">
        <v>2</v>
      </c>
      <c r="C3943" s="2" t="str">
        <f ca="1">IFERROR(__xludf.DUMMYFUNCTION("GOOGLETRANSLATE(A3943,""bn"",""en"")"),"The packaging can be functional")</f>
        <v>The packaging can be functional</v>
      </c>
    </row>
    <row r="3944" spans="1:3" ht="15.75" customHeight="1" x14ac:dyDescent="0.25">
      <c r="A3944" s="2" t="s">
        <v>3946</v>
      </c>
      <c r="B3944" s="3" t="s">
        <v>4</v>
      </c>
      <c r="C3944" s="2" t="str">
        <f ca="1">IFERROR(__xludf.DUMMYFUNCTION("GOOGLETRANSLATE(A3944,""bn"",""en"")"),"As Tk there is no way to tell good or bad packaging and good packaging can be given out of ")</f>
        <v xml:space="preserve">As Tk there is no way to tell good or bad packaging and good packaging can be given out of </v>
      </c>
    </row>
    <row r="3945" spans="1:3" ht="15.75" customHeight="1" x14ac:dyDescent="0.25">
      <c r="A3945" s="2" t="s">
        <v>3947</v>
      </c>
      <c r="B3945" s="3" t="s">
        <v>2</v>
      </c>
      <c r="C3945" s="2" t="str">
        <f ca="1">IFERROR(__xludf.DUMMYFUNCTION("GOOGLETRANSLATE(A3945,""bn"",""en"")"),"It enhances the beauty of the room but not dramatically")</f>
        <v>It enhances the beauty of the room but not dramatically</v>
      </c>
    </row>
    <row r="3946" spans="1:3" ht="15.75" customHeight="1" x14ac:dyDescent="0.25">
      <c r="A3946" s="2" t="s">
        <v>3948</v>
      </c>
      <c r="B3946" s="3" t="s">
        <v>4</v>
      </c>
      <c r="C3946" s="2" t="str">
        <f ca="1">IFERROR(__xludf.DUMMYFUNCTION("GOOGLETRANSLATE(A3946,""bn"",""en"")"),"The child has fun with his toys all day long")</f>
        <v>The child has fun with his toys all day long</v>
      </c>
    </row>
    <row r="3947" spans="1:3" ht="15.75" customHeight="1" x14ac:dyDescent="0.25">
      <c r="A3947" s="2" t="s">
        <v>3949</v>
      </c>
      <c r="B3947" s="3" t="s">
        <v>2</v>
      </c>
      <c r="C3947" s="2" t="str">
        <f ca="1">IFERROR(__xludf.DUMMYFUNCTION("GOOGLETRANSLATE(A3947,""bn"",""en"")"),"Longer brewing may increase bitterness")</f>
        <v>Longer brewing may increase bitterness</v>
      </c>
    </row>
    <row r="3948" spans="1:3" ht="15.75" customHeight="1" x14ac:dyDescent="0.25">
      <c r="A3948" s="2" t="s">
        <v>3950</v>
      </c>
      <c r="B3948" s="3" t="s">
        <v>2</v>
      </c>
      <c r="C3948" s="2" t="str">
        <f ca="1">IFERROR(__xludf.DUMMYFUNCTION("GOOGLETRANSLATE(A3948,""bn"",""en"")"),"The color is vibrant but the fabric is too thin")</f>
        <v>The color is vibrant but the fabric is too thin</v>
      </c>
    </row>
    <row r="3949" spans="1:3" ht="15.75" customHeight="1" x14ac:dyDescent="0.25">
      <c r="A3949" s="2" t="s">
        <v>3951</v>
      </c>
      <c r="B3949" s="3" t="s">
        <v>6</v>
      </c>
      <c r="C3949" s="2" t="str">
        <f ca="1">IFERROR(__xludf.DUMMYFUNCTION("GOOGLETRANSLATE(A3949,""bn"",""en"")"),"The fibers of loofah were very rough and scratchy which caused irritation")</f>
        <v>The fibers of loofah were very rough and scratchy which caused irritation</v>
      </c>
    </row>
    <row r="3950" spans="1:3" ht="15.75" customHeight="1" x14ac:dyDescent="0.25">
      <c r="A3950" s="2" t="s">
        <v>3952</v>
      </c>
      <c r="B3950" s="3" t="s">
        <v>4</v>
      </c>
      <c r="C3950" s="2" t="str">
        <f ca="1">IFERROR(__xludf.DUMMYFUNCTION("GOOGLETRANSLATE(A3950,""bn"",""en"")"),"It enhances the naturalness of the makeup")</f>
        <v>It enhances the naturalness of the makeup</v>
      </c>
    </row>
    <row r="3951" spans="1:3" ht="15.75" customHeight="1" x14ac:dyDescent="0.25">
      <c r="A3951" s="2" t="s">
        <v>3953</v>
      </c>
      <c r="B3951" s="3" t="s">
        <v>6</v>
      </c>
      <c r="C3951" s="2" t="str">
        <f ca="1">IFERROR(__xludf.DUMMYFUNCTION("GOOGLETRANSLATE(A3951,""bn"",""en"")"),"Potential hygiene issues received from open containers")</f>
        <v>Potential hygiene issues received from open containers</v>
      </c>
    </row>
    <row r="3952" spans="1:3" ht="15.75" customHeight="1" x14ac:dyDescent="0.25">
      <c r="A3952" s="2" t="s">
        <v>3954</v>
      </c>
      <c r="B3952" s="3" t="s">
        <v>4</v>
      </c>
      <c r="C3952" s="2" t="str">
        <f ca="1">IFERROR(__xludf.DUMMYFUNCTION("GOOGLETRANSLATE(A3952,""bn"",""en"")"),"These candles are great for home decor")</f>
        <v>These candles are great for home decor</v>
      </c>
    </row>
    <row r="3953" spans="1:3" ht="15.75" customHeight="1" x14ac:dyDescent="0.25">
      <c r="A3953" s="2" t="s">
        <v>3955</v>
      </c>
      <c r="B3953" s="3" t="s">
        <v>6</v>
      </c>
      <c r="C3953" s="2" t="str">
        <f ca="1">IFERROR(__xludf.DUMMYFUNCTION("GOOGLETRANSLATE(A3953,""bn"",""en"")"),"The food had a strange chemical taste that made it inedible")</f>
        <v>The food had a strange chemical taste that made it inedible</v>
      </c>
    </row>
    <row r="3954" spans="1:3" ht="15.75" customHeight="1" x14ac:dyDescent="0.25">
      <c r="A3954" s="2" t="s">
        <v>3956</v>
      </c>
      <c r="B3954" s="3" t="s">
        <v>4</v>
      </c>
      <c r="C3954" s="2" t="str">
        <f ca="1">IFERROR(__xludf.DUMMYFUNCTION("GOOGLETRANSLATE(A3954,""bn"",""en"")"),"Mixing is easy")</f>
        <v>Mixing is easy</v>
      </c>
    </row>
    <row r="3955" spans="1:3" ht="15.75" customHeight="1" x14ac:dyDescent="0.25">
      <c r="A3955" s="2" t="s">
        <v>3957</v>
      </c>
      <c r="B3955" s="3" t="s">
        <v>4</v>
      </c>
      <c r="C3955" s="2" t="str">
        <f ca="1">IFERROR(__xludf.DUMMYFUNCTION("GOOGLETRANSLATE(A3955,""bn"",""en"")"),"You will feel clean after using this body wash")</f>
        <v>You will feel clean after using this body wash</v>
      </c>
    </row>
    <row r="3956" spans="1:3" ht="15.75" customHeight="1" x14ac:dyDescent="0.25">
      <c r="A3956" s="2" t="s">
        <v>3958</v>
      </c>
      <c r="B3956" s="3" t="s">
        <v>4</v>
      </c>
      <c r="C3956" s="2" t="str">
        <f ca="1">IFERROR(__xludf.DUMMYFUNCTION("GOOGLETRANSLATE(A3956,""bn"",""en"")"),"Very affordable and effective")</f>
        <v>Very affordable and effective</v>
      </c>
    </row>
    <row r="3957" spans="1:3" ht="15.75" customHeight="1" x14ac:dyDescent="0.25">
      <c r="A3957" s="2" t="s">
        <v>3959</v>
      </c>
      <c r="B3957" s="3" t="s">
        <v>4</v>
      </c>
      <c r="C3957" s="2" t="str">
        <f ca="1">IFERROR(__xludf.DUMMYFUNCTION("GOOGLETRANSLATE(A3957,""bn"",""en"")")," nice looking ")</f>
        <v xml:space="preserve"> nice looking </v>
      </c>
    </row>
    <row r="3958" spans="1:3" ht="15.75" customHeight="1" x14ac:dyDescent="0.25">
      <c r="A3958" s="2" t="s">
        <v>3960</v>
      </c>
      <c r="B3958" s="3" t="s">
        <v>2</v>
      </c>
      <c r="C3958" s="2" t="str">
        <f ca="1">IFERROR(__xludf.DUMMYFUNCTION("GOOGLETRANSLATE(A3958,""bn"",""en"")"),"The shoes are light but become uncomfortable after a long time")</f>
        <v>The shoes are light but become uncomfortable after a long time</v>
      </c>
    </row>
    <row r="3959" spans="1:3" ht="15.75" customHeight="1" x14ac:dyDescent="0.25">
      <c r="A3959" s="2" t="s">
        <v>3961</v>
      </c>
      <c r="B3959" s="3" t="s">
        <v>2</v>
      </c>
      <c r="C3959" s="2" t="str">
        <f ca="1">IFERROR(__xludf.DUMMYFUNCTION("GOOGLETRANSLATE(A3959,""bn"",""en"")"),"The pen holder looks good but the space is a bit limited")</f>
        <v>The pen holder looks good but the space is a bit limited</v>
      </c>
    </row>
    <row r="3960" spans="1:3" ht="15.75" customHeight="1" x14ac:dyDescent="0.25">
      <c r="A3960" s="2" t="s">
        <v>3962</v>
      </c>
      <c r="B3960" s="3" t="s">
        <v>2</v>
      </c>
      <c r="C3960" s="2" t="str">
        <f ca="1">IFERROR(__xludf.DUMMYFUNCTION("GOOGLETRANSLATE(A3960,""bn"",""en"")"),"Need better string and needle")</f>
        <v>Need better string and needle</v>
      </c>
    </row>
    <row r="3961" spans="1:3" ht="15.75" customHeight="1" x14ac:dyDescent="0.25">
      <c r="A3961" s="2" t="s">
        <v>3963</v>
      </c>
      <c r="B3961" s="3" t="s">
        <v>2</v>
      </c>
      <c r="C3961" s="2" t="str">
        <f ca="1">IFERROR(__xludf.DUMMYFUNCTION("GOOGLETRANSLATE(A3961,""bn"",""en"")"),"Fertilizer is good for crops but other problems are not solved")</f>
        <v>Fertilizer is good for crops but other problems are not solved</v>
      </c>
    </row>
    <row r="3962" spans="1:3" ht="15.75" customHeight="1" x14ac:dyDescent="0.25">
      <c r="A3962" s="2" t="s">
        <v>3964</v>
      </c>
      <c r="B3962" s="3" t="s">
        <v>6</v>
      </c>
      <c r="C3962" s="2" t="str">
        <f ca="1">IFERROR(__xludf.DUMMYFUNCTION("GOOGLETRANSLATE(A3962,""bn"",""en"")"),"Bad lathering and hard-to-wash residue leave hair feeling washed out and greasy")</f>
        <v>Bad lathering and hard-to-wash residue leave hair feeling washed out and greasy</v>
      </c>
    </row>
    <row r="3963" spans="1:3" ht="15.75" customHeight="1" x14ac:dyDescent="0.25">
      <c r="A3963" s="2" t="s">
        <v>3965</v>
      </c>
      <c r="B3963" s="3" t="s">
        <v>4</v>
      </c>
      <c r="C3963" s="2" t="str">
        <f ca="1">IFERROR(__xludf.DUMMYFUNCTION("GOOGLETRANSLATE(A3963,""bn"",""en"")"),"Fast and strong")</f>
        <v>Fast and strong</v>
      </c>
    </row>
    <row r="3964" spans="1:3" ht="15.75" customHeight="1" x14ac:dyDescent="0.25">
      <c r="A3964" s="2" t="s">
        <v>3966</v>
      </c>
      <c r="B3964" s="3" t="s">
        <v>4</v>
      </c>
      <c r="C3964" s="2" t="str">
        <f ca="1">IFERROR(__xludf.DUMMYFUNCTION("GOOGLETRANSLATE(A3964,""bn"",""en"")"),"Best in terms of cost and performance")</f>
        <v>Best in terms of cost and performance</v>
      </c>
    </row>
    <row r="3965" spans="1:3" ht="15.75" customHeight="1" x14ac:dyDescent="0.25">
      <c r="A3965" s="2" t="s">
        <v>3967</v>
      </c>
      <c r="B3965" s="3" t="s">
        <v>4</v>
      </c>
      <c r="C3965" s="2" t="str">
        <f ca="1">IFERROR(__xludf.DUMMYFUNCTION("GOOGLETRANSLATE(A3965,""bn"",""en"")"),"Easy to carry")</f>
        <v>Easy to carry</v>
      </c>
    </row>
    <row r="3966" spans="1:3" ht="15.75" customHeight="1" x14ac:dyDescent="0.25">
      <c r="A3966" s="2" t="s">
        <v>3968</v>
      </c>
      <c r="B3966" s="3" t="s">
        <v>2</v>
      </c>
      <c r="C3966" s="2" t="str">
        <f ca="1">IFERROR(__xludf.DUMMYFUNCTION("GOOGLETRANSLATE(A3966,""bn"",""en"")"),"This may limit good performance")</f>
        <v>This may limit good performance</v>
      </c>
    </row>
    <row r="3967" spans="1:3" ht="15.75" customHeight="1" x14ac:dyDescent="0.25">
      <c r="A3967" s="2" t="s">
        <v>3969</v>
      </c>
      <c r="B3967" s="3" t="s">
        <v>6</v>
      </c>
      <c r="C3967" s="2" t="str">
        <f ca="1">IFERROR(__xludf.DUMMYFUNCTION("GOOGLETRANSLATE(A3967,""bn"",""en"")"),"Facial mists contain irritating essential oils that cause redness and inflammation on sensitive skin")</f>
        <v>Facial mists contain irritating essential oils that cause redness and inflammation on sensitive skin</v>
      </c>
    </row>
    <row r="3968" spans="1:3" ht="15.75" customHeight="1" x14ac:dyDescent="0.25">
      <c r="A3968" s="2" t="s">
        <v>3970</v>
      </c>
      <c r="B3968" s="3" t="s">
        <v>6</v>
      </c>
      <c r="C3968" s="2" t="str">
        <f ca="1">IFERROR(__xludf.DUMMYFUNCTION("GOOGLETRANSLATE(A3968,""bn"",""en"")"),"The product's age recommendation was incorrect, it is not correct for the stated age")</f>
        <v>The product's age recommendation was incorrect, it is not correct for the stated age</v>
      </c>
    </row>
    <row r="3969" spans="1:3" ht="15.75" customHeight="1" x14ac:dyDescent="0.25">
      <c r="A3969" s="2" t="s">
        <v>3971</v>
      </c>
      <c r="B3969" s="3" t="s">
        <v>6</v>
      </c>
      <c r="C3969" s="2" t="str">
        <f ca="1">IFERROR(__xludf.DUMMYFUNCTION("GOOGLETRANSLATE(A3969,""bn"",""en"")"),"  Assembly instructions are vague and confusing resulting in difficulty during setup")</f>
        <v xml:space="preserve">  Assembly instructions are vague and confusing resulting in difficulty during setup</v>
      </c>
    </row>
    <row r="3970" spans="1:3" ht="15.75" customHeight="1" x14ac:dyDescent="0.25">
      <c r="A3970" s="2" t="s">
        <v>3972</v>
      </c>
      <c r="B3970" s="3" t="s">
        <v>4</v>
      </c>
      <c r="C3970" s="2" t="str">
        <f ca="1">IFERROR(__xludf.DUMMYFUNCTION("GOOGLETRANSLATE(A3970,""bn"",""en"")"),"The UI of the mobile is very simple and straightforward")</f>
        <v>The UI of the mobile is very simple and straightforward</v>
      </c>
    </row>
    <row r="3971" spans="1:3" ht="15.75" customHeight="1" x14ac:dyDescent="0.25">
      <c r="A3971" s="2" t="s">
        <v>3973</v>
      </c>
      <c r="B3971" s="3" t="s">
        <v>2</v>
      </c>
      <c r="C3971" s="2" t="str">
        <f ca="1">IFERROR(__xludf.DUMMYFUNCTION("GOOGLETRANSLATE(A3971,""bn"",""en"")"),"A lot of fabric")</f>
        <v>A lot of fabric</v>
      </c>
    </row>
    <row r="3972" spans="1:3" ht="15.75" customHeight="1" x14ac:dyDescent="0.25">
      <c r="A3972" s="2" t="s">
        <v>3974</v>
      </c>
      <c r="B3972" s="3" t="s">
        <v>4</v>
      </c>
      <c r="C3972" s="2" t="str">
        <f ca="1">IFERROR(__xludf.DUMMYFUNCTION("GOOGLETRANSLATE(A3972,""bn"",""en"")"),"Podak is very good and everyone can take it")</f>
        <v>Podak is very good and everyone can take it</v>
      </c>
    </row>
    <row r="3973" spans="1:3" ht="15.75" customHeight="1" x14ac:dyDescent="0.25">
      <c r="A3973" s="2" t="s">
        <v>3975</v>
      </c>
      <c r="B3973" s="3" t="s">
        <v>6</v>
      </c>
      <c r="C3973" s="2" t="str">
        <f ca="1">IFERROR(__xludf.DUMMYFUNCTION("GOOGLETRANSLATE(A3973,""bn"",""en"")"),"The product's buttons stuck easily, frustrating children")</f>
        <v>The product's buttons stuck easily, frustrating children</v>
      </c>
    </row>
    <row r="3974" spans="1:3" ht="15.75" customHeight="1" x14ac:dyDescent="0.25">
      <c r="A3974" s="2" t="s">
        <v>3976</v>
      </c>
      <c r="B3974" s="3" t="s">
        <v>2</v>
      </c>
      <c r="C3974" s="2" t="str">
        <f ca="1">IFERROR(__xludf.DUMMYFUNCTION("GOOGLETRANSLATE(A3974,""bn"",""en"")"),"The fertilizer is somewhat effective in the field but the yield has not increased much")</f>
        <v>The fertilizer is somewhat effective in the field but the yield has not increased much</v>
      </c>
    </row>
    <row r="3975" spans="1:3" ht="15.75" customHeight="1" x14ac:dyDescent="0.25">
      <c r="A3975" s="2" t="s">
        <v>3977</v>
      </c>
      <c r="B3975" s="3" t="s">
        <v>2</v>
      </c>
      <c r="C3975" s="2" t="str">
        <f ca="1">IFERROR(__xludf.DUMMYFUNCTION("GOOGLETRANSLATE(A3975,""bn"",""en"")"),"Stitches come undone after minimal use")</f>
        <v>Stitches come undone after minimal use</v>
      </c>
    </row>
    <row r="3976" spans="1:3" ht="15.75" customHeight="1" x14ac:dyDescent="0.25">
      <c r="A3976" s="2" t="s">
        <v>3978</v>
      </c>
      <c r="B3976" s="3" t="s">
        <v>6</v>
      </c>
      <c r="C3976" s="2" t="str">
        <f ca="1">IFERROR(__xludf.DUMMYFUNCTION("GOOGLETRANSLATE(A3976,""bn"",""en"")"),"Disappointed by product reliability")</f>
        <v>Disappointed by product reliability</v>
      </c>
    </row>
    <row r="3977" spans="1:3" ht="15.75" customHeight="1" x14ac:dyDescent="0.25">
      <c r="A3977" s="2" t="s">
        <v>3979</v>
      </c>
      <c r="B3977" s="3" t="s">
        <v>6</v>
      </c>
      <c r="C3977" s="2" t="str">
        <f ca="1">IFERROR(__xludf.DUMMYFUNCTION("GOOGLETRANSLATE(A3977,""bn"",""en"")"),"  The fabric starts peeling after minimal wear giving it a worn out look")</f>
        <v xml:space="preserve">  The fabric starts peeling after minimal wear giving it a worn out look</v>
      </c>
    </row>
    <row r="3978" spans="1:3" ht="15.75" customHeight="1" x14ac:dyDescent="0.25">
      <c r="A3978" s="2" t="s">
        <v>3980</v>
      </c>
      <c r="B3978" s="3" t="s">
        <v>6</v>
      </c>
      <c r="C3978" s="2" t="str">
        <f ca="1">IFERROR(__xludf.DUMMYFUNCTION("GOOGLETRANSLATE(A3978,""bn"",""en"")"),"Some bottles came with broken seals that raised concerns about tampering or contamination")</f>
        <v>Some bottles came with broken seals that raised concerns about tampering or contamination</v>
      </c>
    </row>
    <row r="3979" spans="1:3" ht="15.75" customHeight="1" x14ac:dyDescent="0.25">
      <c r="A3979" s="2" t="s">
        <v>3981</v>
      </c>
      <c r="B3979" s="3" t="s">
        <v>6</v>
      </c>
      <c r="C3979" s="2" t="str">
        <f ca="1">IFERROR(__xludf.DUMMYFUNCTION("GOOGLETRANSLATE(A3979,""bn"",""en"")"),"Fickle and unreliable buyers beware")</f>
        <v>Fickle and unreliable buyers beware</v>
      </c>
    </row>
    <row r="3980" spans="1:3" ht="15.75" customHeight="1" x14ac:dyDescent="0.25">
      <c r="A3980" s="2" t="s">
        <v>3982</v>
      </c>
      <c r="B3980" s="3" t="s">
        <v>4</v>
      </c>
      <c r="C3980" s="2" t="str">
        <f ca="1">IFERROR(__xludf.DUMMYFUNCTION("GOOGLETRANSLATE(A3980,""bn"",""en"")"),"A nice design")</f>
        <v>A nice design</v>
      </c>
    </row>
    <row r="3981" spans="1:3" ht="15.75" customHeight="1" x14ac:dyDescent="0.25">
      <c r="A3981" s="2" t="s">
        <v>3983</v>
      </c>
      <c r="B3981" s="3" t="s">
        <v>2</v>
      </c>
      <c r="C3981" s="2" t="str">
        <f ca="1">IFERROR(__xludf.DUMMYFUNCTION("GOOGLETRANSLATE(A3981,""bn"",""en"")"),"It takes space to keep the bottle")</f>
        <v>It takes space to keep the bottle</v>
      </c>
    </row>
    <row r="3982" spans="1:3" ht="15.75" customHeight="1" x14ac:dyDescent="0.25">
      <c r="A3982" s="2" t="s">
        <v>3984</v>
      </c>
      <c r="B3982" s="3" t="s">
        <v>4</v>
      </c>
      <c r="C3982" s="2" t="str">
        <f ca="1">IFERROR(__xludf.DUMMYFUNCTION("GOOGLETRANSLATE(A3982,""bn"",""en"")"),"The guarantee that comes with the set is very commendable as it assures me long term satisfaction")</f>
        <v>The guarantee that comes with the set is very commendable as it assures me long term satisfaction</v>
      </c>
    </row>
    <row r="3983" spans="1:3" ht="15.75" customHeight="1" x14ac:dyDescent="0.25">
      <c r="A3983" s="2" t="s">
        <v>3985</v>
      </c>
      <c r="B3983" s="3" t="s">
        <v>6</v>
      </c>
      <c r="C3983" s="2" t="str">
        <f ca="1">IFERROR(__xludf.DUMMYFUNCTION("GOOGLETRANSLATE(A3983,""bn"",""en"")")," Poorly sourced results in a subpar brew")</f>
        <v xml:space="preserve"> Poorly sourced results in a subpar brew</v>
      </c>
    </row>
    <row r="3984" spans="1:3" ht="15.75" customHeight="1" x14ac:dyDescent="0.25">
      <c r="A3984" s="2" t="s">
        <v>3986</v>
      </c>
      <c r="B3984" s="3" t="s">
        <v>2</v>
      </c>
      <c r="C3984" s="2" t="str">
        <f ca="1">IFERROR(__xludf.DUMMYFUNCTION("GOOGLETRANSLATE(A3984,""bn"",""en"")"),"The design has some limitations in practicality but is wearable for everyday activities")</f>
        <v>The design has some limitations in practicality but is wearable for everyday activities</v>
      </c>
    </row>
    <row r="3985" spans="1:3" ht="15.75" customHeight="1" x14ac:dyDescent="0.25">
      <c r="A3985" s="2" t="s">
        <v>3987</v>
      </c>
      <c r="B3985" s="3" t="s">
        <v>4</v>
      </c>
      <c r="C3985" s="2" t="str">
        <f ca="1">IFERROR(__xludf.DUMMYFUNCTION("GOOGLETRANSLATE(A3985,""bn"",""en"")"),"No hassle of watering saves time")</f>
        <v>No hassle of watering saves time</v>
      </c>
    </row>
    <row r="3986" spans="1:3" ht="15.75" customHeight="1" x14ac:dyDescent="0.25">
      <c r="A3986" s="2" t="s">
        <v>3988</v>
      </c>
      <c r="B3986" s="3" t="s">
        <v>4</v>
      </c>
      <c r="C3986" s="2" t="str">
        <f ca="1">IFERROR(__xludf.DUMMYFUNCTION("GOOGLETRANSLATE(A3986,""bn"",""en"")"),"Easy to install and use")</f>
        <v>Easy to install and use</v>
      </c>
    </row>
    <row r="3987" spans="1:3" ht="15.75" customHeight="1" x14ac:dyDescent="0.25">
      <c r="A3987" s="2" t="s">
        <v>3989</v>
      </c>
      <c r="B3987" s="3" t="s">
        <v>6</v>
      </c>
      <c r="C3987" s="2" t="str">
        <f ca="1">IFERROR(__xludf.DUMMYFUNCTION("GOOGLETRANSLATE(A3987,""bn"",""en"")"),"Plastic materials release harmful chemicals when heated")</f>
        <v>Plastic materials release harmful chemicals when heated</v>
      </c>
    </row>
    <row r="3988" spans="1:3" ht="15.75" customHeight="1" x14ac:dyDescent="0.25">
      <c r="A3988" s="2" t="s">
        <v>3990</v>
      </c>
      <c r="B3988" s="3" t="s">
        <v>2</v>
      </c>
      <c r="C3988" s="2" t="str">
        <f ca="1">IFERROR(__xludf.DUMMYFUNCTION("GOOGLETRANSLATE(A3988,""bn"",""en"")"),"The general look and feel is fine")</f>
        <v>The general look and feel is fine</v>
      </c>
    </row>
    <row r="3989" spans="1:3" ht="15.75" customHeight="1" x14ac:dyDescent="0.25">
      <c r="A3989" s="2" t="s">
        <v>3991</v>
      </c>
      <c r="B3989" s="3" t="s">
        <v>2</v>
      </c>
      <c r="C3989" s="2" t="str">
        <f ca="1">IFERROR(__xludf.DUMMYFUNCTION("GOOGLETRANSLATE(A3989,""bn"",""en"")"),"Body Medium is not too light or heavy")</f>
        <v>Body Medium is not too light or heavy</v>
      </c>
    </row>
    <row r="3990" spans="1:3" ht="15.75" customHeight="1" x14ac:dyDescent="0.25">
      <c r="A3990" s="2" t="s">
        <v>3992</v>
      </c>
      <c r="B3990" s="3" t="s">
        <v>6</v>
      </c>
      <c r="C3990" s="2" t="str">
        <f ca="1">IFERROR(__xludf.DUMMYFUNCTION("GOOGLETRANSLATE(A3990,""bn"",""en"")"),"The overwhelming chemical smell makes it hard to tolerate")</f>
        <v>The overwhelming chemical smell makes it hard to tolerate</v>
      </c>
    </row>
    <row r="3991" spans="1:3" ht="15.75" customHeight="1" x14ac:dyDescent="0.25">
      <c r="A3991" s="2" t="s">
        <v>3993</v>
      </c>
      <c r="B3991" s="3" t="s">
        <v>6</v>
      </c>
      <c r="C3991" s="2" t="str">
        <f ca="1">IFERROR(__xludf.DUMMYFUNCTION("GOOGLETRANSLATE(A3991,""bn"",""en"")"),"Cups that are poorly balanced can easily tip over")</f>
        <v>Cups that are poorly balanced can easily tip over</v>
      </c>
    </row>
    <row r="3992" spans="1:3" ht="15.75" customHeight="1" x14ac:dyDescent="0.25">
      <c r="A3992" s="2" t="s">
        <v>3994</v>
      </c>
      <c r="B3992" s="3" t="s">
        <v>4</v>
      </c>
      <c r="C3992" s="2" t="str">
        <f ca="1">IFERROR(__xludf.DUMMYFUNCTION("GOOGLETRANSLATE(A3992,""bn"",""en"")"),"The bright colors of the vase keep the mind cheerful")</f>
        <v>The bright colors of the vase keep the mind cheerful</v>
      </c>
    </row>
    <row r="3993" spans="1:3" ht="15.75" customHeight="1" x14ac:dyDescent="0.25">
      <c r="A3993" s="2" t="s">
        <v>3995</v>
      </c>
      <c r="B3993" s="3" t="s">
        <v>6</v>
      </c>
      <c r="C3993" s="2" t="str">
        <f ca="1">IFERROR(__xludf.DUMMYFUNCTION("GOOGLETRANSLATE(A3993,""bn"",""en"")"),"The product's marketing materials were misleading or deceptive")</f>
        <v>The product's marketing materials were misleading or deceptive</v>
      </c>
    </row>
    <row r="3994" spans="1:3" ht="15.75" customHeight="1" x14ac:dyDescent="0.25">
      <c r="A3994" s="2" t="s">
        <v>3996</v>
      </c>
      <c r="B3994" s="3" t="s">
        <v>2</v>
      </c>
      <c r="C3994" s="2" t="str">
        <f ca="1">IFERROR(__xludf.DUMMYFUNCTION("GOOGLETRANSLATE(A3994,""bn"",""en"")"),"It doesn't sharpen quickly and sometimes twists")</f>
        <v>It doesn't sharpen quickly and sometimes twists</v>
      </c>
    </row>
    <row r="3995" spans="1:3" ht="15.75" customHeight="1" x14ac:dyDescent="0.25">
      <c r="A3995" s="2" t="s">
        <v>3997</v>
      </c>
      <c r="B3995" s="3" t="s">
        <v>4</v>
      </c>
      <c r="C3995" s="2" t="str">
        <f ca="1">IFERROR(__xludf.DUMMYFUNCTION("GOOGLETRANSLATE(A3995,""bn"",""en"")"),"This fan provides cool air to the room")</f>
        <v>This fan provides cool air to the room</v>
      </c>
    </row>
    <row r="3996" spans="1:3" ht="15.75" customHeight="1" x14ac:dyDescent="0.25">
      <c r="A3996" s="2" t="s">
        <v>3998</v>
      </c>
      <c r="B3996" s="3" t="s">
        <v>2</v>
      </c>
      <c r="C3996" s="2" t="str">
        <f ca="1">IFERROR(__xludf.DUMMYFUNCTION("GOOGLETRANSLATE(A3996,""bn"",""en"")"),"The fridge is good but takes up a bit more space")</f>
        <v>The fridge is good but takes up a bit more space</v>
      </c>
    </row>
    <row r="3997" spans="1:3" ht="15.75" customHeight="1" x14ac:dyDescent="0.25">
      <c r="A3997" s="2" t="s">
        <v>3999</v>
      </c>
      <c r="B3997" s="3" t="s">
        <v>2</v>
      </c>
      <c r="C3997" s="2" t="str">
        <f ca="1">IFERROR(__xludf.DUMMYFUNCTION("GOOGLETRANSLATE(A3997,""bn"",""en"")"),"A product cannot be right on price alone")</f>
        <v>A product cannot be right on price alone</v>
      </c>
    </row>
    <row r="3998" spans="1:3" ht="15.75" customHeight="1" x14ac:dyDescent="0.25">
      <c r="A3998" s="2" t="s">
        <v>4000</v>
      </c>
      <c r="B3998" s="3" t="s">
        <v>6</v>
      </c>
      <c r="C3998" s="2" t="str">
        <f ca="1">IFERROR(__xludf.DUMMYFUNCTION("GOOGLETRANSLATE(A3998,""bn"",""en"")"),"The phone screen flickers occasionally which causes eye strain and discomfort during use")</f>
        <v>The phone screen flickers occasionally which causes eye strain and discomfort during use</v>
      </c>
    </row>
    <row r="3999" spans="1:3" ht="15.75" customHeight="1" x14ac:dyDescent="0.25">
      <c r="A3999" s="2" t="s">
        <v>4001</v>
      </c>
      <c r="B3999" s="3" t="s">
        <v>6</v>
      </c>
      <c r="C3999" s="2" t="str">
        <f ca="1">IFERROR(__xludf.DUMMYFUNCTION("GOOGLETRANSLATE(A3999,""bn"",""en"")"),"Strong chemical odor despite being labeled as odorless")</f>
        <v>Strong chemical odor despite being labeled as odorless</v>
      </c>
    </row>
    <row r="4000" spans="1:3" ht="15.75" customHeight="1" x14ac:dyDescent="0.25">
      <c r="A4000" s="2" t="s">
        <v>4002</v>
      </c>
      <c r="B4000" s="3" t="s">
        <v>6</v>
      </c>
      <c r="C4000" s="2" t="str">
        <f ca="1">IFERROR(__xludf.DUMMYFUNCTION("GOOGLETRANSLATE(A4000,""bn"",""en"")"),"Shoes squeak loudly with every step causing embarrassment and annoyance")</f>
        <v>Shoes squeak loudly with every step causing embarrassment and annoyance</v>
      </c>
    </row>
    <row r="4001" spans="1:3" ht="15.75" customHeight="1" x14ac:dyDescent="0.25">
      <c r="A4001" s="2" t="s">
        <v>4003</v>
      </c>
      <c r="B4001" s="3" t="s">
        <v>2</v>
      </c>
      <c r="C4001" s="2" t="str">
        <f ca="1">IFERROR(__xludf.DUMMYFUNCTION("GOOGLETRANSLATE(A4001,""bn"",""en"")"),"Paper weight is measured in kg or gram units")</f>
        <v>Paper weight is measured in kg or gram units</v>
      </c>
    </row>
    <row r="4002" spans="1:3" ht="15.75" customHeight="1" x14ac:dyDescent="0.25">
      <c r="A4002" s="2" t="s">
        <v>4004</v>
      </c>
      <c r="B4002" s="3" t="s">
        <v>4</v>
      </c>
      <c r="C4002" s="2" t="str">
        <f ca="1">IFERROR(__xludf.DUMMYFUNCTION("GOOGLETRANSLATE(A4002,""bn"",""en"")"),"Top choice for gamers and those who need speed storage capacity and reliability")</f>
        <v>Top choice for gamers and those who need speed storage capacity and reliability</v>
      </c>
    </row>
    <row r="4003" spans="1:3" ht="15.75" customHeight="1" x14ac:dyDescent="0.25">
      <c r="A4003" s="2" t="s">
        <v>4005</v>
      </c>
      <c r="B4003" s="3" t="s">
        <v>6</v>
      </c>
      <c r="C4003" s="2" t="str">
        <f ca="1">IFERROR(__xludf.DUMMYFUNCTION("GOOGLETRANSLATE(A4003,""bn"",""en"")"),"Poor quality is not worth the money")</f>
        <v>Poor quality is not worth the money</v>
      </c>
    </row>
    <row r="4004" spans="1:3" ht="15.75" customHeight="1" x14ac:dyDescent="0.25">
      <c r="A4004" s="2" t="s">
        <v>4006</v>
      </c>
      <c r="B4004" s="3" t="s">
        <v>2</v>
      </c>
      <c r="C4004" s="2" t="str">
        <f ca="1">IFERROR(__xludf.DUMMYFUNCTION("GOOGLETRANSLATE(A4004,""bn"",""en"")"),"It is difficult to determine whether the quality of plastic will last long")</f>
        <v>It is difficult to determine whether the quality of plastic will last long</v>
      </c>
    </row>
    <row r="4005" spans="1:3" ht="15.75" customHeight="1" x14ac:dyDescent="0.25">
      <c r="A4005" s="2" t="s">
        <v>4007</v>
      </c>
      <c r="B4005" s="3" t="s">
        <v>4</v>
      </c>
      <c r="C4005" s="2" t="str">
        <f ca="1">IFERROR(__xludf.DUMMYFUNCTION("GOOGLETRANSLATE(A4005,""bn"",""en"")"),"The software updates of the device come regularly")</f>
        <v>The software updates of the device come regularly</v>
      </c>
    </row>
    <row r="4006" spans="1:3" ht="15.75" customHeight="1" x14ac:dyDescent="0.25">
      <c r="A4006" s="2" t="s">
        <v>4008</v>
      </c>
      <c r="B4006" s="3" t="s">
        <v>2</v>
      </c>
      <c r="C4006" s="2" t="str">
        <f ca="1">IFERROR(__xludf.DUMMYFUNCTION("GOOGLETRANSLATE(A4006,""bn"",""en"")"),"It's super light but the sound quality is average")</f>
        <v>It's super light but the sound quality is average</v>
      </c>
    </row>
    <row r="4007" spans="1:3" ht="15.75" customHeight="1" x14ac:dyDescent="0.25">
      <c r="A4007" s="2" t="s">
        <v>4009</v>
      </c>
      <c r="B4007" s="3" t="s">
        <v>6</v>
      </c>
      <c r="C4007" s="2" t="str">
        <f ca="1">IFERROR(__xludf.DUMMYFUNCTION("GOOGLETRANSLATE(A4007,""bn"",""en"")")," Autofocus points limit the camera's ability to accurately track moving subjects")</f>
        <v xml:space="preserve"> Autofocus points limit the camera's ability to accurately track moving subjects</v>
      </c>
    </row>
    <row r="4008" spans="1:3" ht="15.75" customHeight="1" x14ac:dyDescent="0.25">
      <c r="A4008" s="2" t="s">
        <v>4010</v>
      </c>
      <c r="B4008" s="3" t="s">
        <v>4</v>
      </c>
      <c r="C4008" s="2" t="str">
        <f ca="1">IFERROR(__xludf.DUMMYFUNCTION("GOOGLETRANSLATE(A4008,""bn"",""en"")"),"Everyone can buy genji quality is very good")</f>
        <v>Everyone can buy genji quality is very good</v>
      </c>
    </row>
    <row r="4009" spans="1:3" ht="15.75" customHeight="1" x14ac:dyDescent="0.25">
      <c r="A4009" s="2" t="s">
        <v>4011</v>
      </c>
      <c r="B4009" s="3" t="s">
        <v>2</v>
      </c>
      <c r="C4009" s="2" t="str">
        <f ca="1">IFERROR(__xludf.DUMMYFUNCTION("GOOGLETRANSLATE(A4009,""bn"",""en"")"),"The size is a bit pocket friendly")</f>
        <v>The size is a bit pocket friendly</v>
      </c>
    </row>
    <row r="4010" spans="1:3" ht="15.75" customHeight="1" x14ac:dyDescent="0.25">
      <c r="A4010" s="2" t="s">
        <v>4012</v>
      </c>
      <c r="B4010" s="3" t="s">
        <v>6</v>
      </c>
      <c r="C4010" s="2" t="str">
        <f ca="1">IFERROR(__xludf.DUMMYFUNCTION("GOOGLETRANSLATE(A4010,""bn"",""en"")"),"The water bottle cap leaked soaking the contents of my bag")</f>
        <v>The water bottle cap leaked soaking the contents of my bag</v>
      </c>
    </row>
    <row r="4011" spans="1:3" ht="15.75" customHeight="1" x14ac:dyDescent="0.25">
      <c r="A4011" s="2" t="s">
        <v>4013</v>
      </c>
      <c r="B4011" s="3" t="s">
        <v>6</v>
      </c>
      <c r="C4011" s="2" t="str">
        <f ca="1">IFERROR(__xludf.DUMMYFUNCTION("GOOGLETRANSLATE(A4011,""bn"",""en"")"),"Plastic material retains odors affecting stored items")</f>
        <v>Plastic material retains odors affecting stored items</v>
      </c>
    </row>
    <row r="4012" spans="1:3" ht="15.75" customHeight="1" x14ac:dyDescent="0.25">
      <c r="A4012" s="2" t="s">
        <v>4014</v>
      </c>
      <c r="B4012" s="3" t="s">
        <v>2</v>
      </c>
      <c r="C4012" s="2" t="str">
        <f ca="1">IFERROR(__xludf.DUMMYFUNCTION("GOOGLETRANSLATE(A4012,""bn"",""en"")"),"It's passable but I've seen nicer products")</f>
        <v>It's passable but I've seen nicer products</v>
      </c>
    </row>
    <row r="4013" spans="1:3" ht="15.75" customHeight="1" x14ac:dyDescent="0.25">
      <c r="A4013" s="2" t="s">
        <v>4015</v>
      </c>
      <c r="B4013" s="3" t="s">
        <v>6</v>
      </c>
      <c r="C4013" s="2" t="str">
        <f ca="1">IFERROR(__xludf.DUMMYFUNCTION("GOOGLETRANSLATE(A4013,""bn"",""en"")"),"The product's finish was prone to scratching or chipping")</f>
        <v>The product's finish was prone to scratching or chipping</v>
      </c>
    </row>
    <row r="4014" spans="1:3" ht="15.75" customHeight="1" x14ac:dyDescent="0.25">
      <c r="A4014" s="2" t="s">
        <v>4016</v>
      </c>
      <c r="B4014" s="3" t="s">
        <v>6</v>
      </c>
      <c r="C4014" s="2" t="str">
        <f ca="1">IFERROR(__xludf.DUMMYFUNCTION("GOOGLETRANSLATE(A4014,""bn"",""en"")"),"Workmanship was poor resulting in frequent problems")</f>
        <v>Workmanship was poor resulting in frequent problems</v>
      </c>
    </row>
    <row r="4015" spans="1:3" ht="15.75" customHeight="1" x14ac:dyDescent="0.25">
      <c r="A4015" s="2" t="s">
        <v>4017</v>
      </c>
      <c r="B4015" s="3" t="s">
        <v>4</v>
      </c>
      <c r="C4015" s="2" t="str">
        <f ca="1">IFERROR(__xludf.DUMMYFUNCTION("GOOGLETRANSLATE(A4015,""bn"",""en"")"),"After using it for a long time, I am giving a review. The product is good. I hope everyone can take it. Inshallah")</f>
        <v>After using it for a long time, I am giving a review. The product is good. I hope everyone can take it. Inshallah</v>
      </c>
    </row>
    <row r="4016" spans="1:3" ht="15.75" customHeight="1" x14ac:dyDescent="0.25">
      <c r="A4016" s="2" t="s">
        <v>4018</v>
      </c>
      <c r="B4016" s="3" t="s">
        <v>6</v>
      </c>
      <c r="C4016" s="2" t="str">
        <f ca="1">IFERROR(__xludf.DUMMYFUNCTION("GOOGLETRANSLATE(A4016,""bn"",""en"")"),"Hair gel turned my strands into a tight frizzy mess that was impossible to style")</f>
        <v>Hair gel turned my strands into a tight frizzy mess that was impossible to style</v>
      </c>
    </row>
    <row r="4017" spans="1:3" ht="15.75" customHeight="1" x14ac:dyDescent="0.25">
      <c r="A4017" s="2" t="s">
        <v>4019</v>
      </c>
      <c r="B4017" s="3" t="s">
        <v>2</v>
      </c>
      <c r="C4017" s="2" t="str">
        <f ca="1">IFERROR(__xludf.DUMMYFUNCTION("GOOGLETRANSLATE(A4017,""bn"",""en"")"),"Has a leakproof cap but gets stuck sometimes")</f>
        <v>Has a leakproof cap but gets stuck sometimes</v>
      </c>
    </row>
    <row r="4018" spans="1:3" ht="15.75" customHeight="1" x14ac:dyDescent="0.25">
      <c r="A4018" s="2" t="s">
        <v>4020</v>
      </c>
      <c r="B4018" s="3" t="s">
        <v>2</v>
      </c>
      <c r="C4018" s="2" t="str">
        <f ca="1">IFERROR(__xludf.DUMMYFUNCTION("GOOGLETRANSLATE(A4018,""bn"",""en"")"),"Excessive scrubbing may pull out fabric threads")</f>
        <v>Excessive scrubbing may pull out fabric threads</v>
      </c>
    </row>
    <row r="4019" spans="1:3" ht="15.75" customHeight="1" x14ac:dyDescent="0.25">
      <c r="A4019" s="2" t="s">
        <v>4021</v>
      </c>
      <c r="B4019" s="3" t="s">
        <v>4</v>
      </c>
      <c r="C4019" s="2" t="str">
        <f ca="1">IFERROR(__xludf.DUMMYFUNCTION("GOOGLETRANSLATE(A4019,""bn"",""en"")"),"An honest businessman dies like a martyr. Great products are very beautiful ")</f>
        <v xml:space="preserve">An honest businessman dies like a martyr. Great products are very beautiful </v>
      </c>
    </row>
    <row r="4020" spans="1:3" ht="15.75" customHeight="1" x14ac:dyDescent="0.25">
      <c r="A4020" s="2" t="s">
        <v>4022</v>
      </c>
      <c r="B4020" s="3" t="s">
        <v>4</v>
      </c>
      <c r="C4020" s="2" t="str">
        <f ca="1">IFERROR(__xludf.DUMMYFUNCTION("GOOGLETRANSLATE(A4020,""bn"",""en"")"),"Makeup brushes enhance the natural beauty of the skin")</f>
        <v>Makeup brushes enhance the natural beauty of the skin</v>
      </c>
    </row>
    <row r="4021" spans="1:3" ht="15.75" customHeight="1" x14ac:dyDescent="0.25">
      <c r="A4021" s="2" t="s">
        <v>4023</v>
      </c>
      <c r="B4021" s="3" t="s">
        <v>2</v>
      </c>
      <c r="C4021" s="2" t="str">
        <f ca="1">IFERROR(__xludf.DUMMYFUNCTION("GOOGLETRANSLATE(A4021,""bn"",""en"")"),"Wow what a great deal but durability is uncertain")</f>
        <v>Wow what a great deal but durability is uncertain</v>
      </c>
    </row>
    <row r="4022" spans="1:3" ht="15.75" customHeight="1" x14ac:dyDescent="0.25">
      <c r="A4022" s="2" t="s">
        <v>4024</v>
      </c>
      <c r="B4022" s="3" t="s">
        <v>6</v>
      </c>
      <c r="C4022" s="2" t="str">
        <f ca="1">IFERROR(__xludf.DUMMYFUNCTION("GOOGLETRANSLATE(A4022,""bn"",""en"")"),"Paint colors were prone to fading over time")</f>
        <v>Paint colors were prone to fading over time</v>
      </c>
    </row>
    <row r="4023" spans="1:3" ht="15.75" customHeight="1" x14ac:dyDescent="0.25">
      <c r="A4023" s="2" t="s">
        <v>4025</v>
      </c>
      <c r="B4023" s="3" t="s">
        <v>6</v>
      </c>
      <c r="C4023" s="2" t="str">
        <f ca="1">IFERROR(__xludf.DUMMYFUNCTION("GOOGLETRANSLATE(A4023,""bn"",""en"")"),"The dress was much heavier than expected making it uncomfortable to wear for long periods of time")</f>
        <v>The dress was much heavier than expected making it uncomfortable to wear for long periods of time</v>
      </c>
    </row>
    <row r="4024" spans="1:3" ht="15.75" customHeight="1" x14ac:dyDescent="0.25">
      <c r="A4024" s="2" t="s">
        <v>4026</v>
      </c>
      <c r="B4024" s="3" t="s">
        <v>2</v>
      </c>
      <c r="C4024" s="2" t="str">
        <f ca="1">IFERROR(__xludf.DUMMYFUNCTION("GOOGLETRANSLATE(A4024,""bn"",""en"")"),"Although the plants grew well, the fertilizer was not very effective")</f>
        <v>Although the plants grew well, the fertilizer was not very effective</v>
      </c>
    </row>
    <row r="4025" spans="1:3" ht="15.75" customHeight="1" x14ac:dyDescent="0.25">
      <c r="A4025" s="2" t="s">
        <v>4027</v>
      </c>
      <c r="B4025" s="3" t="s">
        <v>2</v>
      </c>
      <c r="C4025" s="2" t="str">
        <f ca="1">IFERROR(__xludf.DUMMYFUNCTION("GOOGLETRANSLATE(A4025,""bn"",""en"")"),"Microfiber but not high quality")</f>
        <v>Microfiber but not high quality</v>
      </c>
    </row>
    <row r="4026" spans="1:3" ht="15.75" customHeight="1" x14ac:dyDescent="0.25">
      <c r="A4026" s="2" t="s">
        <v>4028</v>
      </c>
      <c r="B4026" s="3" t="s">
        <v>2</v>
      </c>
      <c r="C4026" s="2" t="str">
        <f ca="1">IFERROR(__xludf.DUMMYFUNCTION("GOOGLETRANSLATE(A4026,""bn"",""en"")"),"Continuity of work seems somewhat lacking")</f>
        <v>Continuity of work seems somewhat lacking</v>
      </c>
    </row>
    <row r="4027" spans="1:3" ht="15.75" customHeight="1" x14ac:dyDescent="0.25">
      <c r="A4027" s="2" t="s">
        <v>4029</v>
      </c>
      <c r="B4027" s="3" t="s">
        <v>4</v>
      </c>
      <c r="C4027" s="2" t="str">
        <f ca="1">IFERROR(__xludf.DUMMYFUNCTION("GOOGLETRANSLATE(A4027,""bn"",""en"")"),"Side tables are both decorative and functional")</f>
        <v>Side tables are both decorative and functional</v>
      </c>
    </row>
    <row r="4028" spans="1:3" ht="15.75" customHeight="1" x14ac:dyDescent="0.25">
      <c r="A4028" s="2" t="s">
        <v>4030</v>
      </c>
      <c r="B4028" s="3" t="s">
        <v>6</v>
      </c>
      <c r="C4028" s="2" t="str">
        <f ca="1">IFERROR(__xludf.DUMMYFUNCTION("GOOGLETRANSLATE(A4028,""bn"",""en"")"),"Limited compatibility with other devices makes it inconvenient to use")</f>
        <v>Limited compatibility with other devices makes it inconvenient to use</v>
      </c>
    </row>
    <row r="4029" spans="1:3" ht="15.75" customHeight="1" x14ac:dyDescent="0.25">
      <c r="A4029" s="2" t="s">
        <v>4031</v>
      </c>
      <c r="B4029" s="3" t="s">
        <v>2</v>
      </c>
      <c r="C4029" s="2" t="str">
        <f ca="1">IFERROR(__xludf.DUMMYFUNCTION("GOOGLETRANSLATE(A4029,""bn"",""en"")"),"There is a frost protection mode")</f>
        <v>There is a frost protection mode</v>
      </c>
    </row>
    <row r="4030" spans="1:3" ht="15.75" customHeight="1" x14ac:dyDescent="0.25">
      <c r="A4030" s="2" t="s">
        <v>4032</v>
      </c>
      <c r="B4030" s="3" t="s">
        <v>6</v>
      </c>
      <c r="C4030" s="2" t="str">
        <f ca="1">IFERROR(__xludf.DUMMYFUNCTION("GOOGLETRANSLATE(A4030,""bn"",""en"")"),"Sizing becomes a major problem. Too small or too big makes it difficult to find the right fit")</f>
        <v>Sizing becomes a major problem. Too small or too big makes it difficult to find the right fit</v>
      </c>
    </row>
    <row r="4031" spans="1:3" ht="15.75" customHeight="1" x14ac:dyDescent="0.25">
      <c r="A4031" s="2" t="s">
        <v>4033</v>
      </c>
      <c r="B4031" s="3" t="s">
        <v>6</v>
      </c>
      <c r="C4031" s="2" t="str">
        <f ca="1">IFERROR(__xludf.DUMMYFUNCTION("GOOGLETRANSLATE(A4031,""bn"",""en"")"),"The straps tear at the slightest pressure making it unusable")</f>
        <v>The straps tear at the slightest pressure making it unusable</v>
      </c>
    </row>
    <row r="4032" spans="1:3" ht="15.75" customHeight="1" x14ac:dyDescent="0.25">
      <c r="A4032" s="2" t="s">
        <v>4034</v>
      </c>
      <c r="B4032" s="3" t="s">
        <v>6</v>
      </c>
      <c r="C4032" s="2" t="str">
        <f ca="1">IFERROR(__xludf.DUMMYFUNCTION("GOOGLETRANSLATE(A4032,""bn"",""en"")"),"Scented shampoos adversely affect hair health")</f>
        <v>Scented shampoos adversely affect hair health</v>
      </c>
    </row>
    <row r="4033" spans="1:3" ht="15.75" customHeight="1" x14ac:dyDescent="0.25">
      <c r="A4033" s="2" t="s">
        <v>4035</v>
      </c>
      <c r="B4033" s="3" t="s">
        <v>6</v>
      </c>
      <c r="C4033" s="2" t="str">
        <f ca="1">IFERROR(__xludf.DUMMYFUNCTION("GOOGLETRANSLATE(A4033,""bn"",""en"")"),"Opened package arrived questionable quality")</f>
        <v>Opened package arrived questionable quality</v>
      </c>
    </row>
    <row r="4034" spans="1:3" ht="15.75" customHeight="1" x14ac:dyDescent="0.25">
      <c r="A4034" s="2" t="s">
        <v>4036</v>
      </c>
      <c r="B4034" s="3" t="s">
        <v>6</v>
      </c>
      <c r="C4034" s="2" t="str">
        <f ca="1">IFERROR(__xludf.DUMMYFUNCTION("GOOGLETRANSLATE(A4034,""bn"",""en"")")," The inline remote control is poorly placed which makes it difficult to access or use while wearing the earphones")</f>
        <v xml:space="preserve"> The inline remote control is poorly placed which makes it difficult to access or use while wearing the earphones</v>
      </c>
    </row>
    <row r="4035" spans="1:3" ht="15.75" customHeight="1" x14ac:dyDescent="0.25">
      <c r="A4035" s="2" t="s">
        <v>4037</v>
      </c>
      <c r="B4035" s="3" t="s">
        <v>6</v>
      </c>
      <c r="C4035" s="2" t="str">
        <f ca="1">IFERROR(__xludf.DUMMYFUNCTION("GOOGLETRANSLATE(A4035,""bn"",""en"")"),"Loose threads and bad stitching spoil the look of the dress")</f>
        <v>Loose threads and bad stitching spoil the look of the dress</v>
      </c>
    </row>
    <row r="4036" spans="1:3" ht="15.75" customHeight="1" x14ac:dyDescent="0.25">
      <c r="A4036" s="2" t="s">
        <v>4038</v>
      </c>
      <c r="B4036" s="3" t="s">
        <v>4</v>
      </c>
      <c r="C4036" s="2" t="str">
        <f ca="1">IFERROR(__xludf.DUMMYFUNCTION("GOOGLETRANSLATE(A4036,""bn"",""en"")"),"It gives a modern look")</f>
        <v>It gives a modern look</v>
      </c>
    </row>
    <row r="4037" spans="1:3" ht="15.75" customHeight="1" x14ac:dyDescent="0.25">
      <c r="A4037" s="2" t="s">
        <v>4039</v>
      </c>
      <c r="B4037" s="3" t="s">
        <v>4</v>
      </c>
      <c r="C4037" s="2" t="str">
        <f ca="1">IFERROR(__xludf.DUMMYFUNCTION("GOOGLETRANSLATE(A4037,""bn"",""en"")"),"The display quality of the mobile is excellent")</f>
        <v>The display quality of the mobile is excellent</v>
      </c>
    </row>
    <row r="4038" spans="1:3" ht="15.75" customHeight="1" x14ac:dyDescent="0.25">
      <c r="A4038" s="2" t="s">
        <v>4040</v>
      </c>
      <c r="B4038" s="3" t="s">
        <v>2</v>
      </c>
      <c r="C4038" s="2" t="str">
        <f ca="1">IFERROR(__xludf.DUMMYFUNCTION("GOOGLETRANSLATE(A4038,""bn"",""en"")"),"Feels a bit artificial but good considering the cheap price")</f>
        <v>Feels a bit artificial but good considering the cheap price</v>
      </c>
    </row>
    <row r="4039" spans="1:3" ht="15.75" customHeight="1" x14ac:dyDescent="0.25">
      <c r="A4039" s="2" t="s">
        <v>4041</v>
      </c>
      <c r="B4039" s="3" t="s">
        <v>6</v>
      </c>
      <c r="C4039" s="2" t="str">
        <f ca="1">IFERROR(__xludf.DUMMYFUNCTION("GOOGLETRANSLATE(A4039,""bn"",""en"")"),"Hair oil makes my hair look greasy and attracts dirt")</f>
        <v>Hair oil makes my hair look greasy and attracts dirt</v>
      </c>
    </row>
    <row r="4040" spans="1:3" ht="15.75" customHeight="1" x14ac:dyDescent="0.25">
      <c r="A4040" s="2" t="s">
        <v>4042</v>
      </c>
      <c r="B4040" s="3" t="s">
        <v>4</v>
      </c>
      <c r="C4040" s="2" t="str">
        <f ca="1">IFERROR(__xludf.DUMMYFUNCTION("GOOGLETRANSLATE(A4040,""bn"",""en"")"),"Air Buds quality is good")</f>
        <v>Air Buds quality is good</v>
      </c>
    </row>
    <row r="4041" spans="1:3" ht="15.75" customHeight="1" x14ac:dyDescent="0.25">
      <c r="A4041" s="2" t="s">
        <v>4043</v>
      </c>
      <c r="B4041" s="3" t="s">
        <v>2</v>
      </c>
      <c r="C4041" s="2" t="str">
        <f ca="1">IFERROR(__xludf.DUMMYFUNCTION("GOOGLETRANSLATE(A4041,""bn"",""en"")"),"A surprising thing")</f>
        <v>A surprising thing</v>
      </c>
    </row>
    <row r="4042" spans="1:3" ht="15.75" customHeight="1" x14ac:dyDescent="0.25">
      <c r="A4042" s="2" t="s">
        <v>4044</v>
      </c>
      <c r="B4042" s="3" t="s">
        <v>4</v>
      </c>
      <c r="C4042" s="2" t="str">
        <f ca="1">IFERROR(__xludf.DUMMYFUNCTION("GOOGLETRANSLATE(A4042,""bn"",""en"")"),"The fan is very easy to use and does its job very well")</f>
        <v>The fan is very easy to use and does its job very well</v>
      </c>
    </row>
    <row r="4043" spans="1:3" ht="15.75" customHeight="1" x14ac:dyDescent="0.25">
      <c r="A4043" s="2" t="s">
        <v>4045</v>
      </c>
      <c r="B4043" s="3" t="s">
        <v>4</v>
      </c>
      <c r="C4043" s="2" t="str">
        <f ca="1">IFERROR(__xludf.DUMMYFUNCTION("GOOGLETRANSLATE(A4043,""bn"",""en"")"),"good job ")</f>
        <v xml:space="preserve">good job </v>
      </c>
    </row>
    <row r="4044" spans="1:3" ht="15.75" customHeight="1" x14ac:dyDescent="0.25">
      <c r="A4044" s="2" t="s">
        <v>4046</v>
      </c>
      <c r="B4044" s="3" t="s">
        <v>6</v>
      </c>
      <c r="C4044" s="2" t="str">
        <f ca="1">IFERROR(__xludf.DUMMYFUNCTION("GOOGLETRANSLATE(A4044,""bn"",""en"")"),"The elastic waistband of the diaper is too tight and can irritate the baby's skin")</f>
        <v>The elastic waistband of the diaper is too tight and can irritate the baby's skin</v>
      </c>
    </row>
    <row r="4045" spans="1:3" ht="15.75" customHeight="1" x14ac:dyDescent="0.25">
      <c r="A4045" s="2" t="s">
        <v>4047</v>
      </c>
      <c r="B4045" s="3" t="s">
        <v>2</v>
      </c>
      <c r="C4045" s="2" t="str">
        <f ca="1">IFERROR(__xludf.DUMMYFUNCTION("GOOGLETRANSLATE(A4045,""bn"",""en"")"),"The size is acceptable but would have been a little bigger")</f>
        <v>The size is acceptable but would have been a little bigger</v>
      </c>
    </row>
    <row r="4046" spans="1:3" ht="15.75" customHeight="1" x14ac:dyDescent="0.25">
      <c r="A4046" s="2" t="s">
        <v>4048</v>
      </c>
      <c r="B4046" s="3" t="s">
        <v>6</v>
      </c>
      <c r="C4046" s="2" t="str">
        <f ca="1">IFERROR(__xludf.DUMMYFUNCTION("GOOGLETRANSLATE(A4046,""bn"",""en"")"),"The item's safety precautions were inadequate and there was a risk of accident")</f>
        <v>The item's safety precautions were inadequate and there was a risk of accident</v>
      </c>
    </row>
    <row r="4047" spans="1:3" ht="15.75" customHeight="1" x14ac:dyDescent="0.25">
      <c r="A4047" s="2" t="s">
        <v>4049</v>
      </c>
      <c r="B4047" s="3" t="s">
        <v>6</v>
      </c>
      <c r="C4047" s="2" t="str">
        <f ca="1">IFERROR(__xludf.DUMMYFUNCTION("GOOGLETRANSLATE(A4047,""bn"",""en"")"),"Product controls were poorly responsive or unreliable")</f>
        <v>Product controls were poorly responsive or unreliable</v>
      </c>
    </row>
    <row r="4048" spans="1:3" ht="15.75" customHeight="1" x14ac:dyDescent="0.25">
      <c r="A4048" s="2" t="s">
        <v>4050</v>
      </c>
      <c r="B4048" s="3" t="s">
        <v>6</v>
      </c>
      <c r="C4048" s="2" t="str">
        <f ca="1">IFERROR(__xludf.DUMMYFUNCTION("GOOGLETRANSLATE(A4048,""bn"",""en"")"),"Leaven conditioner made my hair greasy and weighed down")</f>
        <v>Leaven conditioner made my hair greasy and weighed down</v>
      </c>
    </row>
    <row r="4049" spans="1:3" ht="15.75" customHeight="1" x14ac:dyDescent="0.25">
      <c r="A4049" s="2" t="s">
        <v>4051</v>
      </c>
      <c r="B4049" s="3" t="s">
        <v>6</v>
      </c>
      <c r="C4049" s="2" t="str">
        <f ca="1">IFERROR(__xludf.DUMMYFUNCTION("GOOGLETRANSLATE(A4049,""bn"",""en"")"),"Potential contamination of unsealed containers")</f>
        <v>Potential contamination of unsealed containers</v>
      </c>
    </row>
    <row r="4050" spans="1:3" ht="15.75" customHeight="1" x14ac:dyDescent="0.25">
      <c r="A4050" s="2" t="s">
        <v>4052</v>
      </c>
      <c r="B4050" s="3" t="s">
        <v>4</v>
      </c>
      <c r="C4050" s="2" t="str">
        <f ca="1">IFERROR(__xludf.DUMMYFUNCTION("GOOGLETRANSLATE(A4050,""bn"",""en"")"),"Works great for my iPhone Pro Max")</f>
        <v>Works great for my iPhone Pro Max</v>
      </c>
    </row>
    <row r="4051" spans="1:3" ht="15.75" customHeight="1" x14ac:dyDescent="0.25">
      <c r="A4051" s="2" t="s">
        <v>4053</v>
      </c>
      <c r="B4051" s="3" t="s">
        <v>6</v>
      </c>
      <c r="C4051" s="2" t="str">
        <f ca="1">IFERROR(__xludf.DUMMYFUNCTION("GOOGLETRANSLATE(A4051,""bn"",""en"")"),"The hair mask did not provide any noticeable benefits and left my hair feeling dry and damaged")</f>
        <v>The hair mask did not provide any noticeable benefits and left my hair feeling dry and damaged</v>
      </c>
    </row>
    <row r="4052" spans="1:3" ht="15.75" customHeight="1" x14ac:dyDescent="0.25">
      <c r="A4052" s="2" t="s">
        <v>4054</v>
      </c>
      <c r="B4052" s="3" t="s">
        <v>2</v>
      </c>
      <c r="C4052" s="2" t="str">
        <f ca="1">IFERROR(__xludf.DUMMYFUNCTION("GOOGLETRANSLATE(A4052,""bn"",""en"")"),"The stitching is good but the size is a bit big")</f>
        <v>The stitching is good but the size is a bit big</v>
      </c>
    </row>
    <row r="4053" spans="1:3" ht="15.75" customHeight="1" x14ac:dyDescent="0.25">
      <c r="A4053" s="2" t="s">
        <v>4055</v>
      </c>
      <c r="B4053" s="3" t="s">
        <v>2</v>
      </c>
      <c r="C4053" s="2" t="str">
        <f ca="1">IFERROR(__xludf.DUMMYFUNCTION("GOOGLETRANSLATE(A4053,""bn"",""en"")"),"Items work perfectly and arrived quickly however something is unclear")</f>
        <v>Items work perfectly and arrived quickly however something is unclear</v>
      </c>
    </row>
    <row r="4054" spans="1:3" ht="15.75" customHeight="1" x14ac:dyDescent="0.25">
      <c r="A4054" s="2" t="s">
        <v>4056</v>
      </c>
      <c r="B4054" s="3" t="s">
        <v>6</v>
      </c>
      <c r="C4054" s="2" t="str">
        <f ca="1">IFERROR(__xludf.DUMMYFUNCTION("GOOGLETRANSLATE(A4054,""bn"",""en"")"),"Flimsy lids are prone to popping off unexpectedly")</f>
        <v>Flimsy lids are prone to popping off unexpectedly</v>
      </c>
    </row>
    <row r="4055" spans="1:3" ht="15.75" customHeight="1" x14ac:dyDescent="0.25">
      <c r="A4055" s="2" t="s">
        <v>4057</v>
      </c>
      <c r="B4055" s="3" t="s">
        <v>2</v>
      </c>
      <c r="C4055" s="2" t="str">
        <f ca="1">IFERROR(__xludf.DUMMYFUNCTION("GOOGLETRANSLATE(A4055,""bn"",""en"")"),"Water bottle capacity is good but not leakproof")</f>
        <v>Water bottle capacity is good but not leakproof</v>
      </c>
    </row>
    <row r="4056" spans="1:3" ht="15.75" customHeight="1" x14ac:dyDescent="0.25">
      <c r="A4056" s="2" t="s">
        <v>4058</v>
      </c>
      <c r="B4056" s="3" t="s">
        <v>4</v>
      </c>
      <c r="C4056" s="2" t="str">
        <f ca="1">IFERROR(__xludf.DUMMYFUNCTION("GOOGLETRANSLATE(A4056,""bn"",""en"")"),"My standard of good tea now is what I compare all other teas to")</f>
        <v>My standard of good tea now is what I compare all other teas to</v>
      </c>
    </row>
    <row r="4057" spans="1:3" ht="15.75" customHeight="1" x14ac:dyDescent="0.25">
      <c r="A4057" s="2" t="s">
        <v>4059</v>
      </c>
      <c r="B4057" s="3" t="s">
        <v>4</v>
      </c>
      <c r="C4057" s="2" t="str">
        <f ca="1">IFERROR(__xludf.DUMMYFUNCTION("GOOGLETRANSLATE(A4057,""bn"",""en"")"),"Software updates for the device come regularly")</f>
        <v>Software updates for the device come regularly</v>
      </c>
    </row>
    <row r="4058" spans="1:3" ht="15.75" customHeight="1" x14ac:dyDescent="0.25">
      <c r="A4058" s="2" t="s">
        <v>4060</v>
      </c>
      <c r="B4058" s="3" t="s">
        <v>2</v>
      </c>
      <c r="C4058" s="2" t="str">
        <f ca="1">IFERROR(__xludf.DUMMYFUNCTION("GOOGLETRANSLATE(A4058,""bn"",""en"")"),"I received the product in four days")</f>
        <v>I received the product in four days</v>
      </c>
    </row>
    <row r="4059" spans="1:3" ht="15.75" customHeight="1" x14ac:dyDescent="0.25">
      <c r="A4059" s="2" t="s">
        <v>4061</v>
      </c>
      <c r="B4059" s="3" t="s">
        <v>6</v>
      </c>
      <c r="C4059" s="2" t="str">
        <f ca="1">IFERROR(__xludf.DUMMYFUNCTION("GOOGLETRANSLATE(A4059,""bn"",""en"")"),"The aroma was weak and flat lacking any complexity or richness")</f>
        <v>The aroma was weak and flat lacking any complexity or richness</v>
      </c>
    </row>
    <row r="4060" spans="1:3" ht="15.75" customHeight="1" x14ac:dyDescent="0.25">
      <c r="A4060" s="2" t="s">
        <v>4062</v>
      </c>
      <c r="B4060" s="3" t="s">
        <v>6</v>
      </c>
      <c r="C4060" s="2" t="str">
        <f ca="1">IFERROR(__xludf.DUMMYFUNCTION("GOOGLETRANSLATE(A4060,""bn"",""en"")"),"Smart light bulbs flicker inconsistent brightness levels")</f>
        <v>Smart light bulbs flicker inconsistent brightness levels</v>
      </c>
    </row>
    <row r="4061" spans="1:3" ht="15.75" customHeight="1" x14ac:dyDescent="0.25">
      <c r="A4061" s="2" t="s">
        <v>4063</v>
      </c>
      <c r="B4061" s="3" t="s">
        <v>4</v>
      </c>
      <c r="C4061" s="2" t="str">
        <f ca="1">IFERROR(__xludf.DUMMYFUNCTION("GOOGLETRANSLATE(A4061,""bn"",""en"")")," Very beautiful and very easy to use")</f>
        <v xml:space="preserve"> Very beautiful and very easy to use</v>
      </c>
    </row>
    <row r="4062" spans="1:3" ht="15.75" customHeight="1" x14ac:dyDescent="0.25">
      <c r="A4062" s="2" t="s">
        <v>4064</v>
      </c>
      <c r="B4062" s="3" t="s">
        <v>4</v>
      </c>
      <c r="C4062" s="2" t="str">
        <f ca="1">IFERROR(__xludf.DUMMYFUNCTION("GOOGLETRANSLATE(A4062,""bn"",""en"")"),"Makeup brushes are gentle on the skin")</f>
        <v>Makeup brushes are gentle on the skin</v>
      </c>
    </row>
    <row r="4063" spans="1:3" ht="15.75" customHeight="1" x14ac:dyDescent="0.25">
      <c r="A4063" s="2" t="s">
        <v>4065</v>
      </c>
      <c r="B4063" s="3" t="s">
        <v>4</v>
      </c>
      <c r="C4063" s="2" t="str">
        <f ca="1">IFERROR(__xludf.DUMMYFUNCTION("GOOGLETRANSLATE(A4063,""bn"",""en"")"),"Perfect replacement fit for my Garmin Vivoactive")</f>
        <v>Perfect replacement fit for my Garmin Vivoactive</v>
      </c>
    </row>
    <row r="4064" spans="1:3" ht="15.75" customHeight="1" x14ac:dyDescent="0.25">
      <c r="A4064" s="2" t="s">
        <v>4066</v>
      </c>
      <c r="B4064" s="3" t="s">
        <v>6</v>
      </c>
      <c r="C4064" s="2" t="str">
        <f ca="1">IFERROR(__xludf.DUMMYFUNCTION("GOOGLETRANSLATE(A4064,""bn"",""en"")"),"The frozen pizza had a rubbery texture and bland flavor with barely any toppings")</f>
        <v>The frozen pizza had a rubbery texture and bland flavor with barely any toppings</v>
      </c>
    </row>
    <row r="4065" spans="1:3" ht="15.75" customHeight="1" x14ac:dyDescent="0.25">
      <c r="A4065" s="2" t="s">
        <v>4067</v>
      </c>
      <c r="B4065" s="3" t="s">
        <v>4</v>
      </c>
      <c r="C4065" s="2" t="str">
        <f ca="1">IFERROR(__xludf.DUMMYFUNCTION("GOOGLETRANSLATE(A4065,""bn"",""en"")"),"From the moment the coffee is poured into the pot, its aroma permeates the room")</f>
        <v>From the moment the coffee is poured into the pot, its aroma permeates the room</v>
      </c>
    </row>
    <row r="4066" spans="1:3" ht="15.75" customHeight="1" x14ac:dyDescent="0.25">
      <c r="A4066" s="2" t="s">
        <v>4068</v>
      </c>
      <c r="B4066" s="3" t="s">
        <v>2</v>
      </c>
      <c r="C4066" s="2" t="str">
        <f ca="1">IFERROR(__xludf.DUMMYFUNCTION("GOOGLETRANSLATE(A4066,""bn"",""en"")"),"Had a fairly good experience using the water bottle")</f>
        <v>Had a fairly good experience using the water bottle</v>
      </c>
    </row>
    <row r="4067" spans="1:3" ht="15.75" customHeight="1" x14ac:dyDescent="0.25">
      <c r="A4067" s="2" t="s">
        <v>4069</v>
      </c>
      <c r="B4067" s="3" t="s">
        <v>6</v>
      </c>
      <c r="C4067" s="2" t="str">
        <f ca="1">IFERROR(__xludf.DUMMYFUNCTION("GOOGLETRANSLATE(A4067,""bn"",""en"")"),"Poor quality earrings")</f>
        <v>Poor quality earrings</v>
      </c>
    </row>
    <row r="4068" spans="1:3" ht="15.75" customHeight="1" x14ac:dyDescent="0.25">
      <c r="A4068" s="2" t="s">
        <v>4070</v>
      </c>
      <c r="B4068" s="3" t="s">
        <v>6</v>
      </c>
      <c r="C4068" s="2" t="str">
        <f ca="1">IFERROR(__xludf.DUMMYFUNCTION("GOOGLETRANSLATE(A4068,""bn"",""en"")"),"He automatic soap dispenser dispenses too much soap is wasteful")</f>
        <v>He automatic soap dispenser dispenses too much soap is wasteful</v>
      </c>
    </row>
    <row r="4069" spans="1:3" ht="15.75" customHeight="1" x14ac:dyDescent="0.25">
      <c r="A4069" s="2" t="s">
        <v>4071</v>
      </c>
      <c r="B4069" s="3" t="s">
        <v>4</v>
      </c>
      <c r="C4069" s="2" t="str">
        <f ca="1">IFERROR(__xludf.DUMMYFUNCTION("GOOGLETRANSLATE(A4069,""bn"",""en"")"),"Water absorption capacity is as expected")</f>
        <v>Water absorption capacity is as expected</v>
      </c>
    </row>
    <row r="4070" spans="1:3" ht="15.75" customHeight="1" x14ac:dyDescent="0.25">
      <c r="A4070" s="2" t="s">
        <v>4072</v>
      </c>
      <c r="B4070" s="3" t="s">
        <v>4</v>
      </c>
      <c r="C4070" s="2" t="str">
        <f ca="1">IFERROR(__xludf.DUMMYFUNCTION("GOOGLETRANSLATE(A4070,""bn"",""en"")"),"A good quality product")</f>
        <v>A good quality product</v>
      </c>
    </row>
    <row r="4071" spans="1:3" ht="15.75" customHeight="1" x14ac:dyDescent="0.25">
      <c r="A4071" s="2" t="s">
        <v>4073</v>
      </c>
      <c r="B4071" s="3" t="s">
        <v>4</v>
      </c>
      <c r="C4071" s="2" t="str">
        <f ca="1">IFERROR(__xludf.DUMMYFUNCTION("GOOGLETRANSLATE(A4071,""bn"",""en"")"),"This painting is very suitable for home")</f>
        <v>This painting is very suitable for home</v>
      </c>
    </row>
    <row r="4072" spans="1:3" ht="15.75" customHeight="1" x14ac:dyDescent="0.25">
      <c r="A4072" s="2" t="s">
        <v>4074</v>
      </c>
      <c r="B4072" s="3" t="s">
        <v>2</v>
      </c>
      <c r="C4072" s="2" t="str">
        <f ca="1">IFERROR(__xludf.DUMMYFUNCTION("GOOGLETRANSLATE(A4072,""bn"",""en"")"),"It is suitable for small rooms")</f>
        <v>It is suitable for small rooms</v>
      </c>
    </row>
    <row r="4073" spans="1:3" ht="15.75" customHeight="1" x14ac:dyDescent="0.25">
      <c r="A4073" s="2" t="s">
        <v>4075</v>
      </c>
      <c r="B4073" s="3" t="s">
        <v>6</v>
      </c>
      <c r="C4073" s="2" t="str">
        <f ca="1">IFERROR(__xludf.DUMMYFUNCTION("GOOGLETRANSLATE(A4073,""bn"",""en"")"),"The toys were prone to tearing")</f>
        <v>The toys were prone to tearing</v>
      </c>
    </row>
    <row r="4074" spans="1:3" ht="15.75" customHeight="1" x14ac:dyDescent="0.25">
      <c r="A4074" s="2" t="s">
        <v>4076</v>
      </c>
      <c r="B4074" s="3" t="s">
        <v>4</v>
      </c>
      <c r="C4074" s="2" t="str">
        <f ca="1">IFERROR(__xludf.DUMMYFUNCTION("GOOGLETRANSLATE(A4074,""bn"",""en"")"),"The sound quality of the device is very good")</f>
        <v>The sound quality of the device is very good</v>
      </c>
    </row>
    <row r="4075" spans="1:3" ht="15.75" customHeight="1" x14ac:dyDescent="0.25">
      <c r="A4075" s="2" t="s">
        <v>4077</v>
      </c>
      <c r="B4075" s="3" t="s">
        <v>2</v>
      </c>
      <c r="C4075" s="2" t="str">
        <f ca="1">IFERROR(__xludf.DUMMYFUNCTION("GOOGLETRANSLATE(A4075,""bn"",""en"")"),"The folding chair is suitable for sitting but not comfortable")</f>
        <v>The folding chair is suitable for sitting but not comfortable</v>
      </c>
    </row>
    <row r="4076" spans="1:3" ht="15.75" customHeight="1" x14ac:dyDescent="0.25">
      <c r="A4076" s="2" t="s">
        <v>4078</v>
      </c>
      <c r="B4076" s="3" t="s">
        <v>2</v>
      </c>
      <c r="C4076" s="2" t="str">
        <f ca="1">IFERROR(__xludf.DUMMYFUNCTION("GOOGLETRANSLATE(A4076,""bn"",""en"")"),"Nice for fashion but quality needs improvement")</f>
        <v>Nice for fashion but quality needs improvement</v>
      </c>
    </row>
    <row r="4077" spans="1:3" ht="15.75" customHeight="1" x14ac:dyDescent="0.25">
      <c r="A4077" s="2" t="s">
        <v>4079</v>
      </c>
      <c r="B4077" s="3" t="s">
        <v>2</v>
      </c>
      <c r="C4077" s="2" t="str">
        <f ca="1">IFERROR(__xludf.DUMMYFUNCTION("GOOGLETRANSLATE(A4077,""bn"",""en"")"),"Excellent product is somewhat ordinary")</f>
        <v>Excellent product is somewhat ordinary</v>
      </c>
    </row>
    <row r="4078" spans="1:3" ht="15.75" customHeight="1" x14ac:dyDescent="0.25">
      <c r="A4078" s="2" t="s">
        <v>4080</v>
      </c>
      <c r="B4078" s="3" t="s">
        <v>2</v>
      </c>
      <c r="C4078" s="2" t="str">
        <f ca="1">IFERROR(__xludf.DUMMYFUNCTION("GOOGLETRANSLATE(A4078,""bn"",""en"")"),"Easy to wash but the color may fade slightly if put in the dishwasher")</f>
        <v>Easy to wash but the color may fade slightly if put in the dishwasher</v>
      </c>
    </row>
    <row r="4079" spans="1:3" ht="15.75" customHeight="1" x14ac:dyDescent="0.25">
      <c r="A4079" s="2" t="s">
        <v>4081</v>
      </c>
      <c r="B4079" s="3" t="s">
        <v>2</v>
      </c>
      <c r="C4079" s="2" t="str">
        <f ca="1">IFERROR(__xludf.DUMMYFUNCTION("GOOGLETRANSLATE(A4079,""bn"",""en"")"),"Money spent on savings")</f>
        <v>Money spent on savings</v>
      </c>
    </row>
    <row r="4080" spans="1:3" ht="15.75" customHeight="1" x14ac:dyDescent="0.25">
      <c r="A4080" s="2" t="s">
        <v>4082</v>
      </c>
      <c r="B4080" s="3" t="s">
        <v>4</v>
      </c>
      <c r="C4080" s="2" t="str">
        <f ca="1">IFERROR(__xludf.DUMMYFUNCTION("GOOGLETRANSLATE(A4080,""bn"",""en"")"),"The lens is a quality product at a low price")</f>
        <v>The lens is a quality product at a low price</v>
      </c>
    </row>
    <row r="4081" spans="1:3" ht="15.75" customHeight="1" x14ac:dyDescent="0.25">
      <c r="A4081" s="2" t="s">
        <v>4083</v>
      </c>
      <c r="B4081" s="3" t="s">
        <v>6</v>
      </c>
      <c r="C4081" s="2" t="str">
        <f ca="1">IFERROR(__xludf.DUMMYFUNCTION("GOOGLETRANSLATE(A4081,""bn"",""en"")"),"The pet's hug unexpectedly breaks causing the pet to escape")</f>
        <v>The pet's hug unexpectedly breaks causing the pet to escape</v>
      </c>
    </row>
    <row r="4082" spans="1:3" ht="15.75" customHeight="1" x14ac:dyDescent="0.25">
      <c r="A4082" s="2" t="s">
        <v>4084</v>
      </c>
      <c r="B4082" s="3" t="s">
        <v>2</v>
      </c>
      <c r="C4082" s="2" t="str">
        <f ca="1">IFERROR(__xludf.DUMMYFUNCTION("GOOGLETRANSLATE(A4082,""bn"",""en"")"),"There was some increase in yield after application of the fertilizer but no significant change")</f>
        <v>There was some increase in yield after application of the fertilizer but no significant change</v>
      </c>
    </row>
    <row r="4083" spans="1:3" ht="15.75" customHeight="1" x14ac:dyDescent="0.25">
      <c r="A4083" s="2" t="s">
        <v>4085</v>
      </c>
      <c r="B4083" s="3" t="s">
        <v>6</v>
      </c>
      <c r="C4083" s="2" t="str">
        <f ca="1">IFERROR(__xludf.DUMMYFUNCTION("GOOGLETRANSLATE(A4083,""bn"",""en"")"),"Automatic white balance is unreliable resulting in unnatural colors in photos")</f>
        <v>Automatic white balance is unreliable resulting in unnatural colors in photos</v>
      </c>
    </row>
    <row r="4084" spans="1:3" ht="15.75" customHeight="1" x14ac:dyDescent="0.25">
      <c r="A4084" s="2" t="s">
        <v>4086</v>
      </c>
      <c r="B4084" s="3" t="s">
        <v>4</v>
      </c>
      <c r="C4084" s="2" t="str">
        <f ca="1">IFERROR(__xludf.DUMMYFUNCTION("GOOGLETRANSLATE(A4084,""bn"",""en"")"),"Every page is very interesting")</f>
        <v>Every page is very interesting</v>
      </c>
    </row>
    <row r="4085" spans="1:3" ht="15.75" customHeight="1" x14ac:dyDescent="0.25">
      <c r="A4085" s="2" t="s">
        <v>4087</v>
      </c>
      <c r="B4085" s="3" t="s">
        <v>4</v>
      </c>
      <c r="C4085" s="2" t="str">
        <f ca="1">IFERROR(__xludf.DUMMYFUNCTION("GOOGLETRANSLATE(A4085,""bn"",""en"")"),"Rarely misses a shot recording much better than Rhapsodo")</f>
        <v>Rarely misses a shot recording much better than Rhapsodo</v>
      </c>
    </row>
    <row r="4086" spans="1:3" ht="15.75" customHeight="1" x14ac:dyDescent="0.25">
      <c r="A4086" s="2" t="s">
        <v>4088</v>
      </c>
      <c r="B4086" s="3" t="s">
        <v>6</v>
      </c>
      <c r="C4086" s="2" t="str">
        <f ca="1">IFERROR(__xludf.DUMMYFUNCTION("GOOGLETRANSLATE(A4086,""bn"",""en"")"),"The portable blender leaks spilling liquid everywhere")</f>
        <v>The portable blender leaks spilling liquid everywhere</v>
      </c>
    </row>
    <row r="4087" spans="1:3" ht="15.75" customHeight="1" x14ac:dyDescent="0.25">
      <c r="A4087" s="2" t="s">
        <v>4089</v>
      </c>
      <c r="B4087" s="3" t="s">
        <v>2</v>
      </c>
      <c r="C4087" s="2" t="str">
        <f ca="1">IFERROR(__xludf.DUMMYFUNCTION("GOOGLETRANSLATE(A4087,""bn"",""en"")"),"Nothing special in use")</f>
        <v>Nothing special in use</v>
      </c>
    </row>
    <row r="4088" spans="1:3" ht="15.75" customHeight="1" x14ac:dyDescent="0.25">
      <c r="A4088" s="2" t="s">
        <v>4090</v>
      </c>
      <c r="B4088" s="3" t="s">
        <v>6</v>
      </c>
      <c r="C4088" s="2" t="str">
        <f ca="1">IFERROR(__xludf.DUMMYFUNCTION("GOOGLETRANSLATE(A4088,""bn"",""en"")"),"Bad customer service didn't help with the issues")</f>
        <v>Bad customer service didn't help with the issues</v>
      </c>
    </row>
    <row r="4089" spans="1:3" ht="15.75" customHeight="1" x14ac:dyDescent="0.25">
      <c r="A4089" s="2" t="s">
        <v>4091</v>
      </c>
      <c r="B4089" s="3" t="s">
        <v>6</v>
      </c>
      <c r="C4089" s="2" t="str">
        <f ca="1">IFERROR(__xludf.DUMMYFUNCTION("GOOGLETRANSLATE(A4089,""bn"",""en"")"),"Lack of hole stability after minimal wear")</f>
        <v>Lack of hole stability after minimal wear</v>
      </c>
    </row>
    <row r="4090" spans="1:3" ht="15.75" customHeight="1" x14ac:dyDescent="0.25">
      <c r="A4090" s="2" t="s">
        <v>4092</v>
      </c>
      <c r="B4090" s="3" t="s">
        <v>6</v>
      </c>
      <c r="C4090" s="2" t="str">
        <f ca="1">IFERROR(__xludf.DUMMYFUNCTION("GOOGLETRANSLATE(A4090,""bn"",""en"")"),"The smell of the mist was cheap and artificial which I absolutely could not stand")</f>
        <v>The smell of the mist was cheap and artificial which I absolutely could not stand</v>
      </c>
    </row>
    <row r="4091" spans="1:3" ht="15.75" customHeight="1" x14ac:dyDescent="0.25">
      <c r="A4091" s="2" t="s">
        <v>4093</v>
      </c>
      <c r="B4091" s="3" t="s">
        <v>2</v>
      </c>
      <c r="C4091" s="2" t="str">
        <f ca="1">IFERROR(__xludf.DUMMYFUNCTION("GOOGLETRANSLATE(A4091,""bn"",""en"")"),"There are lights but not too bright")</f>
        <v>There are lights but not too bright</v>
      </c>
    </row>
    <row r="4092" spans="1:3" ht="15.75" customHeight="1" x14ac:dyDescent="0.25">
      <c r="A4092" s="2" t="s">
        <v>4094</v>
      </c>
      <c r="B4092" s="3" t="s">
        <v>4</v>
      </c>
      <c r="C4092" s="2" t="str">
        <f ca="1">IFERROR(__xludf.DUMMYFUNCTION("GOOGLETRANSLATE(A4092,""bn"",""en"")"),"Singular dead pixels")</f>
        <v>Singular dead pixels</v>
      </c>
    </row>
    <row r="4093" spans="1:3" ht="15.75" customHeight="1" x14ac:dyDescent="0.25">
      <c r="A4093" s="2" t="s">
        <v>4095</v>
      </c>
      <c r="B4093" s="3" t="s">
        <v>6</v>
      </c>
      <c r="C4093" s="2" t="str">
        <f ca="1">IFERROR(__xludf.DUMMYFUNCTION("GOOGLETRANSLATE(A4093,""bn"",""en"")"),"Solar powered garden light spots are difficult to install on very small ground")</f>
        <v>Solar powered garden light spots are difficult to install on very small ground</v>
      </c>
    </row>
    <row r="4094" spans="1:3" ht="15.75" customHeight="1" x14ac:dyDescent="0.25">
      <c r="A4094" s="2" t="s">
        <v>4096</v>
      </c>
      <c r="B4094" s="3" t="s">
        <v>6</v>
      </c>
      <c r="C4094" s="2" t="str">
        <f ca="1">IFERROR(__xludf.DUMMYFUNCTION("GOOGLETRANSLATE(A4094,""bn"",""en"")"),"Face masks cause redness and irritation instead of calming and soothing the skin")</f>
        <v>Face masks cause redness and irritation instead of calming and soothing the skin</v>
      </c>
    </row>
    <row r="4095" spans="1:3" ht="15.75" customHeight="1" x14ac:dyDescent="0.25">
      <c r="A4095" s="2" t="s">
        <v>4097</v>
      </c>
      <c r="B4095" s="3" t="s">
        <v>6</v>
      </c>
      <c r="C4095" s="2" t="str">
        <f ca="1">IFERROR(__xludf.DUMMYFUNCTION("GOOGLETRANSLATE(A4095,""bn"",""en"")"),"The packaged cookies were dry and crumbly and lacked freshness")</f>
        <v>The packaged cookies were dry and crumbly and lacked freshness</v>
      </c>
    </row>
    <row r="4096" spans="1:3" ht="15.75" customHeight="1" x14ac:dyDescent="0.25">
      <c r="A4096" s="2" t="s">
        <v>4098</v>
      </c>
      <c r="B4096" s="3" t="s">
        <v>2</v>
      </c>
      <c r="C4096" s="2" t="str">
        <f ca="1">IFERROR(__xludf.DUMMYFUNCTION("GOOGLETRANSLATE(A4096,""bn"",""en"")"),"The drink is very fresh but slightly bitter")</f>
        <v>The drink is very fresh but slightly bitter</v>
      </c>
    </row>
    <row r="4097" spans="1:3" ht="15.75" customHeight="1" x14ac:dyDescent="0.25">
      <c r="A4097" s="2" t="s">
        <v>4099</v>
      </c>
      <c r="B4097" s="3" t="s">
        <v>4</v>
      </c>
      <c r="C4097" s="2" t="str">
        <f ca="1">IFERROR(__xludf.DUMMYFUNCTION("GOOGLETRANSLATE(A4097,""bn"",""en"")"),"Polaroid cameras are great for setup")</f>
        <v>Polaroid cameras are great for setup</v>
      </c>
    </row>
    <row r="4098" spans="1:3" ht="15.75" customHeight="1" x14ac:dyDescent="0.25">
      <c r="A4098" s="2" t="s">
        <v>4100</v>
      </c>
      <c r="B4098" s="3" t="s">
        <v>2</v>
      </c>
      <c r="C4098" s="2" t="str">
        <f ca="1">IFERROR(__xludf.DUMMYFUNCTION("GOOGLETRANSLATE(A4098,""bn"",""en"")"),"The spoons are common with no special design")</f>
        <v>The spoons are common with no special design</v>
      </c>
    </row>
    <row r="4099" spans="1:3" ht="15.75" customHeight="1" x14ac:dyDescent="0.25">
      <c r="A4099" s="2" t="s">
        <v>4101</v>
      </c>
      <c r="B4099" s="3" t="s">
        <v>2</v>
      </c>
      <c r="C4099" s="2" t="str">
        <f ca="1">IFERROR(__xludf.DUMMYFUNCTION("GOOGLETRANSLATE(A4099,""bn"",""en"")"),"It can be used for hairstyles")</f>
        <v>It can be used for hairstyles</v>
      </c>
    </row>
    <row r="4100" spans="1:3" ht="15.75" customHeight="1" x14ac:dyDescent="0.25">
      <c r="A4100" s="2" t="s">
        <v>4102</v>
      </c>
      <c r="B4100" s="3" t="s">
        <v>6</v>
      </c>
      <c r="C4100" s="2" t="str">
        <f ca="1">IFERROR(__xludf.DUMMYFUNCTION("GOOGLETRANSLATE(A4100,""bn"",""en"")"),"The neckline of the dress was too low revealing more skin than desired for modesty")</f>
        <v>The neckline of the dress was too low revealing more skin than desired for modesty</v>
      </c>
    </row>
    <row r="4101" spans="1:3" ht="15.75" customHeight="1" x14ac:dyDescent="0.25">
      <c r="A4101" s="2" t="s">
        <v>4103</v>
      </c>
      <c r="B4101" s="3" t="s">
        <v>2</v>
      </c>
      <c r="C4101" s="2" t="str">
        <f ca="1">IFERROR(__xludf.DUMMYFUNCTION("GOOGLETRANSLATE(A4101,""bn"",""en"")"),"I can give an informed opinion after long usage")</f>
        <v>I can give an informed opinion after long usage</v>
      </c>
    </row>
    <row r="4102" spans="1:3" ht="15.75" customHeight="1" x14ac:dyDescent="0.25">
      <c r="A4102" s="2" t="s">
        <v>4104</v>
      </c>
      <c r="B4102" s="3" t="s">
        <v>4</v>
      </c>
      <c r="C4102" s="2" t="str">
        <f ca="1">IFERROR(__xludf.DUMMYFUNCTION("GOOGLETRANSLATE(A4102,""bn"",""en"")"),"Every piece fits together perfectly")</f>
        <v>Every piece fits together perfectly</v>
      </c>
    </row>
    <row r="4103" spans="1:3" ht="15.75" customHeight="1" x14ac:dyDescent="0.25">
      <c r="A4103" s="2" t="s">
        <v>4105</v>
      </c>
      <c r="B4103" s="3" t="s">
        <v>4</v>
      </c>
      <c r="C4103" s="2" t="str">
        <f ca="1">IFERROR(__xludf.DUMMYFUNCTION("GOOGLETRANSLATE(A4103,""bn"",""en"")"),"I didn't get such a good price in this budget")</f>
        <v>I didn't get such a good price in this budget</v>
      </c>
    </row>
    <row r="4104" spans="1:3" ht="15.75" customHeight="1" x14ac:dyDescent="0.25">
      <c r="A4104" s="2" t="s">
        <v>4106</v>
      </c>
      <c r="B4104" s="3" t="s">
        <v>2</v>
      </c>
      <c r="C4104" s="2" t="str">
        <f ca="1">IFERROR(__xludf.DUMMYFUNCTION("GOOGLETRANSLATE(A4104,""bn"",""en"")"),"The quality is not very good")</f>
        <v>The quality is not very good</v>
      </c>
    </row>
    <row r="4105" spans="1:3" ht="15.75" customHeight="1" x14ac:dyDescent="0.25">
      <c r="A4105" s="2" t="s">
        <v>4107</v>
      </c>
      <c r="B4105" s="3" t="s">
        <v>4</v>
      </c>
      <c r="C4105" s="2" t="str">
        <f ca="1">IFERROR(__xludf.DUMMYFUNCTION("GOOGLETRANSLATE(A4105,""bn"",""en"")"),"The bottoms of the pots are designed so that they stay steady on the table, preventing accidental falls")</f>
        <v>The bottoms of the pots are designed so that they stay steady on the table, preventing accidental falls</v>
      </c>
    </row>
    <row r="4106" spans="1:3" ht="15.75" customHeight="1" x14ac:dyDescent="0.25">
      <c r="A4106" s="2" t="s">
        <v>4108</v>
      </c>
      <c r="B4106" s="3" t="s">
        <v>4</v>
      </c>
      <c r="C4106" s="2" t="str">
        <f ca="1">IFERROR(__xludf.DUMMYFUNCTION("GOOGLETRANSLATE(A4106,""bn"",""en"")"),"The makeup kit is perfect for travel use")</f>
        <v>The makeup kit is perfect for travel use</v>
      </c>
    </row>
    <row r="4107" spans="1:3" ht="15.75" customHeight="1" x14ac:dyDescent="0.25">
      <c r="A4107" s="2" t="s">
        <v>4109</v>
      </c>
      <c r="B4107" s="3" t="s">
        <v>2</v>
      </c>
      <c r="C4107" s="2" t="str">
        <f ca="1">IFERROR(__xludf.DUMMYFUNCTION("GOOGLETRANSLATE(A4107,""bn"",""en"")"),"The taste is nothing special but not bad either")</f>
        <v>The taste is nothing special but not bad either</v>
      </c>
    </row>
    <row r="4108" spans="1:3" ht="15.75" customHeight="1" x14ac:dyDescent="0.25">
      <c r="A4108" s="2" t="s">
        <v>4110</v>
      </c>
      <c r="B4108" s="3" t="s">
        <v>6</v>
      </c>
      <c r="C4108" s="2" t="str">
        <f ca="1">IFERROR(__xludf.DUMMYFUNCTION("GOOGLETRANSLATE(A4108,""bn"",""en"")"),"Inefficient lid seals cause leaks and spills")</f>
        <v>Inefficient lid seals cause leaks and spills</v>
      </c>
    </row>
    <row r="4109" spans="1:3" ht="15.75" customHeight="1" x14ac:dyDescent="0.25">
      <c r="A4109" s="2" t="s">
        <v>4111</v>
      </c>
      <c r="B4109" s="3" t="s">
        <v>4</v>
      </c>
      <c r="C4109" s="2" t="str">
        <f ca="1">IFERROR(__xludf.DUMMYFUNCTION("GOOGLETRANSLATE(A4109,""bn"",""en"")"),"The design is very nice and modern")</f>
        <v>The design is very nice and modern</v>
      </c>
    </row>
    <row r="4110" spans="1:3" ht="15.75" customHeight="1" x14ac:dyDescent="0.25">
      <c r="A4110" s="2" t="s">
        <v>4112</v>
      </c>
      <c r="B4110" s="3" t="s">
        <v>4</v>
      </c>
      <c r="C4110" s="2" t="str">
        <f ca="1">IFERROR(__xludf.DUMMYFUNCTION("GOOGLETRANSLATE(A4110,""bn"",""en"")"),"The new watch keeps good time and looks great")</f>
        <v>The new watch keeps good time and looks great</v>
      </c>
    </row>
    <row r="4111" spans="1:3" ht="15.75" customHeight="1" x14ac:dyDescent="0.25">
      <c r="A4111" s="2" t="s">
        <v>4113</v>
      </c>
      <c r="B4111" s="3" t="s">
        <v>6</v>
      </c>
      <c r="C4111" s="2" t="str">
        <f ca="1">IFERROR(__xludf.DUMMYFUNCTION("GOOGLETRANSLATE(A4111,""bn"",""en"")"),"Moderate discovery")</f>
        <v>Moderate discovery</v>
      </c>
    </row>
    <row r="4112" spans="1:3" ht="15.75" customHeight="1" x14ac:dyDescent="0.25">
      <c r="A4112" s="2" t="s">
        <v>4114</v>
      </c>
      <c r="B4112" s="3" t="s">
        <v>4</v>
      </c>
      <c r="C4112" s="2" t="str">
        <f ca="1">IFERROR(__xludf.DUMMYFUNCTION("GOOGLETRANSLATE(A4112,""bn"",""en"")"),"The screen size of the new mobile is very suitable")</f>
        <v>The screen size of the new mobile is very suitable</v>
      </c>
    </row>
    <row r="4113" spans="1:3" ht="15.75" customHeight="1" x14ac:dyDescent="0.25">
      <c r="A4113" s="2" t="s">
        <v>4115</v>
      </c>
      <c r="B4113" s="3" t="s">
        <v>6</v>
      </c>
      <c r="C4113" s="2" t="str">
        <f ca="1">IFERROR(__xludf.DUMMYFUNCTION("GOOGLETRANSLATE(A4113,""bn"",""en"")"),"The tea set glass had bubbles and imperfections making it look cheap")</f>
        <v>The tea set glass had bubbles and imperfections making it look cheap</v>
      </c>
    </row>
    <row r="4114" spans="1:3" ht="15.75" customHeight="1" x14ac:dyDescent="0.25">
      <c r="A4114" s="2" t="s">
        <v>4116</v>
      </c>
      <c r="B4114" s="3" t="s">
        <v>4</v>
      </c>
      <c r="C4114" s="2" t="str">
        <f ca="1">IFERROR(__xludf.DUMMYFUNCTION("GOOGLETRANSLATE(A4114,""bn"",""en"")"),"The lyrics of the song are heard so clearly that it seems as if the singer is singing ear to ear")</f>
        <v>The lyrics of the song are heard so clearly that it seems as if the singer is singing ear to ear</v>
      </c>
    </row>
    <row r="4115" spans="1:3" ht="15.75" customHeight="1" x14ac:dyDescent="0.25">
      <c r="A4115" s="2" t="s">
        <v>4117</v>
      </c>
      <c r="B4115" s="3" t="s">
        <v>6</v>
      </c>
      <c r="C4115" s="2" t="str">
        <f ca="1">IFERROR(__xludf.DUMMYFUNCTION("GOOGLETRANSLATE(A4115,""bn"",""en"")"),"Setting powder leaves behind a white residue that makes the skin look ashy")</f>
        <v>Setting powder leaves behind a white residue that makes the skin look ashy</v>
      </c>
    </row>
    <row r="4116" spans="1:3" ht="15.75" customHeight="1" x14ac:dyDescent="0.25">
      <c r="A4116" s="2" t="s">
        <v>4118</v>
      </c>
      <c r="B4116" s="3" t="s">
        <v>6</v>
      </c>
      <c r="C4116" s="2" t="str">
        <f ca="1">IFERROR(__xludf.DUMMYFUNCTION("GOOGLETRANSLATE(A4116,""bn"",""en"")"),"Poorly constructed unstable foundation")</f>
        <v>Poorly constructed unstable foundation</v>
      </c>
    </row>
    <row r="4117" spans="1:3" ht="15.75" customHeight="1" x14ac:dyDescent="0.25">
      <c r="A4117" s="2" t="s">
        <v>4119</v>
      </c>
      <c r="B4117" s="3" t="s">
        <v>2</v>
      </c>
      <c r="C4117" s="2" t="str">
        <f ca="1">IFERROR(__xludf.DUMMYFUNCTION("GOOGLETRANSLATE(A4117,""bn"",""en"")"),"Wireless paint mixer mixes paint but is not very powerful")</f>
        <v>Wireless paint mixer mixes paint but is not very powerful</v>
      </c>
    </row>
    <row r="4118" spans="1:3" ht="15.75" customHeight="1" x14ac:dyDescent="0.25">
      <c r="A4118" s="2" t="s">
        <v>4120</v>
      </c>
      <c r="B4118" s="3" t="s">
        <v>2</v>
      </c>
      <c r="C4118" s="2" t="str">
        <f ca="1">IFERROR(__xludf.DUMMYFUNCTION("GOOGLETRANSLATE(A4118,""bn"",""en"")"),"Gifts are little extras, nothing special")</f>
        <v>Gifts are little extras, nothing special</v>
      </c>
    </row>
    <row r="4119" spans="1:3" ht="15.75" customHeight="1" x14ac:dyDescent="0.25">
      <c r="A4119" s="2" t="s">
        <v>4121</v>
      </c>
      <c r="B4119" s="3" t="s">
        <v>4</v>
      </c>
      <c r="C4119" s="2" t="str">
        <f ca="1">IFERROR(__xludf.DUMMYFUNCTION("GOOGLETRANSLATE(A4119,""bn"",""en"")"),"Using this shampoo enhances the natural shine of the hair")</f>
        <v>Using this shampoo enhances the natural shine of the hair</v>
      </c>
    </row>
    <row r="4120" spans="1:3" ht="15.75" customHeight="1" x14ac:dyDescent="0.25">
      <c r="A4120" s="2" t="s">
        <v>4122</v>
      </c>
      <c r="B4120" s="3" t="s">
        <v>2</v>
      </c>
      <c r="C4120" s="2" t="str">
        <f ca="1">IFERROR(__xludf.DUMMYFUNCTION("GOOGLETRANSLATE(A4120,""bn"",""en"")"),"Usable for transport but cannot withstand hard impacts")</f>
        <v>Usable for transport but cannot withstand hard impacts</v>
      </c>
    </row>
    <row r="4121" spans="1:3" ht="15.75" customHeight="1" x14ac:dyDescent="0.25">
      <c r="A4121" s="2" t="s">
        <v>4123</v>
      </c>
      <c r="B4121" s="3" t="s">
        <v>4</v>
      </c>
      <c r="C4121" s="2" t="str">
        <f ca="1">IFERROR(__xludf.DUMMYFUNCTION("GOOGLETRANSLATE(A4121,""bn"",""en"")"),"It is easily absorbed by the body")</f>
        <v>It is easily absorbed by the body</v>
      </c>
    </row>
    <row r="4122" spans="1:3" ht="15.75" customHeight="1" x14ac:dyDescent="0.25">
      <c r="A4122" s="2" t="s">
        <v>4124</v>
      </c>
      <c r="B4122" s="3" t="s">
        <v>2</v>
      </c>
      <c r="C4122" s="2" t="str">
        <f ca="1">IFERROR(__xludf.DUMMYFUNCTION("GOOGLETRANSLATE(A4122,""bn"",""en"")"),"May be effective for insect repellence")</f>
        <v>May be effective for insect repellence</v>
      </c>
    </row>
    <row r="4123" spans="1:3" ht="15.75" customHeight="1" x14ac:dyDescent="0.25">
      <c r="A4123" s="2" t="s">
        <v>4125</v>
      </c>
      <c r="B4123" s="3" t="s">
        <v>6</v>
      </c>
      <c r="C4123" s="2" t="str">
        <f ca="1">IFERROR(__xludf.DUMMYFUNCTION("GOOGLETRANSLATE(A4123,""bn"",""en"")"),"Absolutely stunning price could have been better")</f>
        <v>Absolutely stunning price could have been better</v>
      </c>
    </row>
    <row r="4124" spans="1:3" ht="15.75" customHeight="1" x14ac:dyDescent="0.25">
      <c r="A4124" s="2" t="s">
        <v>4126</v>
      </c>
      <c r="B4124" s="3" t="s">
        <v>6</v>
      </c>
      <c r="C4124" s="2" t="str">
        <f ca="1">IFERROR(__xludf.DUMMYFUNCTION("GOOGLETRANSLATE(A4124,""bn"",""en"")"),"  There was a strange texture that felt rough and scratchy against the skin")</f>
        <v xml:space="preserve">  There was a strange texture that felt rough and scratchy against the skin</v>
      </c>
    </row>
    <row r="4125" spans="1:3" ht="15.75" customHeight="1" x14ac:dyDescent="0.25">
      <c r="A4125" s="2" t="s">
        <v>4127</v>
      </c>
      <c r="B4125" s="3" t="s">
        <v>2</v>
      </c>
      <c r="C4125" s="2" t="str">
        <f ca="1">IFERROR(__xludf.DUMMYFUNCTION("GOOGLETRANSLATE(A4125,""bn"",""en"")"),"Suffering from nostalgia")</f>
        <v>Suffering from nostalgia</v>
      </c>
    </row>
    <row r="4126" spans="1:3" ht="15.75" customHeight="1" x14ac:dyDescent="0.25">
      <c r="A4126" s="2" t="s">
        <v>4128</v>
      </c>
      <c r="B4126" s="3" t="s">
        <v>6</v>
      </c>
      <c r="C4126" s="2" t="str">
        <f ca="1">IFERROR(__xludf.DUMMYFUNCTION("GOOGLETRANSLATE(A4126,""bn"",""en"")"),"The cheap quality of the fabric clearly lacks durability")</f>
        <v>The cheap quality of the fabric clearly lacks durability</v>
      </c>
    </row>
    <row r="4127" spans="1:3" ht="15.75" customHeight="1" x14ac:dyDescent="0.25">
      <c r="A4127" s="2" t="s">
        <v>4129</v>
      </c>
      <c r="B4127" s="3" t="s">
        <v>6</v>
      </c>
      <c r="C4127" s="2" t="str">
        <f ca="1">IFERROR(__xludf.DUMMYFUNCTION("GOOGLETRANSLATE(A4127,""bn"",""en"")"),"A toaster oven's heating elements rust and emit a burning smell")</f>
        <v>A toaster oven's heating elements rust and emit a burning smell</v>
      </c>
    </row>
    <row r="4128" spans="1:3" ht="15.75" customHeight="1" x14ac:dyDescent="0.25">
      <c r="A4128" s="2" t="s">
        <v>4130</v>
      </c>
      <c r="B4128" s="3" t="s">
        <v>4</v>
      </c>
      <c r="C4128" s="2" t="str">
        <f ca="1">IFERROR(__xludf.DUMMYFUNCTION("GOOGLETRANSLATE(A4128,""bn"",""en"")"),"Our class environment is always joyful")</f>
        <v>Our class environment is always joyful</v>
      </c>
    </row>
    <row r="4129" spans="1:3" ht="15.75" customHeight="1" x14ac:dyDescent="0.25">
      <c r="A4129" s="2" t="s">
        <v>4131</v>
      </c>
      <c r="B4129" s="3" t="s">
        <v>6</v>
      </c>
      <c r="C4129" s="2" t="str">
        <f ca="1">IFERROR(__xludf.DUMMYFUNCTION("GOOGLETRANSLATE(A4129,""bn"",""en"")"),"Poor packaging spills over into product transport")</f>
        <v>Poor packaging spills over into product transport</v>
      </c>
    </row>
    <row r="4130" spans="1:3" ht="15.75" customHeight="1" x14ac:dyDescent="0.25">
      <c r="A4130" s="2" t="s">
        <v>4132</v>
      </c>
      <c r="B4130" s="3" t="s">
        <v>2</v>
      </c>
      <c r="C4130" s="2" t="str">
        <f ca="1">IFERROR(__xludf.DUMMYFUNCTION("GOOGLETRANSLATE(A4130,""bn"",""en"")"),"The casual design makes the dress wearable for everyday occasions")</f>
        <v>The casual design makes the dress wearable for everyday occasions</v>
      </c>
    </row>
    <row r="4131" spans="1:3" ht="15.75" customHeight="1" x14ac:dyDescent="0.25">
      <c r="A4131" s="2" t="s">
        <v>4133</v>
      </c>
      <c r="B4131" s="3" t="s">
        <v>2</v>
      </c>
      <c r="C4131" s="2" t="str">
        <f ca="1">IFERROR(__xludf.DUMMYFUNCTION("GOOGLETRANSLATE(A4131,""bn"",""en"")"),"This item was ok for doll making but not sturdy")</f>
        <v>This item was ok for doll making but not sturdy</v>
      </c>
    </row>
    <row r="4132" spans="1:3" ht="15.75" customHeight="1" x14ac:dyDescent="0.25">
      <c r="A4132" s="2" t="s">
        <v>4134</v>
      </c>
      <c r="B4132" s="3" t="s">
        <v>2</v>
      </c>
      <c r="C4132" s="2" t="str">
        <f ca="1">IFERROR(__xludf.DUMMYFUNCTION("GOOGLETRANSLATE(A4132,""bn"",""en"")"),"The sweetness is ok but the drink is too runny")</f>
        <v>The sweetness is ok but the drink is too runny</v>
      </c>
    </row>
    <row r="4133" spans="1:3" ht="15.75" customHeight="1" x14ac:dyDescent="0.25">
      <c r="A4133" s="2" t="s">
        <v>4135</v>
      </c>
      <c r="B4133" s="3" t="s">
        <v>6</v>
      </c>
      <c r="C4133" s="2" t="str">
        <f ca="1">IFERROR(__xludf.DUMMYFUNCTION("GOOGLETRANSLATE(A4133,""bn"",""en"")"),"The indicator light on the portable charger failed to show the battery level correctly")</f>
        <v>The indicator light on the portable charger failed to show the battery level correctly</v>
      </c>
    </row>
    <row r="4134" spans="1:3" ht="15.75" customHeight="1" x14ac:dyDescent="0.25">
      <c r="A4134" s="2" t="s">
        <v>4136</v>
      </c>
      <c r="B4134" s="3" t="s">
        <v>4</v>
      </c>
      <c r="C4134" s="2" t="str">
        <f ca="1">IFERROR(__xludf.DUMMYFUNCTION("GOOGLETRANSLATE(A4134,""bn"",""en"")"),"I use this charger with an iPhone Pro Max in an Otter Defender series case ")</f>
        <v xml:space="preserve">I use this charger with an iPhone Pro Max in an Otter Defender series case </v>
      </c>
    </row>
    <row r="4135" spans="1:3" ht="15.75" customHeight="1" x14ac:dyDescent="0.25">
      <c r="A4135" s="2" t="s">
        <v>4137</v>
      </c>
      <c r="B4135" s="3" t="s">
        <v>4</v>
      </c>
      <c r="C4135" s="2" t="str">
        <f ca="1">IFERROR(__xludf.DUMMYFUNCTION("GOOGLETRANSLATE(A4135,""bn"",""en"")"),"A family favorite product")</f>
        <v>A family favorite product</v>
      </c>
    </row>
    <row r="4136" spans="1:3" ht="15.75" customHeight="1" x14ac:dyDescent="0.25">
      <c r="A4136" s="2" t="s">
        <v>4138</v>
      </c>
      <c r="B4136" s="3" t="s">
        <v>6</v>
      </c>
      <c r="C4136" s="2" t="str">
        <f ca="1">IFERROR(__xludf.DUMMYFUNCTION("GOOGLETRANSLATE(A4136,""bn"",""en"")"),"Packaged crackers were stale and lacked crunch and taste like they had been left open for too long")</f>
        <v>Packaged crackers were stale and lacked crunch and taste like they had been left open for too long</v>
      </c>
    </row>
    <row r="4137" spans="1:3" ht="15.75" customHeight="1" x14ac:dyDescent="0.25">
      <c r="A4137" s="2" t="s">
        <v>4139</v>
      </c>
      <c r="B4137" s="3" t="s">
        <v>4</v>
      </c>
      <c r="C4137" s="2" t="str">
        <f ca="1">IFERROR(__xludf.DUMMYFUNCTION("GOOGLETRANSLATE(A4137,""bn"",""en"")"),"The plastic flower looks great in different lighting")</f>
        <v>The plastic flower looks great in different lighting</v>
      </c>
    </row>
    <row r="4138" spans="1:3" ht="15.75" customHeight="1" x14ac:dyDescent="0.25">
      <c r="A4138" s="2" t="s">
        <v>4140</v>
      </c>
      <c r="B4138" s="3" t="s">
        <v>2</v>
      </c>
      <c r="C4138" s="2" t="str">
        <f ca="1">IFERROR(__xludf.DUMMYFUNCTION("GOOGLETRANSLATE(A4138,""bn"",""en"")"),"It will run smoothly while pulling on the floor")</f>
        <v>It will run smoothly while pulling on the floor</v>
      </c>
    </row>
    <row r="4139" spans="1:3" ht="15.75" customHeight="1" x14ac:dyDescent="0.25">
      <c r="A4139" s="2" t="s">
        <v>4141</v>
      </c>
      <c r="B4139" s="3" t="s">
        <v>4</v>
      </c>
      <c r="C4139" s="2" t="str">
        <f ca="1">IFERROR(__xludf.DUMMYFUNCTION("GOOGLETRANSLATE(A4139,""bn"",""en"")"),"The book cover design is very attractive")</f>
        <v>The book cover design is very attractive</v>
      </c>
    </row>
    <row r="4140" spans="1:3" ht="15.75" customHeight="1" x14ac:dyDescent="0.25">
      <c r="A4140" s="2" t="s">
        <v>4142</v>
      </c>
      <c r="B4140" s="3" t="s">
        <v>6</v>
      </c>
      <c r="C4140" s="2" t="str">
        <f ca="1">IFERROR(__xludf.DUMMYFUNCTION("GOOGLETRANSLATE(A4140,""bn"",""en"")"),"The frozen fish sticks were soggy and tasted like they were fried in old oil")</f>
        <v>The frozen fish sticks were soggy and tasted like they were fried in old oil</v>
      </c>
    </row>
    <row r="4141" spans="1:3" ht="15.75" customHeight="1" x14ac:dyDescent="0.25">
      <c r="A4141" s="2" t="s">
        <v>4143</v>
      </c>
      <c r="B4141" s="3" t="s">
        <v>6</v>
      </c>
      <c r="C4141" s="2" t="str">
        <f ca="1">IFERROR(__xludf.DUMMYFUNCTION("GOOGLETRANSLATE(A4141,""bn"",""en"")"),"The software lacks new features and optimizations available in older newer models")</f>
        <v>The software lacks new features and optimizations available in older newer models</v>
      </c>
    </row>
    <row r="4142" spans="1:3" ht="15.75" customHeight="1" x14ac:dyDescent="0.25">
      <c r="A4142" s="2" t="s">
        <v>4144</v>
      </c>
      <c r="B4142" s="3" t="s">
        <v>4</v>
      </c>
      <c r="C4142" s="2" t="str">
        <f ca="1">IFERROR(__xludf.DUMMYFUNCTION("GOOGLETRANSLATE(A4142,""bn"",""en"")"),"The price is commensurate with the quality")</f>
        <v>The price is commensurate with the quality</v>
      </c>
    </row>
    <row r="4143" spans="1:3" ht="15.75" customHeight="1" x14ac:dyDescent="0.25">
      <c r="A4143" s="2" t="s">
        <v>4145</v>
      </c>
      <c r="B4143" s="3" t="s">
        <v>4</v>
      </c>
      <c r="C4143" s="2" t="str">
        <f ca="1">IFERROR(__xludf.DUMMYFUNCTION("GOOGLETRANSLATE(A4143,""bn"",""en"")"),"Works great just what I needed")</f>
        <v>Works great just what I needed</v>
      </c>
    </row>
    <row r="4144" spans="1:3" ht="15.75" customHeight="1" x14ac:dyDescent="0.25">
      <c r="A4144" s="2" t="s">
        <v>4146</v>
      </c>
      <c r="B4144" s="3" t="s">
        <v>6</v>
      </c>
      <c r="C4144" s="2" t="str">
        <f ca="1">IFERROR(__xludf.DUMMYFUNCTION("GOOGLETRANSLATE(A4144,""bn"",""en"")")," I had to struggle to hold it down")</f>
        <v xml:space="preserve"> I had to struggle to hold it down</v>
      </c>
    </row>
    <row r="4145" spans="1:3" ht="15.75" customHeight="1" x14ac:dyDescent="0.25">
      <c r="A4145" s="2" t="s">
        <v>4147</v>
      </c>
      <c r="B4145" s="3" t="s">
        <v>6</v>
      </c>
      <c r="C4145" s="2" t="str">
        <f ca="1">IFERROR(__xludf.DUMMYFUNCTION("GOOGLETRANSLATE(A4145,""bn"",""en"")"),"The packaging of the foundation leaks causing a mess in the makeup bag")</f>
        <v>The packaging of the foundation leaks causing a mess in the makeup bag</v>
      </c>
    </row>
    <row r="4146" spans="1:3" ht="15.75" customHeight="1" x14ac:dyDescent="0.25">
      <c r="A4146" s="2" t="s">
        <v>4148</v>
      </c>
      <c r="B4146" s="3" t="s">
        <v>2</v>
      </c>
      <c r="C4146" s="2" t="str">
        <f ca="1">IFERROR(__xludf.DUMMYFUNCTION("GOOGLETRANSLATE(A4146,""bn"",""en"")"),"Quality is not that great")</f>
        <v>Quality is not that great</v>
      </c>
    </row>
    <row r="4147" spans="1:3" ht="15.75" customHeight="1" x14ac:dyDescent="0.25">
      <c r="A4147" s="2" t="s">
        <v>4149</v>
      </c>
      <c r="B4147" s="3" t="s">
        <v>4</v>
      </c>
      <c r="C4147" s="2" t="str">
        <f ca="1">IFERROR(__xludf.DUMMYFUNCTION("GOOGLETRANSLATE(A4147,""bn"",""en"")"),"The earrings are still as bright as the first day")</f>
        <v>The earrings are still as bright as the first day</v>
      </c>
    </row>
    <row r="4148" spans="1:3" ht="15.75" customHeight="1" x14ac:dyDescent="0.25">
      <c r="A4148" s="2" t="s">
        <v>4150</v>
      </c>
      <c r="B4148" s="3" t="s">
        <v>6</v>
      </c>
      <c r="C4148" s="2" t="str">
        <f ca="1">IFERROR(__xludf.DUMMYFUNCTION("GOOGLETRANSLATE(A4148,""bn"",""en"")"),"Not eco friendly")</f>
        <v>Not eco friendly</v>
      </c>
    </row>
    <row r="4149" spans="1:3" ht="15.75" customHeight="1" x14ac:dyDescent="0.25">
      <c r="A4149" s="2" t="s">
        <v>4151</v>
      </c>
      <c r="B4149" s="3" t="s">
        <v>6</v>
      </c>
      <c r="C4149" s="2" t="str">
        <f ca="1">IFERROR(__xludf.DUMMYFUNCTION("GOOGLETRANSLATE(A4149,""bn"",""en"")"),"The toy's plastic was thin and easily bent out of shape")</f>
        <v>The toy's plastic was thin and easily bent out of shape</v>
      </c>
    </row>
    <row r="4150" spans="1:3" ht="15.75" customHeight="1" x14ac:dyDescent="0.25">
      <c r="A4150" s="2" t="s">
        <v>4152</v>
      </c>
      <c r="B4150" s="3" t="s">
        <v>2</v>
      </c>
      <c r="C4150" s="2" t="str">
        <f ca="1">IFERROR(__xludf.DUMMYFUNCTION("GOOGLETRANSLATE(A4150,""bn"",""en"")"),"Mixing seems easy")</f>
        <v>Mixing seems easy</v>
      </c>
    </row>
    <row r="4151" spans="1:3" ht="15.75" customHeight="1" x14ac:dyDescent="0.25">
      <c r="A4151" s="2" t="s">
        <v>4153</v>
      </c>
      <c r="B4151" s="3" t="s">
        <v>2</v>
      </c>
      <c r="C4151" s="2" t="str">
        <f ca="1">IFERROR(__xludf.DUMMYFUNCTION("GOOGLETRANSLATE(A4151,""bn"",""en"")"),"Can be used for transportation but cannot withstand high pressure")</f>
        <v>Can be used for transportation but cannot withstand high pressure</v>
      </c>
    </row>
    <row r="4152" spans="1:3" ht="15.75" customHeight="1" x14ac:dyDescent="0.25">
      <c r="A4152" s="2" t="s">
        <v>4154</v>
      </c>
      <c r="B4152" s="3" t="s">
        <v>6</v>
      </c>
      <c r="C4152" s="2" t="str">
        <f ca="1">IFERROR(__xludf.DUMMYFUNCTION("GOOGLETRANSLATE(A4152,""bn"",""en"")"),"Smart thermostat app crashes frequently and can't control temperature")</f>
        <v>Smart thermostat app crashes frequently and can't control temperature</v>
      </c>
    </row>
    <row r="4153" spans="1:3" ht="15.75" customHeight="1" x14ac:dyDescent="0.25">
      <c r="A4153" s="2" t="s">
        <v>4155</v>
      </c>
      <c r="B4153" s="3" t="s">
        <v>4</v>
      </c>
      <c r="C4153" s="2" t="str">
        <f ca="1">IFERROR(__xludf.DUMMYFUNCTION("GOOGLETRANSLATE(A4153,""bn"",""en"")"),"The boy stands first in his school competition")</f>
        <v>The boy stands first in his school competition</v>
      </c>
    </row>
    <row r="4154" spans="1:3" ht="15.75" customHeight="1" x14ac:dyDescent="0.25">
      <c r="A4154" s="2" t="s">
        <v>4156</v>
      </c>
      <c r="B4154" s="3" t="s">
        <v>2</v>
      </c>
      <c r="C4154" s="2" t="str">
        <f ca="1">IFERROR(__xludf.DUMMYFUNCTION("GOOGLETRANSLATE(A4154,""bn"",""en"")"),"Light can travel far")</f>
        <v>Light can travel far</v>
      </c>
    </row>
    <row r="4155" spans="1:3" ht="15.75" customHeight="1" x14ac:dyDescent="0.25">
      <c r="A4155" s="2" t="s">
        <v>4157</v>
      </c>
      <c r="B4155" s="3" t="s">
        <v>4</v>
      </c>
      <c r="C4155" s="2" t="str">
        <f ca="1">IFERROR(__xludf.DUMMYFUNCTION("GOOGLETRANSLATE(A4155,""bn"",""en"")"),"I am inspired by this every day")</f>
        <v>I am inspired by this every day</v>
      </c>
    </row>
    <row r="4156" spans="1:3" ht="15.75" customHeight="1" x14ac:dyDescent="0.25">
      <c r="A4156" s="2" t="s">
        <v>4158</v>
      </c>
      <c r="B4156" s="3" t="s">
        <v>4</v>
      </c>
      <c r="C4156" s="2" t="str">
        <f ca="1">IFERROR(__xludf.DUMMYFUNCTION("GOOGLETRANSLATE(A4156,""bn"",""en"")"),"I recently bought this pillow set and very satisfied with it sleeping experience is now very comfortable")</f>
        <v>I recently bought this pillow set and very satisfied with it sleeping experience is now very comfortable</v>
      </c>
    </row>
    <row r="4157" spans="1:3" ht="15.75" customHeight="1" x14ac:dyDescent="0.25">
      <c r="A4157" s="2" t="s">
        <v>4159</v>
      </c>
      <c r="B4157" s="3" t="s">
        <v>2</v>
      </c>
      <c r="C4157" s="2" t="str">
        <f ca="1">IFERROR(__xludf.DUMMYFUNCTION("GOOGLETRANSLATE(A4157,""bn"",""en"")"),"The room looks spacious but nothing extra")</f>
        <v>The room looks spacious but nothing extra</v>
      </c>
    </row>
    <row r="4158" spans="1:3" ht="15.75" customHeight="1" x14ac:dyDescent="0.25">
      <c r="A4158" s="2" t="s">
        <v>4160</v>
      </c>
      <c r="B4158" s="3" t="s">
        <v>6</v>
      </c>
      <c r="C4158" s="2" t="str">
        <f ca="1">IFERROR(__xludf.DUMMYFUNCTION("GOOGLETRANSLATE(A4158,""bn"",""en"")"),"The hair mask didn't hydrate my hair as promised and left it feeling dry and damaged")</f>
        <v>The hair mask didn't hydrate my hair as promised and left it feeling dry and damaged</v>
      </c>
    </row>
    <row r="4159" spans="1:3" ht="15.75" customHeight="1" x14ac:dyDescent="0.25">
      <c r="A4159" s="2" t="s">
        <v>4161</v>
      </c>
      <c r="B4159" s="3" t="s">
        <v>2</v>
      </c>
      <c r="C4159" s="2" t="str">
        <f ca="1">IFERROR(__xludf.DUMMYFUNCTION("GOOGLETRANSLATE(A4159,""bn"",""en"")"),"Not so good with some nice flaws")</f>
        <v>Not so good with some nice flaws</v>
      </c>
    </row>
    <row r="4160" spans="1:3" ht="15.75" customHeight="1" x14ac:dyDescent="0.25">
      <c r="A4160" s="2" t="s">
        <v>4162</v>
      </c>
      <c r="B4160" s="3" t="s">
        <v>6</v>
      </c>
      <c r="C4160" s="2" t="str">
        <f ca="1">IFERROR(__xludf.DUMMYFUNCTION("GOOGLETRANSLATE(A4160,""bn"",""en"")"),"The lack of clothing shows the structure in an unaccustomed humiliating shape")</f>
        <v>The lack of clothing shows the structure in an unaccustomed humiliating shape</v>
      </c>
    </row>
    <row r="4161" spans="1:3" ht="15.75" customHeight="1" x14ac:dyDescent="0.25">
      <c r="A4161" s="2" t="s">
        <v>4163</v>
      </c>
      <c r="B4161" s="3" t="s">
        <v>4</v>
      </c>
      <c r="C4161" s="2" t="str">
        <f ca="1">IFERROR(__xludf.DUMMYFUNCTION("GOOGLETRANSLATE(A4161,""bn"",""en"")"),"It is highly durable and disaster resistant")</f>
        <v>It is highly durable and disaster resistant</v>
      </c>
    </row>
    <row r="4162" spans="1:3" ht="15.75" customHeight="1" x14ac:dyDescent="0.25">
      <c r="A4162" s="2" t="s">
        <v>4164</v>
      </c>
      <c r="B4162" s="3" t="s">
        <v>6</v>
      </c>
      <c r="C4162" s="2" t="str">
        <f ca="1">IFERROR(__xludf.DUMMYFUNCTION("GOOGLETRANSLATE(A4162,""bn"",""en"")"),"The product did not work as advertised")</f>
        <v>The product did not work as advertised</v>
      </c>
    </row>
    <row r="4163" spans="1:3" ht="15.75" customHeight="1" x14ac:dyDescent="0.25">
      <c r="A4163" s="2" t="s">
        <v>4165</v>
      </c>
      <c r="B4163" s="3" t="s">
        <v>6</v>
      </c>
      <c r="C4163" s="2" t="str">
        <f ca="1">IFERROR(__xludf.DUMMYFUNCTION("GOOGLETRANSLATE(A4163,""bn"",""en"")"),"The tea had a musty smell that suggested improper storage")</f>
        <v>The tea had a musty smell that suggested improper storage</v>
      </c>
    </row>
    <row r="4164" spans="1:3" ht="15.75" customHeight="1" x14ac:dyDescent="0.25">
      <c r="A4164" s="2" t="s">
        <v>4166</v>
      </c>
      <c r="B4164" s="3" t="s">
        <v>6</v>
      </c>
      <c r="C4164" s="2" t="str">
        <f ca="1">IFERROR(__xludf.DUMMYFUNCTION("GOOGLETRANSLATE(A4164,""bn"",""en"")"),"The moving parts of the product were hard for children to handle")</f>
        <v>The moving parts of the product were hard for children to handle</v>
      </c>
    </row>
    <row r="4165" spans="1:3" ht="15.75" customHeight="1" x14ac:dyDescent="0.25">
      <c r="A4165" s="2" t="s">
        <v>4167</v>
      </c>
      <c r="B4165" s="3" t="s">
        <v>4</v>
      </c>
      <c r="C4165" s="2" t="str">
        <f ca="1">IFERROR(__xludf.DUMMYFUNCTION("GOOGLETRANSLATE(A4165,""bn"",""en"")"),"The ending of the book is very surprising")</f>
        <v>The ending of the book is very surprising</v>
      </c>
    </row>
    <row r="4166" spans="1:3" ht="15.75" customHeight="1" x14ac:dyDescent="0.25">
      <c r="A4166" s="2" t="s">
        <v>4168</v>
      </c>
      <c r="B4166" s="3" t="s">
        <v>2</v>
      </c>
      <c r="C4166" s="2" t="str">
        <f ca="1">IFERROR(__xludf.DUMMYFUNCTION("GOOGLETRANSLATE(A4166,""bn"",""en"")"),"It has a professional look")</f>
        <v>It has a professional look</v>
      </c>
    </row>
    <row r="4167" spans="1:3" ht="15.75" customHeight="1" x14ac:dyDescent="0.25">
      <c r="A4167" s="2" t="s">
        <v>4169</v>
      </c>
      <c r="B4167" s="3" t="s">
        <v>4</v>
      </c>
      <c r="C4167" s="2" t="str">
        <f ca="1">IFERROR(__xludf.DUMMYFUNCTION("GOOGLETRANSLATE(A4167,""bn"",""en"")"),"Honey helps heal cuts or burns")</f>
        <v>Honey helps heal cuts or burns</v>
      </c>
    </row>
    <row r="4168" spans="1:3" ht="15.75" customHeight="1" x14ac:dyDescent="0.25">
      <c r="A4168" s="2" t="s">
        <v>4170</v>
      </c>
      <c r="B4168" s="3" t="s">
        <v>2</v>
      </c>
      <c r="C4168" s="2" t="str">
        <f ca="1">IFERROR(__xludf.DUMMYFUNCTION("GOOGLETRANSLATE(A4168,""bn"",""en"")"),"Warranty policy is standard")</f>
        <v>Warranty policy is standard</v>
      </c>
    </row>
    <row r="4169" spans="1:3" ht="15.75" customHeight="1" x14ac:dyDescent="0.25">
      <c r="A4169" s="2" t="s">
        <v>4171</v>
      </c>
      <c r="B4169" s="3" t="s">
        <v>2</v>
      </c>
      <c r="C4169" s="2" t="str">
        <f ca="1">IFERROR(__xludf.DUMMYFUNCTION("GOOGLETRANSLATE(A4169,""bn"",""en"")"),"Nothing special is suitable for quilt backing")</f>
        <v>Nothing special is suitable for quilt backing</v>
      </c>
    </row>
    <row r="4170" spans="1:3" ht="15.75" customHeight="1" x14ac:dyDescent="0.25">
      <c r="A4170" s="2" t="s">
        <v>4172</v>
      </c>
      <c r="B4170" s="3" t="s">
        <v>2</v>
      </c>
      <c r="C4170" s="2" t="str">
        <f ca="1">IFERROR(__xludf.DUMMYFUNCTION("GOOGLETRANSLATE(A4170,""bn"",""en"")"),"The solar power bank charges but charges slowly")</f>
        <v>The solar power bank charges but charges slowly</v>
      </c>
    </row>
    <row r="4171" spans="1:3" ht="15.75" customHeight="1" x14ac:dyDescent="0.25">
      <c r="A4171" s="2" t="s">
        <v>4173</v>
      </c>
      <c r="B4171" s="3" t="s">
        <v>2</v>
      </c>
      <c r="C4171" s="2" t="str">
        <f ca="1">IFERROR(__xludf.DUMMYFUNCTION("GOOGLETRANSLATE(A4171,""bn"",""en"")"),"Its price may not be very convenient")</f>
        <v>Its price may not be very convenient</v>
      </c>
    </row>
    <row r="4172" spans="1:3" ht="15.75" customHeight="1" x14ac:dyDescent="0.25">
      <c r="A4172" s="2" t="s">
        <v>4174</v>
      </c>
      <c r="B4172" s="3" t="s">
        <v>6</v>
      </c>
      <c r="C4172" s="2" t="str">
        <f ca="1">IFERROR(__xludf.DUMMYFUNCTION("GOOGLETRANSLATE(A4172,""bn"",""en"")"),"  The scrub had sharp particles that scratched my skin")</f>
        <v xml:space="preserve">  The scrub had sharp particles that scratched my skin</v>
      </c>
    </row>
    <row r="4173" spans="1:3" ht="15.75" customHeight="1" x14ac:dyDescent="0.25">
      <c r="A4173" s="2" t="s">
        <v>4175</v>
      </c>
      <c r="B4173" s="3" t="s">
        <v>4</v>
      </c>
      <c r="C4173" s="2" t="str">
        <f ca="1">IFERROR(__xludf.DUMMYFUNCTION("GOOGLETRANSLATE(A4173,""bn"",""en"")"),"The filter is efficient and easy to clean")</f>
        <v>The filter is efficient and easy to clean</v>
      </c>
    </row>
    <row r="4174" spans="1:3" ht="15.75" customHeight="1" x14ac:dyDescent="0.25">
      <c r="A4174" s="2" t="s">
        <v>4176</v>
      </c>
      <c r="B4174" s="3" t="s">
        <v>2</v>
      </c>
      <c r="C4174" s="2" t="str">
        <f ca="1">IFERROR(__xludf.DUMMYFUNCTION("GOOGLETRANSLATE(A4174,""bn"",""en"")"),"Nothing special to decorate")</f>
        <v>Nothing special to decorate</v>
      </c>
    </row>
    <row r="4175" spans="1:3" ht="15.75" customHeight="1" x14ac:dyDescent="0.25">
      <c r="A4175" s="2" t="s">
        <v>4177</v>
      </c>
      <c r="B4175" s="3" t="s">
        <v>2</v>
      </c>
      <c r="C4175" s="2" t="str">
        <f ca="1">IFERROR(__xludf.DUMMYFUNCTION("GOOGLETRANSLATE(A4175,""bn"",""en"")"),"Applying pressure changes shape")</f>
        <v>Applying pressure changes shape</v>
      </c>
    </row>
    <row r="4176" spans="1:3" ht="15.75" customHeight="1" x14ac:dyDescent="0.25">
      <c r="A4176" s="2" t="s">
        <v>4178</v>
      </c>
      <c r="B4176" s="3" t="s">
        <v>2</v>
      </c>
      <c r="C4176" s="2" t="str">
        <f ca="1">IFERROR(__xludf.DUMMYFUNCTION("GOOGLETRANSLATE(A4176,""bn"",""en"")"),"There is a contract")</f>
        <v>There is a contract</v>
      </c>
    </row>
    <row r="4177" spans="1:3" ht="15.75" customHeight="1" x14ac:dyDescent="0.25">
      <c r="A4177" s="2" t="s">
        <v>4179</v>
      </c>
      <c r="B4177" s="3" t="s">
        <v>2</v>
      </c>
      <c r="C4177" s="2" t="str">
        <f ca="1">IFERROR(__xludf.DUMMYFUNCTION("GOOGLETRANSLATE(A4177,""bn"",""en"")"),"It has less acidity than light roasts")</f>
        <v>It has less acidity than light roasts</v>
      </c>
    </row>
    <row r="4178" spans="1:3" ht="15.75" customHeight="1" x14ac:dyDescent="0.25">
      <c r="A4178" s="2" t="s">
        <v>4180</v>
      </c>
      <c r="B4178" s="3" t="s">
        <v>4</v>
      </c>
      <c r="C4178" s="2" t="str">
        <f ca="1">IFERROR(__xludf.DUMMYFUNCTION("GOOGLETRANSLATE(A4178,""bn"",""en"")"),"Use it every morning to make your face feel fresh")</f>
        <v>Use it every morning to make your face feel fresh</v>
      </c>
    </row>
    <row r="4179" spans="1:3" ht="15.75" customHeight="1" x14ac:dyDescent="0.25">
      <c r="A4179" s="2" t="s">
        <v>4181</v>
      </c>
      <c r="B4179" s="3" t="s">
        <v>6</v>
      </c>
      <c r="C4179" s="2" t="str">
        <f ca="1">IFERROR(__xludf.DUMMYFUNCTION("GOOGLETRANSLATE(A4179,""bn"",""en"")")," Door latch mechanism tends to get stuck causing difficulty in opening and closing")</f>
        <v xml:space="preserve"> Door latch mechanism tends to get stuck causing difficulty in opening and closing</v>
      </c>
    </row>
    <row r="4180" spans="1:3" ht="15.75" customHeight="1" x14ac:dyDescent="0.25">
      <c r="A4180" s="2" t="s">
        <v>4182</v>
      </c>
      <c r="B4180" s="3" t="s">
        <v>4</v>
      </c>
      <c r="C4180" s="2" t="str">
        <f ca="1">IFERROR(__xludf.DUMMYFUNCTION("GOOGLETRANSLATE(A4180,""bn"",""en"")"),"The plastic flower is free from the problem of dust accumulation")</f>
        <v>The plastic flower is free from the problem of dust accumulation</v>
      </c>
    </row>
    <row r="4181" spans="1:3" ht="15.75" customHeight="1" x14ac:dyDescent="0.25">
      <c r="A4181" s="2" t="s">
        <v>4183</v>
      </c>
      <c r="B4181" s="3" t="s">
        <v>6</v>
      </c>
      <c r="C4181" s="2" t="str">
        <f ca="1">IFERROR(__xludf.DUMMYFUNCTION("GOOGLETRANSLATE(A4181,""bn"",""en"")"),"Too bad things can't be machine washed")</f>
        <v>Too bad things can't be machine washed</v>
      </c>
    </row>
    <row r="4182" spans="1:3" ht="15.75" customHeight="1" x14ac:dyDescent="0.25">
      <c r="A4182" s="2" t="s">
        <v>4184</v>
      </c>
      <c r="B4182" s="3" t="s">
        <v>2</v>
      </c>
      <c r="C4182" s="2" t="str">
        <f ca="1">IFERROR(__xludf.DUMMYFUNCTION("GOOGLETRANSLATE(A4182,""bn"",""en"")"),"Lighter but seems a bit more common")</f>
        <v>Lighter but seems a bit more common</v>
      </c>
    </row>
    <row r="4183" spans="1:3" ht="15.75" customHeight="1" x14ac:dyDescent="0.25">
      <c r="A4183" s="2" t="s">
        <v>4185</v>
      </c>
      <c r="B4183" s="3" t="s">
        <v>6</v>
      </c>
      <c r="C4183" s="2" t="str">
        <f ca="1">IFERROR(__xludf.DUMMYFUNCTION("GOOGLETRANSLATE(A4183,""bn"",""en"")"),"The beans were so oily my grinder and espresso machine stuck")</f>
        <v>The beans were so oily my grinder and espresso machine stuck</v>
      </c>
    </row>
    <row r="4184" spans="1:3" ht="15.75" customHeight="1" x14ac:dyDescent="0.25">
      <c r="A4184" s="2" t="s">
        <v>4186</v>
      </c>
      <c r="B4184" s="3" t="s">
        <v>4</v>
      </c>
      <c r="C4184" s="2" t="str">
        <f ca="1">IFERROR(__xludf.DUMMYFUNCTION("GOOGLETRANSLATE(A4184,""bn"",""en"")"),"The water cooler cools the water quickly")</f>
        <v>The water cooler cools the water quickly</v>
      </c>
    </row>
    <row r="4185" spans="1:3" ht="15.75" customHeight="1" x14ac:dyDescent="0.25">
      <c r="A4185" s="2" t="s">
        <v>4187</v>
      </c>
      <c r="B4185" s="3" t="s">
        <v>6</v>
      </c>
      <c r="C4185" s="2" t="str">
        <f ca="1">IFERROR(__xludf.DUMMYFUNCTION("GOOGLETRANSLATE(A4185,""bn"",""en"")"),"Enjoy the drink affected by the prolonged aftertaste")</f>
        <v>Enjoy the drink affected by the prolonged aftertaste</v>
      </c>
    </row>
    <row r="4186" spans="1:3" ht="15.75" customHeight="1" x14ac:dyDescent="0.25">
      <c r="A4186" s="2" t="s">
        <v>4188</v>
      </c>
      <c r="B4186" s="3" t="s">
        <v>4</v>
      </c>
      <c r="C4186" s="2" t="str">
        <f ca="1">IFERROR(__xludf.DUMMYFUNCTION("GOOGLETRANSLATE(A4186,""bn"",""en"")"),"A good quality product")</f>
        <v>A good quality product</v>
      </c>
    </row>
    <row r="4187" spans="1:3" ht="15.75" customHeight="1" x14ac:dyDescent="0.25">
      <c r="A4187" s="2" t="s">
        <v>4189</v>
      </c>
      <c r="B4187" s="3" t="s">
        <v>6</v>
      </c>
      <c r="C4187" s="2" t="str">
        <f ca="1">IFERROR(__xludf.DUMMYFUNCTION("GOOGLETRANSLATE(A4187,""bn"",""en"")"),"Neckline stretches out of shape after wearing")</f>
        <v>Neckline stretches out of shape after wearing</v>
      </c>
    </row>
    <row r="4188" spans="1:3" ht="15.75" customHeight="1" x14ac:dyDescent="0.25">
      <c r="A4188" s="2" t="s">
        <v>4190</v>
      </c>
      <c r="B4188" s="3" t="s">
        <v>2</v>
      </c>
      <c r="C4188" s="2" t="str">
        <f ca="1">IFERROR(__xludf.DUMMYFUNCTION("GOOGLETRANSLATE(A4188,""bn"",""en"")"),"Electronic perfume dispenser dispenses fragrance but refills are expensive")</f>
        <v>Electronic perfume dispenser dispenses fragrance but refills are expensive</v>
      </c>
    </row>
    <row r="4189" spans="1:3" ht="15.75" customHeight="1" x14ac:dyDescent="0.25">
      <c r="A4189" s="2" t="s">
        <v>4191</v>
      </c>
      <c r="B4189" s="3" t="s">
        <v>4</v>
      </c>
      <c r="C4189" s="2" t="str">
        <f ca="1">IFERROR(__xludf.DUMMYFUNCTION("GOOGLETRANSLATE(A4189,""bn"",""en"")"),"Honey can be consumed every morning on an empty stomach")</f>
        <v>Honey can be consumed every morning on an empty stomach</v>
      </c>
    </row>
    <row r="4190" spans="1:3" ht="15.75" customHeight="1" x14ac:dyDescent="0.25">
      <c r="A4190" s="2" t="s">
        <v>4192</v>
      </c>
      <c r="B4190" s="3" t="s">
        <v>6</v>
      </c>
      <c r="C4190" s="2" t="str">
        <f ca="1">IFERROR(__xludf.DUMMYFUNCTION("GOOGLETRANSLATE(A4190,""bn"",""en"")")," The charging cable is proprietary making it difficult to replace or find compatible alternatives")</f>
        <v xml:space="preserve"> The charging cable is proprietary making it difficult to replace or find compatible alternatives</v>
      </c>
    </row>
    <row r="4191" spans="1:3" ht="15.75" customHeight="1" x14ac:dyDescent="0.25">
      <c r="A4191" s="2" t="s">
        <v>4193</v>
      </c>
      <c r="B4191" s="3" t="s">
        <v>6</v>
      </c>
      <c r="C4191" s="2" t="str">
        <f ca="1">IFERROR(__xludf.DUMMYFUNCTION("GOOGLETRANSLATE(A4191,""bn"",""en"")"),"Short size is significant disadvantage")</f>
        <v>Short size is significant disadvantage</v>
      </c>
    </row>
    <row r="4192" spans="1:3" ht="15.75" customHeight="1" x14ac:dyDescent="0.25">
      <c r="A4192" s="2" t="s">
        <v>4194</v>
      </c>
      <c r="B4192" s="3" t="s">
        <v>2</v>
      </c>
      <c r="C4192" s="2" t="str">
        <f ca="1">IFERROR(__xludf.DUMMYFUNCTION("GOOGLETRANSLATE(A4192,""bn"",""en"")"),"There is a T-sheet in the packet")</f>
        <v>There is a T-sheet in the packet</v>
      </c>
    </row>
    <row r="4193" spans="1:3" ht="15.75" customHeight="1" x14ac:dyDescent="0.25">
      <c r="A4193" s="2" t="s">
        <v>4195</v>
      </c>
      <c r="B4193" s="3" t="s">
        <v>2</v>
      </c>
      <c r="C4193" s="2" t="str">
        <f ca="1">IFERROR(__xludf.DUMMYFUNCTION("GOOGLETRANSLATE(A4193,""bn"",""en"")"),"Keeps food hot but risks burning hands")</f>
        <v>Keeps food hot but risks burning hands</v>
      </c>
    </row>
    <row r="4194" spans="1:3" ht="15.75" customHeight="1" x14ac:dyDescent="0.25">
      <c r="A4194" s="2" t="s">
        <v>4196</v>
      </c>
      <c r="B4194" s="3" t="s">
        <v>6</v>
      </c>
      <c r="C4194" s="2" t="str">
        <f ca="1">IFERROR(__xludf.DUMMYFUNCTION("GOOGLETRANSLATE(A4194,""bn"",""en"")"),"Concerns about long-term reliability")</f>
        <v>Concerns about long-term reliability</v>
      </c>
    </row>
    <row r="4195" spans="1:3" ht="15.75" customHeight="1" x14ac:dyDescent="0.25">
      <c r="A4195" s="2" t="s">
        <v>4197</v>
      </c>
      <c r="B4195" s="3" t="s">
        <v>4</v>
      </c>
      <c r="C4195" s="2" t="str">
        <f ca="1">IFERROR(__xludf.DUMMYFUNCTION("GOOGLETRANSLATE(A4195,""bn"",""en"")"),"Every scene and character feels alive")</f>
        <v>Every scene and character feels alive</v>
      </c>
    </row>
    <row r="4196" spans="1:3" ht="15.75" customHeight="1" x14ac:dyDescent="0.25">
      <c r="A4196" s="2" t="s">
        <v>4198</v>
      </c>
      <c r="B4196" s="3" t="s">
        <v>6</v>
      </c>
      <c r="C4196" s="2" t="str">
        <f ca="1">IFERROR(__xludf.DUMMYFUNCTION("GOOGLETRANSLATE(A4196,""bn"",""en"")"),"The hair serum left my hair feeling greasy and unclean without any visible improvement")</f>
        <v>The hair serum left my hair feeling greasy and unclean without any visible improvement</v>
      </c>
    </row>
    <row r="4197" spans="1:3" ht="15.75" customHeight="1" x14ac:dyDescent="0.25">
      <c r="A4197" s="2" t="s">
        <v>4199</v>
      </c>
      <c r="B4197" s="3" t="s">
        <v>2</v>
      </c>
      <c r="C4197" s="2" t="str">
        <f ca="1">IFERROR(__xludf.DUMMYFUNCTION("GOOGLETRANSLATE(A4197,""bn"",""en"")"),"Solid trading but not too strong")</f>
        <v>Solid trading but not too strong</v>
      </c>
    </row>
    <row r="4198" spans="1:3" ht="15.75" customHeight="1" x14ac:dyDescent="0.25">
      <c r="A4198" s="2" t="s">
        <v>4200</v>
      </c>
      <c r="B4198" s="3" t="s">
        <v>2</v>
      </c>
      <c r="C4198" s="2" t="str">
        <f ca="1">IFERROR(__xludf.DUMMYFUNCTION("GOOGLETRANSLATE(A4198,""bn"",""en"")"),"Although there were some changes in the use of fertilizers, the yield of the plants did not increase much")</f>
        <v>Although there were some changes in the use of fertilizers, the yield of the plants did not increase much</v>
      </c>
    </row>
    <row r="4199" spans="1:3" ht="15.75" customHeight="1" x14ac:dyDescent="0.25">
      <c r="A4199" s="2" t="s">
        <v>4201</v>
      </c>
      <c r="B4199" s="3" t="s">
        <v>2</v>
      </c>
      <c r="C4199" s="2" t="str">
        <f ca="1">IFERROR(__xludf.DUMMYFUNCTION("GOOGLETRANSLATE(A4199,""bn"",""en"")"),"The thing glows but less brightly than I thought it would")</f>
        <v>The thing glows but less brightly than I thought it would</v>
      </c>
    </row>
    <row r="4200" spans="1:3" ht="15.75" customHeight="1" x14ac:dyDescent="0.25">
      <c r="A4200" s="2" t="s">
        <v>4202</v>
      </c>
      <c r="B4200" s="3" t="s">
        <v>2</v>
      </c>
      <c r="C4200" s="2" t="str">
        <f ca="1">IFERROR(__xludf.DUMMYFUNCTION("GOOGLETRANSLATE(A4200,""bn"",""en"")"),"Not too fast or sharp")</f>
        <v>Not too fast or sharp</v>
      </c>
    </row>
    <row r="4201" spans="1:3" ht="15.75" customHeight="1" x14ac:dyDescent="0.25">
      <c r="A4201" s="2" t="s">
        <v>4203</v>
      </c>
      <c r="B4201" s="3" t="s">
        <v>2</v>
      </c>
      <c r="C4201" s="2" t="str">
        <f ca="1">IFERROR(__xludf.DUMMYFUNCTION("GOOGLETRANSLATE(A4201,""bn"",""en"")"),"Good quality but cheaper than competition and limited functionality")</f>
        <v>Good quality but cheaper than competition and limited functionality</v>
      </c>
    </row>
    <row r="4202" spans="1:3" ht="15.75" customHeight="1" x14ac:dyDescent="0.25">
      <c r="A4202" s="2" t="s">
        <v>4204</v>
      </c>
      <c r="B4202" s="3" t="s">
        <v>6</v>
      </c>
      <c r="C4202" s="2" t="str">
        <f ca="1">IFERROR(__xludf.DUMMYFUNCTION("GOOGLETRANSLATE(A4202,""bn"",""en"")"),"Mold growth in reservoirs contaminates water supplies")</f>
        <v>Mold growth in reservoirs contaminates water supplies</v>
      </c>
    </row>
    <row r="4203" spans="1:3" ht="15.75" customHeight="1" x14ac:dyDescent="0.25">
      <c r="A4203" s="2" t="s">
        <v>4205</v>
      </c>
      <c r="B4203" s="3" t="s">
        <v>2</v>
      </c>
      <c r="C4203" s="2" t="str">
        <f ca="1">IFERROR(__xludf.DUMMYFUNCTION("GOOGLETRANSLATE(A4203,""bn"",""en"")"),"Excessive rubbing can cause damage")</f>
        <v>Excessive rubbing can cause damage</v>
      </c>
    </row>
    <row r="4204" spans="1:3" ht="15.75" customHeight="1" x14ac:dyDescent="0.25">
      <c r="A4204" s="2" t="s">
        <v>4206</v>
      </c>
      <c r="B4204" s="3" t="s">
        <v>6</v>
      </c>
      <c r="C4204" s="2" t="str">
        <f ca="1">IFERROR(__xludf.DUMMYFUNCTION("GOOGLETRANSLATE(A4204,""bn"",""en"")"),"The paint tubes were difficult to open requiring excessive force")</f>
        <v>The paint tubes were difficult to open requiring excessive force</v>
      </c>
    </row>
    <row r="4205" spans="1:3" ht="15.75" customHeight="1" x14ac:dyDescent="0.25">
      <c r="A4205" s="2" t="s">
        <v>4207</v>
      </c>
      <c r="B4205" s="3" t="s">
        <v>6</v>
      </c>
      <c r="C4205" s="2" t="str">
        <f ca="1">IFERROR(__xludf.DUMMYFUNCTION("GOOGLETRANSLATE(A4205,""bn"",""en"")"),"Limited temperature settings did not meet different needs")</f>
        <v>Limited temperature settings did not meet different needs</v>
      </c>
    </row>
    <row r="4206" spans="1:3" ht="15.75" customHeight="1" x14ac:dyDescent="0.25">
      <c r="A4206" s="2" t="s">
        <v>4208</v>
      </c>
      <c r="B4206" s="3" t="s">
        <v>6</v>
      </c>
      <c r="C4206" s="2" t="str">
        <f ca="1">IFERROR(__xludf.DUMMYFUNCTION("GOOGLETRANSLATE(A4206,""bn"",""en"")"),"  The balm had a weird texture and left a residue on my skin")</f>
        <v xml:space="preserve">  The balm had a weird texture and left a residue on my skin</v>
      </c>
    </row>
    <row r="4207" spans="1:3" ht="15.75" customHeight="1" x14ac:dyDescent="0.25">
      <c r="A4207" s="2" t="s">
        <v>4209</v>
      </c>
      <c r="B4207" s="3" t="s">
        <v>6</v>
      </c>
      <c r="C4207" s="2" t="str">
        <f ca="1">IFERROR(__xludf.DUMMYFUNCTION("GOOGLETRANSLATE(A4207,""bn"",""en"")"),"The packaged chips were stale and lacked crunch and tasted like cardboard")</f>
        <v>The packaged chips were stale and lacked crunch and tasted like cardboard</v>
      </c>
    </row>
    <row r="4208" spans="1:3" ht="15.75" customHeight="1" x14ac:dyDescent="0.25">
      <c r="A4208" s="2" t="s">
        <v>4210</v>
      </c>
      <c r="B4208" s="3" t="s">
        <v>4</v>
      </c>
      <c r="C4208" s="2" t="str">
        <f ca="1">IFERROR(__xludf.DUMMYFUNCTION("GOOGLETRANSLATE(A4208,""bn"",""en"")"),"Charging speed and security features are all good")</f>
        <v>Charging speed and security features are all good</v>
      </c>
    </row>
    <row r="4209" spans="1:3" ht="15.75" customHeight="1" x14ac:dyDescent="0.25">
      <c r="A4209" s="2" t="s">
        <v>4211</v>
      </c>
      <c r="B4209" s="3" t="s">
        <v>2</v>
      </c>
      <c r="C4209" s="2" t="str">
        <f ca="1">IFERROR(__xludf.DUMMYFUNCTION("GOOGLETRANSLATE(A4209,""bn"",""en"")"),"The product arrived at the expected time")</f>
        <v>The product arrived at the expected time</v>
      </c>
    </row>
    <row r="4210" spans="1:3" ht="15.75" customHeight="1" x14ac:dyDescent="0.25">
      <c r="A4210" s="2" t="s">
        <v>4212</v>
      </c>
      <c r="B4210" s="3" t="s">
        <v>2</v>
      </c>
      <c r="C4210" s="2" t="str">
        <f ca="1">IFERROR(__xludf.DUMMYFUNCTION("GOOGLETRANSLATE(A4210,""bn"",""en"")"),"The cold drink is quite tasty but less lemony")</f>
        <v>The cold drink is quite tasty but less lemony</v>
      </c>
    </row>
    <row r="4211" spans="1:3" ht="15.75" customHeight="1" x14ac:dyDescent="0.25">
      <c r="A4211" s="2" t="s">
        <v>4213</v>
      </c>
      <c r="B4211" s="3" t="s">
        <v>2</v>
      </c>
      <c r="C4211" s="2" t="str">
        <f ca="1">IFERROR(__xludf.DUMMYFUNCTION("GOOGLETRANSLATE(A4211,""bn"",""en"")"),"The quality of the fabric is fair but I doubt if it will last")</f>
        <v>The quality of the fabric is fair but I doubt if it will last</v>
      </c>
    </row>
    <row r="4212" spans="1:3" ht="15.75" customHeight="1" x14ac:dyDescent="0.25">
      <c r="A4212" s="2" t="s">
        <v>4214</v>
      </c>
      <c r="B4212" s="3" t="s">
        <v>6</v>
      </c>
      <c r="C4212" s="2" t="str">
        <f ca="1">IFERROR(__xludf.DUMMYFUNCTION("GOOGLETRANSLATE(A4212,""bn"",""en"")"),"The ongoing pollution problem needs immediate solution")</f>
        <v>The ongoing pollution problem needs immediate solution</v>
      </c>
    </row>
    <row r="4213" spans="1:3" ht="15.75" customHeight="1" x14ac:dyDescent="0.25">
      <c r="A4213" s="2" t="s">
        <v>4215</v>
      </c>
      <c r="B4213" s="3" t="s">
        <v>4</v>
      </c>
      <c r="C4213" s="2" t="str">
        <f ca="1">IFERROR(__xludf.DUMMYFUNCTION("GOOGLETRANSLATE(A4213,""bn"",""en"")"),"Beauty soap makes the skin smooth")</f>
        <v>Beauty soap makes the skin smooth</v>
      </c>
    </row>
    <row r="4214" spans="1:3" ht="15.75" customHeight="1" x14ac:dyDescent="0.25">
      <c r="A4214" s="2" t="s">
        <v>4216</v>
      </c>
      <c r="B4214" s="3" t="s">
        <v>6</v>
      </c>
      <c r="C4214" s="2" t="str">
        <f ca="1">IFERROR(__xludf.DUMMYFUNCTION("GOOGLETRANSLATE(A4214,""bn"",""en"")"),"Its qualitative mean reliability is uncertain")</f>
        <v>Its qualitative mean reliability is uncertain</v>
      </c>
    </row>
    <row r="4215" spans="1:3" ht="15.75" customHeight="1" x14ac:dyDescent="0.25">
      <c r="A4215" s="2" t="s">
        <v>4217</v>
      </c>
      <c r="B4215" s="3" t="s">
        <v>4</v>
      </c>
      <c r="C4215" s="2" t="str">
        <f ca="1">IFERROR(__xludf.DUMMYFUNCTION("GOOGLETRANSLATE(A4215,""bn"",""en"")"),"The number of colors and quality is excellent for the price")</f>
        <v>The number of colors and quality is excellent for the price</v>
      </c>
    </row>
    <row r="4216" spans="1:3" ht="15.75" customHeight="1" x14ac:dyDescent="0.25">
      <c r="A4216" s="2" t="s">
        <v>4218</v>
      </c>
      <c r="B4216" s="3" t="s">
        <v>6</v>
      </c>
      <c r="C4216" s="2" t="str">
        <f ca="1">IFERROR(__xludf.DUMMYFUNCTION("GOOGLETRANSLATE(A4216,""bn"",""en"")"),"The tea had a grassy flavor suggesting inferior quality leaves")</f>
        <v>The tea had a grassy flavor suggesting inferior quality leaves</v>
      </c>
    </row>
    <row r="4217" spans="1:3" ht="15.75" customHeight="1" x14ac:dyDescent="0.25">
      <c r="A4217" s="2" t="s">
        <v>4219</v>
      </c>
      <c r="B4217" s="3" t="s">
        <v>2</v>
      </c>
      <c r="C4217" s="2" t="str">
        <f ca="1">IFERROR(__xludf.DUMMYFUNCTION("GOOGLETRANSLATE(A4217,""bn"",""en"")"),"Father does not dislike it and does not say anything")</f>
        <v>Father does not dislike it and does not say anything</v>
      </c>
    </row>
    <row r="4218" spans="1:3" ht="15.75" customHeight="1" x14ac:dyDescent="0.25">
      <c r="A4218" s="2" t="s">
        <v>4220</v>
      </c>
      <c r="B4218" s="3" t="s">
        <v>6</v>
      </c>
      <c r="C4218" s="2" t="str">
        <f ca="1">IFERROR(__xludf.DUMMYFUNCTION("GOOGLETRANSLATE(A4218,""bn"",""en"")"),"Dirty Rabbit is a serial problem")</f>
        <v>Dirty Rabbit is a serial problem</v>
      </c>
    </row>
    <row r="4219" spans="1:3" ht="15.75" customHeight="1" x14ac:dyDescent="0.25">
      <c r="A4219" s="2" t="s">
        <v>4221</v>
      </c>
      <c r="B4219" s="3" t="s">
        <v>2</v>
      </c>
      <c r="C4219" s="2" t="str">
        <f ca="1">IFERROR(__xludf.DUMMYFUNCTION("GOOGLETRANSLATE(A4219,""bn"",""en"")"),"Not a good school supply but the size is quite large")</f>
        <v>Not a good school supply but the size is quite large</v>
      </c>
    </row>
    <row r="4220" spans="1:3" ht="15.75" customHeight="1" x14ac:dyDescent="0.25">
      <c r="A4220" s="2" t="s">
        <v>4222</v>
      </c>
      <c r="B4220" s="3" t="s">
        <v>6</v>
      </c>
      <c r="C4220" s="2" t="str">
        <f ca="1">IFERROR(__xludf.DUMMYFUNCTION("GOOGLETRANSLATE(A4220,""bn"",""en"")"),"Consistently disappointed by the quality is disappointing")</f>
        <v>Consistently disappointed by the quality is disappointing</v>
      </c>
    </row>
    <row r="4221" spans="1:3" ht="15.75" customHeight="1" x14ac:dyDescent="0.25">
      <c r="A4221" s="2" t="s">
        <v>4223</v>
      </c>
      <c r="B4221" s="3" t="s">
        <v>2</v>
      </c>
      <c r="C4221" s="2" t="str">
        <f ca="1">IFERROR(__xludf.DUMMYFUNCTION("GOOGLETRANSLATE(A4221,""bn"",""en"")"),"Suitable for electronics only")</f>
        <v>Suitable for electronics only</v>
      </c>
    </row>
    <row r="4222" spans="1:3" ht="15.75" customHeight="1" x14ac:dyDescent="0.25">
      <c r="A4222" s="2" t="s">
        <v>4224</v>
      </c>
      <c r="B4222" s="3" t="s">
        <v>6</v>
      </c>
      <c r="C4222" s="2" t="str">
        <f ca="1">IFERROR(__xludf.DUMMYFUNCTION("GOOGLETRANSLATE(A4222,""bn"",""en"")"),"The canned vegetables were bland and lacked freshness with an overly salty taste")</f>
        <v>The canned vegetables were bland and lacked freshness with an overly salty taste</v>
      </c>
    </row>
    <row r="4223" spans="1:3" ht="15.75" customHeight="1" x14ac:dyDescent="0.25">
      <c r="A4223" s="2" t="s">
        <v>4225</v>
      </c>
      <c r="B4223" s="3" t="s">
        <v>6</v>
      </c>
      <c r="C4223" s="2" t="str">
        <f ca="1">IFERROR(__xludf.DUMMYFUNCTION("GOOGLETRANSLATE(A4223,""bn"",""en"")"),"The canned beans had a metallic taste and bland texture far removed from homemade juiciness")</f>
        <v>The canned beans had a metallic taste and bland texture far removed from homemade juiciness</v>
      </c>
    </row>
    <row r="4224" spans="1:3" ht="15.75" customHeight="1" x14ac:dyDescent="0.25">
      <c r="A4224" s="2" t="s">
        <v>4226</v>
      </c>
      <c r="B4224" s="3" t="s">
        <v>2</v>
      </c>
      <c r="C4224" s="2" t="str">
        <f ca="1">IFERROR(__xludf.DUMMYFUNCTION("GOOGLETRANSLATE(A4224,""bn"",""en"")"),"Solid cameras remain uncertain for indoor monitoring reliability")</f>
        <v>Solid cameras remain uncertain for indoor monitoring reliability</v>
      </c>
    </row>
    <row r="4225" spans="1:3" ht="15.75" customHeight="1" x14ac:dyDescent="0.25">
      <c r="A4225" s="2" t="s">
        <v>4227</v>
      </c>
      <c r="B4225" s="3" t="s">
        <v>6</v>
      </c>
      <c r="C4225" s="2" t="str">
        <f ca="1">IFERROR(__xludf.DUMMYFUNCTION("GOOGLETRANSLATE(A4225,""bn"",""en"")"),"The shoulder strap of the laptop bag has torn at the slightest weight making it difficult to use")</f>
        <v>The shoulder strap of the laptop bag has torn at the slightest weight making it difficult to use</v>
      </c>
    </row>
    <row r="4226" spans="1:3" ht="15.75" customHeight="1" x14ac:dyDescent="0.25">
      <c r="A4226" s="2" t="s">
        <v>4228</v>
      </c>
      <c r="B4226" s="3" t="s">
        <v>2</v>
      </c>
      <c r="C4226" s="2" t="str">
        <f ca="1">IFERROR(__xludf.DUMMYFUNCTION("GOOGLETRANSLATE(A4226,""bn"",""en"")"),"The top material is laminated particle board")</f>
        <v>The top material is laminated particle board</v>
      </c>
    </row>
    <row r="4227" spans="1:3" ht="15.75" customHeight="1" x14ac:dyDescent="0.25">
      <c r="A4227" s="2" t="s">
        <v>4229</v>
      </c>
      <c r="B4227" s="3" t="s">
        <v>6</v>
      </c>
      <c r="C4227" s="2" t="str">
        <f ca="1">IFERROR(__xludf.DUMMYFUNCTION("GOOGLETRANSLATE(A4227,""bn"",""en"")"),"Dirty dolls detract from the book's appeal")</f>
        <v>Dirty dolls detract from the book's appeal</v>
      </c>
    </row>
    <row r="4228" spans="1:3" ht="15.75" customHeight="1" x14ac:dyDescent="0.25">
      <c r="A4228" s="2" t="s">
        <v>4230</v>
      </c>
      <c r="B4228" s="3" t="s">
        <v>6</v>
      </c>
      <c r="C4228" s="2" t="str">
        <f ca="1">IFERROR(__xludf.DUMMYFUNCTION("GOOGLETRANSLATE(A4228,""bn"",""en"")"),"The photo does not show the exact evaluation and quality of the dress")</f>
        <v>The photo does not show the exact evaluation and quality of the dress</v>
      </c>
    </row>
    <row r="4229" spans="1:3" ht="15.75" customHeight="1" x14ac:dyDescent="0.25">
      <c r="A4229" s="2" t="s">
        <v>4231</v>
      </c>
      <c r="B4229" s="3" t="s">
        <v>6</v>
      </c>
      <c r="C4229" s="2" t="str">
        <f ca="1">IFERROR(__xludf.DUMMYFUNCTION("GOOGLETRANSLATE(A4229,""bn"",""en"")"),"Boxed cake mixes produced dry flavorless cakes that lacked the richness of homemade sweets")</f>
        <v>Boxed cake mixes produced dry flavorless cakes that lacked the richness of homemade sweets</v>
      </c>
    </row>
    <row r="4230" spans="1:3" ht="15.75" customHeight="1" x14ac:dyDescent="0.25">
      <c r="A4230" s="2" t="s">
        <v>4232</v>
      </c>
      <c r="B4230" s="3" t="s">
        <v>6</v>
      </c>
      <c r="C4230" s="2" t="str">
        <f ca="1">IFERROR(__xludf.DUMMYFUNCTION("GOOGLETRANSLATE(A4230,""bn"",""en"")"),"Difficult to use or operate effectively")</f>
        <v>Difficult to use or operate effectively</v>
      </c>
    </row>
    <row r="4231" spans="1:3" ht="15.75" customHeight="1" x14ac:dyDescent="0.25">
      <c r="A4231" s="2" t="s">
        <v>4233</v>
      </c>
      <c r="B4231" s="3" t="s">
        <v>2</v>
      </c>
      <c r="C4231" s="2" t="str">
        <f ca="1">IFERROR(__xludf.DUMMYFUNCTION("GOOGLETRANSLATE(A4231,""bn"",""en"")"),"Just what I needed although some items were damaged upon arrival")</f>
        <v>Just what I needed although some items were damaged upon arrival</v>
      </c>
    </row>
    <row r="4232" spans="1:3" ht="15.75" customHeight="1" x14ac:dyDescent="0.25">
      <c r="A4232" s="2" t="s">
        <v>4234</v>
      </c>
      <c r="B4232" s="3" t="s">
        <v>4</v>
      </c>
      <c r="C4232" s="2" t="str">
        <f ca="1">IFERROR(__xludf.DUMMYFUNCTION("GOOGLETRANSLATE(A4232,""bn"",""en"")"),"The child plays very happily with his friends")</f>
        <v>The child plays very happily with his friends</v>
      </c>
    </row>
    <row r="4233" spans="1:3" ht="15.75" customHeight="1" x14ac:dyDescent="0.25">
      <c r="A4233" s="2" t="s">
        <v>4235</v>
      </c>
      <c r="B4233" s="3" t="s">
        <v>2</v>
      </c>
      <c r="C4233" s="2" t="str">
        <f ca="1">IFERROR(__xludf.DUMMYFUNCTION("GOOGLETRANSLATE(A4233,""bn"",""en"")"),"Transferable but not easy")</f>
        <v>Transferable but not easy</v>
      </c>
    </row>
    <row r="4234" spans="1:3" ht="15.75" customHeight="1" x14ac:dyDescent="0.25">
      <c r="A4234" s="2" t="s">
        <v>4236</v>
      </c>
      <c r="B4234" s="3" t="s">
        <v>2</v>
      </c>
      <c r="C4234" s="2" t="str">
        <f ca="1">IFERROR(__xludf.DUMMYFUNCTION("GOOGLETRANSLATE(A4234,""bn"",""en"")"),"Palette colors tend to dry out quickly")</f>
        <v>Palette colors tend to dry out quickly</v>
      </c>
    </row>
    <row r="4235" spans="1:3" ht="15.75" customHeight="1" x14ac:dyDescent="0.25">
      <c r="A4235" s="2" t="s">
        <v>4237</v>
      </c>
      <c r="B4235" s="3" t="s">
        <v>6</v>
      </c>
      <c r="C4235" s="2" t="str">
        <f ca="1">IFERROR(__xludf.DUMMYFUNCTION("GOOGLETRANSLATE(A4235,""bn"",""en"")")," Speaker produces crackling sound at high volume which affects audio quality during media playback")</f>
        <v xml:space="preserve"> Speaker produces crackling sound at high volume which affects audio quality during media playback</v>
      </c>
    </row>
    <row r="4236" spans="1:3" ht="15.75" customHeight="1" x14ac:dyDescent="0.25">
      <c r="A4236" s="2" t="s">
        <v>4238</v>
      </c>
      <c r="B4236" s="3" t="s">
        <v>4</v>
      </c>
      <c r="C4236" s="2" t="str">
        <f ca="1">IFERROR(__xludf.DUMMYFUNCTION("GOOGLETRANSLATE(A4236,""bn"",""en"")"),"The power cut protection feature protects my AC from power surges")</f>
        <v>The power cut protection feature protects my AC from power surges</v>
      </c>
    </row>
    <row r="4237" spans="1:3" ht="15.75" customHeight="1" x14ac:dyDescent="0.25">
      <c r="A4237" s="2" t="s">
        <v>4239</v>
      </c>
      <c r="B4237" s="3" t="s">
        <v>6</v>
      </c>
      <c r="C4237" s="2" t="str">
        <f ca="1">IFERROR(__xludf.DUMMYFUNCTION("GOOGLETRANSLATE(A4237,""bn"",""en"")"),"I didn't like the color of the bracelet")</f>
        <v>I didn't like the color of the bracelet</v>
      </c>
    </row>
    <row r="4238" spans="1:3" ht="15.75" customHeight="1" x14ac:dyDescent="0.25">
      <c r="A4238" s="2" t="s">
        <v>4240</v>
      </c>
      <c r="B4238" s="3" t="s">
        <v>4</v>
      </c>
      <c r="C4238" s="2" t="str">
        <f ca="1">IFERROR(__xludf.DUMMYFUNCTION("GOOGLETRANSLATE(A4238,""bn"",""en"")"),"The curtains in my room are very nice and fitting")</f>
        <v>The curtains in my room are very nice and fitting</v>
      </c>
    </row>
    <row r="4239" spans="1:3" ht="15.75" customHeight="1" x14ac:dyDescent="0.25">
      <c r="A4239" s="2" t="s">
        <v>4241</v>
      </c>
      <c r="B4239" s="3" t="s">
        <v>6</v>
      </c>
      <c r="C4239" s="2" t="str">
        <f ca="1">IFERROR(__xludf.DUMMYFUNCTION("GOOGLETRANSLATE(A4239,""bn"",""en"")"),"DJI RC Remote Controller for DJI Air and DJI Mini Pro NextGen Processor KmO  ")</f>
        <v xml:space="preserve">DJI RC Remote Controller for DJI Air and DJI Mini Pro NextGen Processor KmO  </v>
      </c>
    </row>
    <row r="4240" spans="1:3" ht="15.75" customHeight="1" x14ac:dyDescent="0.25">
      <c r="A4240" s="2" t="s">
        <v>4242</v>
      </c>
      <c r="B4240" s="3" t="s">
        <v>6</v>
      </c>
      <c r="C4240" s="2" t="str">
        <f ca="1">IFERROR(__xludf.DUMMYFUNCTION("GOOGLETRANSLATE(A4240,""bn"",""en"")"),"  Customer service was unresponsive and unhelpful when contacted about the issues leaving the issue unresolved")</f>
        <v xml:space="preserve">  Customer service was unresponsive and unhelpful when contacted about the issues leaving the issue unresolved</v>
      </c>
    </row>
    <row r="4241" spans="1:3" ht="15.75" customHeight="1" x14ac:dyDescent="0.25">
      <c r="A4241" s="2" t="s">
        <v>4243</v>
      </c>
      <c r="B4241" s="3" t="s">
        <v>4</v>
      </c>
      <c r="C4241" s="2" t="str">
        <f ca="1">IFERROR(__xludf.DUMMYFUNCTION("GOOGLETRANSLATE(A4241,""bn"",""en"")"),"Each product in the kit provides long-lasting results")</f>
        <v>Each product in the kit provides long-lasting results</v>
      </c>
    </row>
    <row r="4242" spans="1:3" ht="15.75" customHeight="1" x14ac:dyDescent="0.25">
      <c r="A4242" s="2" t="s">
        <v>4244</v>
      </c>
      <c r="B4242" s="3" t="s">
        <v>6</v>
      </c>
      <c r="C4242" s="2" t="str">
        <f ca="1">IFERROR(__xludf.DUMMYFUNCTION("GOOGLETRANSLATE(A4242,""bn"",""en"")"),"Works somewhat but not very user friendly")</f>
        <v>Works somewhat but not very user friendly</v>
      </c>
    </row>
    <row r="4243" spans="1:3" ht="15.75" customHeight="1" x14ac:dyDescent="0.25">
      <c r="A4243" s="2" t="s">
        <v>4245</v>
      </c>
      <c r="B4243" s="3" t="s">
        <v>4</v>
      </c>
      <c r="C4243" s="2" t="str">
        <f ca="1">IFERROR(__xludf.DUMMYFUNCTION("GOOGLETRANSLATE(A4243,""bn"",""en"")"),"The functions of the dishwasher are very easy to use")</f>
        <v>The functions of the dishwasher are very easy to use</v>
      </c>
    </row>
    <row r="4244" spans="1:3" ht="15.75" customHeight="1" x14ac:dyDescent="0.25">
      <c r="A4244" s="2" t="s">
        <v>4246</v>
      </c>
      <c r="B4244" s="3" t="s">
        <v>4</v>
      </c>
      <c r="C4244" s="2" t="str">
        <f ca="1">IFERROR(__xludf.DUMMYFUNCTION("GOOGLETRANSLATE(A4244,""bn"",""en"")"),"Exactly what we needed")</f>
        <v>Exactly what we needed</v>
      </c>
    </row>
    <row r="4245" spans="1:3" ht="15.75" customHeight="1" x14ac:dyDescent="0.25">
      <c r="A4245" s="2" t="s">
        <v>4247</v>
      </c>
      <c r="B4245" s="3" t="s">
        <v>4</v>
      </c>
      <c r="C4245" s="2" t="str">
        <f ca="1">IFERROR(__xludf.DUMMYFUNCTION("GOOGLETRANSLATE(A4245,""bn"",""en"")"),"The soap makes the skin healthy")</f>
        <v>The soap makes the skin healthy</v>
      </c>
    </row>
    <row r="4246" spans="1:3" ht="15.75" customHeight="1" x14ac:dyDescent="0.25">
      <c r="A4246" s="2" t="s">
        <v>4248</v>
      </c>
      <c r="B4246" s="3" t="s">
        <v>6</v>
      </c>
      <c r="C4246" s="2" t="str">
        <f ca="1">IFERROR(__xludf.DUMMYFUNCTION("GOOGLETRANSLATE(A4246,""bn"",""en"")"),"Limited color options may not match the kitchen decor")</f>
        <v>Limited color options may not match the kitchen decor</v>
      </c>
    </row>
    <row r="4247" spans="1:3" ht="15.75" customHeight="1" x14ac:dyDescent="0.25">
      <c r="A4247" s="2" t="s">
        <v>4249</v>
      </c>
      <c r="B4247" s="3" t="s">
        <v>2</v>
      </c>
      <c r="C4247" s="2" t="str">
        <f ca="1">IFERROR(__xludf.DUMMYFUNCTION("GOOGLETRANSLATE(A4247,""bn"",""en"")"),"Avoid rubbing too hard")</f>
        <v>Avoid rubbing too hard</v>
      </c>
    </row>
    <row r="4248" spans="1:3" ht="15.75" customHeight="1" x14ac:dyDescent="0.25">
      <c r="A4248" s="2" t="s">
        <v>4250</v>
      </c>
      <c r="B4248" s="3" t="s">
        <v>6</v>
      </c>
      <c r="C4248" s="2" t="str">
        <f ca="1">IFERROR(__xludf.DUMMYFUNCTION("GOOGLETRANSLATE(A4248,""bn"",""en"")"),"Clothing lacks durability and falls apart after minimal wear")</f>
        <v>Clothing lacks durability and falls apart after minimal wear</v>
      </c>
    </row>
    <row r="4249" spans="1:3" ht="15.75" customHeight="1" x14ac:dyDescent="0.25">
      <c r="A4249" s="2" t="s">
        <v>4251</v>
      </c>
      <c r="B4249" s="3" t="s">
        <v>6</v>
      </c>
      <c r="C4249" s="2" t="str">
        <f ca="1">IFERROR(__xludf.DUMMYFUNCTION("GOOGLETRANSLATE(A4249,""bn"",""en"")"),"The picture is deceiving and the actual dress is of poor quality")</f>
        <v>The picture is deceiving and the actual dress is of poor quality</v>
      </c>
    </row>
    <row r="4250" spans="1:3" ht="15.75" customHeight="1" x14ac:dyDescent="0.25">
      <c r="A4250" s="2" t="s">
        <v>4252</v>
      </c>
      <c r="B4250" s="3" t="s">
        <v>2</v>
      </c>
      <c r="C4250" s="2" t="str">
        <f ca="1">IFERROR(__xludf.DUMMYFUNCTION("GOOGLETRANSLATE(A4250,""bn"",""en"")"),"Average quality comforter nothing special")</f>
        <v>Average quality comforter nothing special</v>
      </c>
    </row>
    <row r="4251" spans="1:3" ht="15.75" customHeight="1" x14ac:dyDescent="0.25">
      <c r="A4251" s="2" t="s">
        <v>4253</v>
      </c>
      <c r="B4251" s="3" t="s">
        <v>4</v>
      </c>
      <c r="C4251" s="2" t="str">
        <f ca="1">IFERROR(__xludf.DUMMYFUNCTION("GOOGLETRANSLATE(A4251,""bn"",""en"")"),"A product suitable for daily use")</f>
        <v>A product suitable for daily use</v>
      </c>
    </row>
    <row r="4252" spans="1:3" ht="15.75" customHeight="1" x14ac:dyDescent="0.25">
      <c r="A4252" s="2" t="s">
        <v>4254</v>
      </c>
      <c r="B4252" s="3" t="s">
        <v>4</v>
      </c>
      <c r="C4252" s="2" t="str">
        <f ca="1">IFERROR(__xludf.DUMMYFUNCTION("GOOGLETRANSLATE(A4252,""bn"",""en"")"),"Beauty soap reduces skin pigmentation")</f>
        <v>Beauty soap reduces skin pigmentation</v>
      </c>
    </row>
    <row r="4253" spans="1:3" ht="15.75" customHeight="1" x14ac:dyDescent="0.25">
      <c r="A4253" s="2" t="s">
        <v>4255</v>
      </c>
      <c r="B4253" s="3" t="s">
        <v>2</v>
      </c>
      <c r="C4253" s="2" t="str">
        <f ca="1">IFERROR(__xludf.DUMMYFUNCTION("GOOGLETRANSLATE(A4253,""bn"",""en"")"),"Some product features are missing")</f>
        <v>Some product features are missing</v>
      </c>
    </row>
    <row r="4254" spans="1:3" ht="15.75" customHeight="1" x14ac:dyDescent="0.25">
      <c r="A4254" s="2" t="s">
        <v>4256</v>
      </c>
      <c r="B4254" s="3" t="s">
        <v>2</v>
      </c>
      <c r="C4254" s="2" t="str">
        <f ca="1">IFERROR(__xludf.DUMMYFUNCTION("GOOGLETRANSLATE(A4254,""bn"",""en"")"),"The cover of the book is attractive but the pace of the story is a bit slow")</f>
        <v>The cover of the book is attractive but the pace of the story is a bit slow</v>
      </c>
    </row>
    <row r="4255" spans="1:3" ht="15.75" customHeight="1" x14ac:dyDescent="0.25">
      <c r="A4255" s="2" t="s">
        <v>4257</v>
      </c>
      <c r="B4255" s="3" t="s">
        <v>4</v>
      </c>
      <c r="C4255" s="2" t="str">
        <f ca="1">IFERROR(__xludf.DUMMYFUNCTION("GOOGLETRANSLATE(A4255,""bn"",""en"")"),"The book was amazing")</f>
        <v>The book was amazing</v>
      </c>
    </row>
    <row r="4256" spans="1:3" ht="15.75" customHeight="1" x14ac:dyDescent="0.25">
      <c r="A4256" s="2" t="s">
        <v>4258</v>
      </c>
      <c r="B4256" s="3" t="s">
        <v>4</v>
      </c>
      <c r="C4256" s="2" t="str">
        <f ca="1">IFERROR(__xludf.DUMMYFUNCTION("GOOGLETRANSLATE(A4256,""bn"",""en"")"),"The high quality craftsmanship of the vase is eye-catching")</f>
        <v>The high quality craftsmanship of the vase is eye-catching</v>
      </c>
    </row>
    <row r="4257" spans="1:3" ht="15.75" customHeight="1" x14ac:dyDescent="0.25">
      <c r="A4257" s="2" t="s">
        <v>4259</v>
      </c>
      <c r="B4257" s="3" t="s">
        <v>4</v>
      </c>
      <c r="C4257" s="2" t="str">
        <f ca="1">IFERROR(__xludf.DUMMYFUNCTION("GOOGLETRANSLATE(A4257,""bn"",""en"")"),"Effective and powerful")</f>
        <v>Effective and powerful</v>
      </c>
    </row>
    <row r="4258" spans="1:3" ht="15.75" customHeight="1" x14ac:dyDescent="0.25">
      <c r="A4258" s="2" t="s">
        <v>4260</v>
      </c>
      <c r="B4258" s="3" t="s">
        <v>2</v>
      </c>
      <c r="C4258" s="2" t="str">
        <f ca="1">IFERROR(__xludf.DUMMYFUNCTION("GOOGLETRANSLATE(A4258,""bn"",""en"")"),"Comfortable with decent sound quality but not strong in noise cancellation")</f>
        <v>Comfortable with decent sound quality but not strong in noise cancellation</v>
      </c>
    </row>
    <row r="4259" spans="1:3" ht="15.75" customHeight="1" x14ac:dyDescent="0.25">
      <c r="A4259" s="2" t="s">
        <v>4261</v>
      </c>
      <c r="B4259" s="3" t="s">
        <v>2</v>
      </c>
      <c r="C4259" s="2" t="str">
        <f ca="1">IFERROR(__xludf.DUMMYFUNCTION("GOOGLETRANSLATE(A4259,""bn"",""en"")"),"Aesthetic appeal will encourage repeat purchases to some degree")</f>
        <v>Aesthetic appeal will encourage repeat purchases to some degree</v>
      </c>
    </row>
    <row r="4260" spans="1:3" ht="15.75" customHeight="1" x14ac:dyDescent="0.25">
      <c r="A4260" s="2" t="s">
        <v>4262</v>
      </c>
      <c r="B4260" s="3" t="s">
        <v>6</v>
      </c>
      <c r="C4260" s="2" t="str">
        <f ca="1">IFERROR(__xludf.DUMMYFUNCTION("GOOGLETRANSLATE(A4260,""bn"",""en"")")," The door does not open smoothly and requires a strong pull to release")</f>
        <v xml:space="preserve"> The door does not open smoothly and requires a strong pull to release</v>
      </c>
    </row>
    <row r="4261" spans="1:3" ht="15.75" customHeight="1" x14ac:dyDescent="0.25">
      <c r="A4261" s="2" t="s">
        <v>4263</v>
      </c>
      <c r="B4261" s="3" t="s">
        <v>6</v>
      </c>
      <c r="C4261" s="2" t="str">
        <f ca="1">IFERROR(__xludf.DUMMYFUNCTION("GOOGLETRANSLATE(A4261,""bn"",""en"")"),"Overall disappointing performance fails to meet expectations")</f>
        <v>Overall disappointing performance fails to meet expectations</v>
      </c>
    </row>
    <row r="4262" spans="1:3" ht="15.75" customHeight="1" x14ac:dyDescent="0.25">
      <c r="A4262" s="2" t="s">
        <v>4264</v>
      </c>
      <c r="B4262" s="3" t="s">
        <v>2</v>
      </c>
      <c r="C4262" s="2" t="str">
        <f ca="1">IFERROR(__xludf.DUMMYFUNCTION("GOOGLETRANSLATE(A4262,""bn"",""en"")"),"Can be used regardless of age")</f>
        <v>Can be used regardless of age</v>
      </c>
    </row>
    <row r="4263" spans="1:3" ht="15.75" customHeight="1" x14ac:dyDescent="0.25">
      <c r="A4263" s="2" t="s">
        <v>4265</v>
      </c>
      <c r="B4263" s="3" t="s">
        <v>6</v>
      </c>
      <c r="C4263" s="2" t="str">
        <f ca="1">IFERROR(__xludf.DUMMYFUNCTION("GOOGLETRANSLATE(A4263,""bn"",""en"")"),"Fingerprint sensors are unreliable and often fail to recognize registered fingerprints")</f>
        <v>Fingerprint sensors are unreliable and often fail to recognize registered fingerprints</v>
      </c>
    </row>
    <row r="4264" spans="1:3" ht="15.75" customHeight="1" x14ac:dyDescent="0.25">
      <c r="A4264" s="2" t="s">
        <v>4266</v>
      </c>
      <c r="B4264" s="3" t="s">
        <v>2</v>
      </c>
      <c r="C4264" s="2" t="str">
        <f ca="1">IFERROR(__xludf.DUMMYFUNCTION("GOOGLETRANSLATE(A4264,""bn"",""en"")"),"Reliability is average")</f>
        <v>Reliability is average</v>
      </c>
    </row>
    <row r="4265" spans="1:3" ht="15.75" customHeight="1" x14ac:dyDescent="0.25">
      <c r="A4265" s="2" t="s">
        <v>4267</v>
      </c>
      <c r="B4265" s="3" t="s">
        <v>6</v>
      </c>
      <c r="C4265" s="2" t="str">
        <f ca="1">IFERROR(__xludf.DUMMYFUNCTION("GOOGLETRANSLATE(A4265,""bn"",""en"")"),"The casing of the power bank gets scratched easily despite being advertised as scratch resistant")</f>
        <v>The casing of the power bank gets scratched easily despite being advertised as scratch resistant</v>
      </c>
    </row>
    <row r="4266" spans="1:3" ht="15.75" customHeight="1" x14ac:dyDescent="0.25">
      <c r="A4266" s="2" t="s">
        <v>4268</v>
      </c>
      <c r="B4266" s="3" t="s">
        <v>6</v>
      </c>
      <c r="C4266" s="2" t="str">
        <f ca="1">IFERROR(__xludf.DUMMYFUNCTION("GOOGLETRANSLATE(A4266,""bn"",""en"")"),"Faulty design tread isolation problems")</f>
        <v>Faulty design tread isolation problems</v>
      </c>
    </row>
    <row r="4267" spans="1:3" ht="15.75" customHeight="1" x14ac:dyDescent="0.25">
      <c r="A4267" s="2" t="s">
        <v>4269</v>
      </c>
      <c r="B4267" s="3" t="s">
        <v>2</v>
      </c>
      <c r="C4267" s="2" t="str">
        <f ca="1">IFERROR(__xludf.DUMMYFUNCTION("GOOGLETRANSLATE(A4267,""bn"",""en"")"),"Oddly cool but may not be practical for all uses")</f>
        <v>Oddly cool but may not be practical for all uses</v>
      </c>
    </row>
    <row r="4268" spans="1:3" ht="15.75" customHeight="1" x14ac:dyDescent="0.25">
      <c r="A4268" s="2" t="s">
        <v>4270</v>
      </c>
      <c r="B4268" s="3" t="s">
        <v>2</v>
      </c>
      <c r="C4268" s="2" t="str">
        <f ca="1">IFERROR(__xludf.DUMMYFUNCTION("GOOGLETRANSLATE(A4268,""bn"",""en"")"),"The clothes are comfortable but the price is high")</f>
        <v>The clothes are comfortable but the price is high</v>
      </c>
    </row>
    <row r="4269" spans="1:3" ht="15.75" customHeight="1" x14ac:dyDescent="0.25">
      <c r="A4269" s="2" t="s">
        <v>4271</v>
      </c>
      <c r="B4269" s="3" t="s">
        <v>2</v>
      </c>
      <c r="C4269" s="2" t="str">
        <f ca="1">IFERROR(__xludf.DUMMYFUNCTION("GOOGLETRANSLATE(A4269,""bn"",""en"")"),"Required information is included in the packaging")</f>
        <v>Required information is included in the packaging</v>
      </c>
    </row>
    <row r="4270" spans="1:3" ht="15.75" customHeight="1" x14ac:dyDescent="0.25">
      <c r="A4270" s="2" t="s">
        <v>4272</v>
      </c>
      <c r="B4270" s="3" t="s">
        <v>6</v>
      </c>
      <c r="C4270" s="2" t="str">
        <f ca="1">IFERROR(__xludf.DUMMYFUNCTION("GOOGLETRANSLATE(A4270,""bn"",""en"")"),"The phone's charging port is loose making it difficult to maintain a stable connection for charging")</f>
        <v>The phone's charging port is loose making it difficult to maintain a stable connection for charging</v>
      </c>
    </row>
    <row r="4271" spans="1:3" ht="15.75" customHeight="1" x14ac:dyDescent="0.25">
      <c r="A4271" s="2" t="s">
        <v>4273</v>
      </c>
      <c r="B4271" s="3" t="s">
        <v>4</v>
      </c>
      <c r="C4271" s="2" t="str">
        <f ca="1">IFERROR(__xludf.DUMMYFUNCTION("GOOGLETRANSLATE(A4271,""bn"",""en"")"),"Become a topic of discussion for new guests")</f>
        <v>Become a topic of discussion for new guests</v>
      </c>
    </row>
    <row r="4272" spans="1:3" ht="15.75" customHeight="1" x14ac:dyDescent="0.25">
      <c r="A4272" s="2" t="s">
        <v>4274</v>
      </c>
      <c r="B4272" s="3" t="s">
        <v>2</v>
      </c>
      <c r="C4272" s="2" t="str">
        <f ca="1">IFERROR(__xludf.DUMMYFUNCTION("GOOGLETRANSLATE(A4272,""bn"",""en"")"),"The power bank's charging ports are labeled with their output amperage")</f>
        <v>The power bank's charging ports are labeled with their output amperage</v>
      </c>
    </row>
    <row r="4273" spans="1:3" ht="15.75" customHeight="1" x14ac:dyDescent="0.25">
      <c r="A4273" s="2" t="s">
        <v>4275</v>
      </c>
      <c r="B4273" s="3" t="s">
        <v>6</v>
      </c>
      <c r="C4273" s="2" t="str">
        <f ca="1">IFERROR(__xludf.DUMMYFUNCTION("GOOGLETRANSLATE(A4273,""bn"",""en"")"),"Unreliable performance is not worth the investment")</f>
        <v>Unreliable performance is not worth the investment</v>
      </c>
    </row>
    <row r="4274" spans="1:3" ht="15.75" customHeight="1" x14ac:dyDescent="0.25">
      <c r="A4274" s="2" t="s">
        <v>4276</v>
      </c>
      <c r="B4274" s="3" t="s">
        <v>2</v>
      </c>
      <c r="C4274" s="2" t="str">
        <f ca="1">IFERROR(__xludf.DUMMYFUNCTION("GOOGLETRANSLATE(A4274,""bn"",""en"")"),"Tasty but a bit spicy")</f>
        <v>Tasty but a bit spicy</v>
      </c>
    </row>
    <row r="4275" spans="1:3" ht="15.75" customHeight="1" x14ac:dyDescent="0.25">
      <c r="A4275" s="2" t="s">
        <v>4277</v>
      </c>
      <c r="B4275" s="3" t="s">
        <v>4</v>
      </c>
      <c r="C4275" s="2" t="str">
        <f ca="1">IFERROR(__xludf.DUMMYFUNCTION("GOOGLETRANSLATE(A4275,""bn"",""en"")"),"The packaging is attractive and convenient for travel")</f>
        <v>The packaging is attractive and convenient for travel</v>
      </c>
    </row>
    <row r="4276" spans="1:3" ht="15.75" customHeight="1" x14ac:dyDescent="0.25">
      <c r="A4276" s="2" t="s">
        <v>4278</v>
      </c>
      <c r="B4276" s="3" t="s">
        <v>6</v>
      </c>
      <c r="C4276" s="2" t="str">
        <f ca="1">IFERROR(__xludf.DUMMYFUNCTION("GOOGLETRANSLATE(A4276,""bn"",""en"")")," The outer casing cracks under minimal stress indicating poor build quality")</f>
        <v xml:space="preserve"> The outer casing cracks under minimal stress indicating poor build quality</v>
      </c>
    </row>
    <row r="4277" spans="1:3" ht="15.75" customHeight="1" x14ac:dyDescent="0.25">
      <c r="A4277" s="2" t="s">
        <v>4279</v>
      </c>
      <c r="B4277" s="3" t="s">
        <v>2</v>
      </c>
      <c r="C4277" s="2" t="str">
        <f ca="1">IFERROR(__xludf.DUMMYFUNCTION("GOOGLETRANSLATE(A4277,""bn"",""en"")"),"Portable blender makes smoothies but the blade is weak")</f>
        <v>Portable blender makes smoothies but the blade is weak</v>
      </c>
    </row>
    <row r="4278" spans="1:3" ht="15.75" customHeight="1" x14ac:dyDescent="0.25">
      <c r="A4278" s="2" t="s">
        <v>4280</v>
      </c>
      <c r="B4278" s="3" t="s">
        <v>2</v>
      </c>
      <c r="C4278" s="2" t="str">
        <f ca="1">IFERROR(__xludf.DUMMYFUNCTION("GOOGLETRANSLATE(A4278,""bn"",""en"")"),"Looks good but not comfortable")</f>
        <v>Looks good but not comfortable</v>
      </c>
    </row>
    <row r="4279" spans="1:3" ht="15.75" customHeight="1" x14ac:dyDescent="0.25">
      <c r="A4279" s="2" t="s">
        <v>4281</v>
      </c>
      <c r="B4279" s="3" t="s">
        <v>2</v>
      </c>
      <c r="C4279" s="2" t="str">
        <f ca="1">IFERROR(__xludf.DUMMYFUNCTION("GOOGLETRANSLATE(A4279,""bn"",""en"")"),"Delicious but the amount of sweetness should be a little less")</f>
        <v>Delicious but the amount of sweetness should be a little less</v>
      </c>
    </row>
    <row r="4280" spans="1:3" ht="15.75" customHeight="1" x14ac:dyDescent="0.25">
      <c r="A4280" s="2" t="s">
        <v>4282</v>
      </c>
      <c r="B4280" s="3" t="s">
        <v>6</v>
      </c>
      <c r="C4280" s="2" t="str">
        <f ca="1">IFERROR(__xludf.DUMMYFUNCTION("GOOGLETRANSLATE(A4280,""bn"",""en"")"),"Setting spray nozzles distribute product unevenly leaving some areas wet and others dry")</f>
        <v>Setting spray nozzles distribute product unevenly leaving some areas wet and others dry</v>
      </c>
    </row>
    <row r="4281" spans="1:3" ht="15.75" customHeight="1" x14ac:dyDescent="0.25">
      <c r="A4281" s="2" t="s">
        <v>4283</v>
      </c>
      <c r="B4281" s="3" t="s">
        <v>6</v>
      </c>
      <c r="C4281" s="2" t="str">
        <f ca="1">IFERROR(__xludf.DUMMYFUNCTION("GOOGLETRANSLATE(A4281,""bn"",""en"")"),"Automatic soap dispenser reservoir leaks spilling soap everywhere")</f>
        <v>Automatic soap dispenser reservoir leaks spilling soap everywhere</v>
      </c>
    </row>
    <row r="4282" spans="1:3" ht="15.75" customHeight="1" x14ac:dyDescent="0.25">
      <c r="A4282" s="2" t="s">
        <v>4284</v>
      </c>
      <c r="B4282" s="3" t="s">
        <v>2</v>
      </c>
      <c r="C4282" s="2" t="str">
        <f ca="1">IFERROR(__xludf.DUMMYFUNCTION("GOOGLETRANSLATE(A4282,""bn"",""en"")"),"As a mediocre product it could have been a bit better")</f>
        <v>As a mediocre product it could have been a bit better</v>
      </c>
    </row>
    <row r="4283" spans="1:3" ht="15.75" customHeight="1" x14ac:dyDescent="0.25">
      <c r="A4283" s="2" t="s">
        <v>4285</v>
      </c>
      <c r="B4283" s="3" t="s">
        <v>6</v>
      </c>
      <c r="C4283" s="2" t="str">
        <f ca="1">IFERROR(__xludf.DUMMYFUNCTION("GOOGLETRANSLATE(A4283,""bn"",""en"")"),"Inferior quality dyes fade the fabric color quickly after washing")</f>
        <v>Inferior quality dyes fade the fabric color quickly after washing</v>
      </c>
    </row>
    <row r="4284" spans="1:3" ht="15.75" customHeight="1" x14ac:dyDescent="0.25">
      <c r="A4284" s="2" t="s">
        <v>4286</v>
      </c>
      <c r="B4284" s="3" t="s">
        <v>4</v>
      </c>
      <c r="C4284" s="2" t="str">
        <f ca="1">IFERROR(__xludf.DUMMYFUNCTION("GOOGLETRANSLATE(A4284,""bn"",""en"")"),"This water bottle is easy and convenient to carry")</f>
        <v>This water bottle is easy and convenient to carry</v>
      </c>
    </row>
    <row r="4285" spans="1:3" ht="15.75" customHeight="1" x14ac:dyDescent="0.25">
      <c r="A4285" s="2" t="s">
        <v>4287</v>
      </c>
      <c r="B4285" s="3" t="s">
        <v>4</v>
      </c>
      <c r="C4285" s="2" t="str">
        <f ca="1">IFERROR(__xludf.DUMMYFUNCTION("GOOGLETRANSLATE(A4285,""bn"",""en"")"),"Adding water is very easy")</f>
        <v>Adding water is very easy</v>
      </c>
    </row>
    <row r="4286" spans="1:3" ht="15.75" customHeight="1" x14ac:dyDescent="0.25">
      <c r="A4286" s="2" t="s">
        <v>4288</v>
      </c>
      <c r="B4286" s="3" t="s">
        <v>6</v>
      </c>
      <c r="C4286" s="2" t="str">
        <f ca="1">IFERROR(__xludf.DUMMYFUNCTION("GOOGLETRANSLATE(A4286,""bn"",""en"")"),"A product is not right for price alone")</f>
        <v>A product is not right for price alone</v>
      </c>
    </row>
    <row r="4287" spans="1:3" ht="15.75" customHeight="1" x14ac:dyDescent="0.25">
      <c r="A4287" s="2" t="s">
        <v>4289</v>
      </c>
      <c r="B4287" s="3" t="s">
        <v>4</v>
      </c>
      <c r="C4287" s="2" t="str">
        <f ca="1">IFERROR(__xludf.DUMMYFUNCTION("GOOGLETRANSLATE(A4287,""bn"",""en"")"),"The shutter speed of the camera is very good")</f>
        <v>The shutter speed of the camera is very good</v>
      </c>
    </row>
    <row r="4288" spans="1:3" ht="15.75" customHeight="1" x14ac:dyDescent="0.25">
      <c r="A4288" s="2" t="s">
        <v>4290</v>
      </c>
      <c r="B4288" s="3" t="s">
        <v>6</v>
      </c>
      <c r="C4288" s="2" t="str">
        <f ca="1">IFERROR(__xludf.DUMMYFUNCTION("GOOGLETRANSLATE(A4288,""bn"",""en"")"),"The suction cups of solar powered fountain pumps do not stick well and often fall off")</f>
        <v>The suction cups of solar powered fountain pumps do not stick well and often fall off</v>
      </c>
    </row>
    <row r="4289" spans="1:3" ht="15.75" customHeight="1" x14ac:dyDescent="0.25">
      <c r="A4289" s="2" t="s">
        <v>4291</v>
      </c>
      <c r="B4289" s="3" t="s">
        <v>4</v>
      </c>
      <c r="C4289" s="2" t="str">
        <f ca="1">IFERROR(__xludf.DUMMYFUNCTION("GOOGLETRANSLATE(A4289,""bn"",""en"")"),"It does not disturb during sleep as the noise is low")</f>
        <v>It does not disturb during sleep as the noise is low</v>
      </c>
    </row>
    <row r="4290" spans="1:3" ht="15.75" customHeight="1" x14ac:dyDescent="0.25">
      <c r="A4290" s="2" t="s">
        <v>4292</v>
      </c>
      <c r="B4290" s="3" t="s">
        <v>4</v>
      </c>
      <c r="C4290" s="2" t="str">
        <f ca="1">IFERROR(__xludf.DUMMYFUNCTION("GOOGLETRANSLATE(A4290,""bn"",""en"")"),"The strap of the watch is very comfortable")</f>
        <v>The strap of the watch is very comfortable</v>
      </c>
    </row>
    <row r="4291" spans="1:3" ht="15.75" customHeight="1" x14ac:dyDescent="0.25">
      <c r="A4291" s="2" t="s">
        <v>4293</v>
      </c>
      <c r="B4291" s="3" t="s">
        <v>6</v>
      </c>
      <c r="C4291" s="2" t="str">
        <f ca="1">IFERROR(__xludf.DUMMYFUNCTION("GOOGLETRANSLATE(A4291,""bn"",""en"")"),"The mug I bought had an odor that wouldn't go away after multiple washes")</f>
        <v>The mug I bought had an odor that wouldn't go away after multiple washes</v>
      </c>
    </row>
    <row r="4292" spans="1:3" ht="15.75" customHeight="1" x14ac:dyDescent="0.25">
      <c r="A4292" s="2" t="s">
        <v>4294</v>
      </c>
      <c r="B4292" s="3" t="s">
        <v>2</v>
      </c>
      <c r="C4292" s="2" t="str">
        <f ca="1">IFERROR(__xludf.DUMMYFUNCTION("GOOGLETRANSLATE(A4292,""bn"",""en"")"),"The container works fairly well, nothing special")</f>
        <v>The container works fairly well, nothing special</v>
      </c>
    </row>
    <row r="4293" spans="1:3" ht="15.75" customHeight="1" x14ac:dyDescent="0.25">
      <c r="A4293" s="2" t="s">
        <v>4295</v>
      </c>
      <c r="B4293" s="3" t="s">
        <v>2</v>
      </c>
      <c r="C4293" s="2" t="str">
        <f ca="1">IFERROR(__xludf.DUMMYFUNCTION("GOOGLETRANSLATE(A4293,""bn"",""en"")"),"All items can be bought together but there is no option to buy them separately")</f>
        <v>All items can be bought together but there is no option to buy them separately</v>
      </c>
    </row>
    <row r="4294" spans="1:3" ht="15.75" customHeight="1" x14ac:dyDescent="0.25">
      <c r="A4294" s="2" t="s">
        <v>4296</v>
      </c>
      <c r="B4294" s="3" t="s">
        <v>6</v>
      </c>
      <c r="C4294" s="2" t="str">
        <f ca="1">IFERROR(__xludf.DUMMYFUNCTION("GOOGLETRANSLATE(A4294,""bn"",""en"")"),"Unsanitary conditions unsuitable for children")</f>
        <v>Unsanitary conditions unsuitable for children</v>
      </c>
    </row>
    <row r="4295" spans="1:3" ht="15.75" customHeight="1" x14ac:dyDescent="0.25">
      <c r="A4295" s="2" t="s">
        <v>4297</v>
      </c>
      <c r="B4295" s="3" t="s">
        <v>4</v>
      </c>
      <c r="C4295" s="2" t="str">
        <f ca="1">IFERROR(__xludf.DUMMYFUNCTION("GOOGLETRANSLATE(A4295,""bn"",""en"")"),"Correct is much better ")</f>
        <v xml:space="preserve">Correct is much better </v>
      </c>
    </row>
    <row r="4296" spans="1:3" ht="15.75" customHeight="1" x14ac:dyDescent="0.25">
      <c r="A4296" s="2" t="s">
        <v>4298</v>
      </c>
      <c r="B4296" s="3" t="s">
        <v>6</v>
      </c>
      <c r="C4296" s="2" t="str">
        <f ca="1">IFERROR(__xludf.DUMMYFUNCTION("GOOGLETRANSLATE(A4296,""bn"",""en"")"),"Differences in size are confusing representations")</f>
        <v>Differences in size are confusing representations</v>
      </c>
    </row>
    <row r="4297" spans="1:3" ht="15.75" customHeight="1" x14ac:dyDescent="0.25">
      <c r="A4297" s="2" t="s">
        <v>4299</v>
      </c>
      <c r="B4297" s="3" t="s">
        <v>4</v>
      </c>
      <c r="C4297" s="2" t="str">
        <f ca="1">IFERROR(__xludf.DUMMYFUNCTION("GOOGLETRANSLATE(A4297,""bn"",""en"")"),"This shampoo is helpful in protecting hair health")</f>
        <v>This shampoo is helpful in protecting hair health</v>
      </c>
    </row>
    <row r="4298" spans="1:3" ht="15.75" customHeight="1" x14ac:dyDescent="0.25">
      <c r="A4298" s="2" t="s">
        <v>4300</v>
      </c>
      <c r="B4298" s="3" t="s">
        <v>2</v>
      </c>
      <c r="C4298" s="2" t="str">
        <f ca="1">IFERROR(__xludf.DUMMYFUNCTION("GOOGLETRANSLATE(A4298,""bn"",""en"")"),"Some new yields increased but the effect of the fertilizer was small")</f>
        <v>Some new yields increased but the effect of the fertilizer was small</v>
      </c>
    </row>
    <row r="4299" spans="1:3" ht="15.75" customHeight="1" x14ac:dyDescent="0.25">
      <c r="A4299" s="2" t="s">
        <v>4301</v>
      </c>
      <c r="B4299" s="3" t="s">
        <v>2</v>
      </c>
      <c r="C4299" s="2" t="str">
        <f ca="1">IFERROR(__xludf.DUMMYFUNCTION("GOOGLETRANSLATE(A4299,""bn"",""en"")"),"Overall it's a simple water bottle that does its job properly, nothing too extraordinary but usable")</f>
        <v>Overall it's a simple water bottle that does its job properly, nothing too extraordinary but usable</v>
      </c>
    </row>
    <row r="4300" spans="1:3" ht="15.75" customHeight="1" x14ac:dyDescent="0.25">
      <c r="A4300" s="2" t="s">
        <v>4302</v>
      </c>
      <c r="B4300" s="3" t="s">
        <v>2</v>
      </c>
      <c r="C4300" s="2" t="str">
        <f ca="1">IFERROR(__xludf.DUMMYFUNCTION("GOOGLETRANSLATE(A4300,""bn"",""en"")"),"It can be a focal point of the room")</f>
        <v>It can be a focal point of the room</v>
      </c>
    </row>
    <row r="4301" spans="1:3" ht="15.75" customHeight="1" x14ac:dyDescent="0.25">
      <c r="A4301" s="2" t="s">
        <v>4303</v>
      </c>
      <c r="B4301" s="3" t="s">
        <v>2</v>
      </c>
      <c r="C4301" s="2" t="str">
        <f ca="1">IFERROR(__xludf.DUMMYFUNCTION("GOOGLETRANSLATE(A4301,""bn"",""en"")"),"Useful but not robust")</f>
        <v>Useful but not robust</v>
      </c>
    </row>
    <row r="4302" spans="1:3" ht="15.75" customHeight="1" x14ac:dyDescent="0.25">
      <c r="A4302" s="2" t="s">
        <v>4304</v>
      </c>
      <c r="B4302" s="3" t="s">
        <v>2</v>
      </c>
      <c r="C4302" s="2" t="str">
        <f ca="1">IFERROR(__xludf.DUMMYFUNCTION("GOOGLETRANSLATE(A4302,""bn"",""en"")"),"Can be used during teething but there are other options")</f>
        <v>Can be used during teething but there are other options</v>
      </c>
    </row>
    <row r="4303" spans="1:3" ht="15.75" customHeight="1" x14ac:dyDescent="0.25">
      <c r="A4303" s="2" t="s">
        <v>4305</v>
      </c>
      <c r="B4303" s="3" t="s">
        <v>6</v>
      </c>
      <c r="C4303" s="2" t="str">
        <f ca="1">IFERROR(__xludf.DUMMYFUNCTION("GOOGLETRANSLATE(A4303,""bn"",""en"")"),"The thinness of the fabric provides little warmth or coverage")</f>
        <v>The thinness of the fabric provides little warmth or coverage</v>
      </c>
    </row>
    <row r="4304" spans="1:3" ht="15.75" customHeight="1" x14ac:dyDescent="0.25">
      <c r="A4304" s="2" t="s">
        <v>4306</v>
      </c>
      <c r="B4304" s="3" t="s">
        <v>4</v>
      </c>
      <c r="C4304" s="2" t="str">
        <f ca="1">IFERROR(__xludf.DUMMYFUNCTION("GOOGLETRANSLATE(A4304,""bn"",""en"")"),"This bedsheet is very easy and convenient to use")</f>
        <v>This bedsheet is very easy and convenient to use</v>
      </c>
    </row>
    <row r="4305" spans="1:3" ht="15.75" customHeight="1" x14ac:dyDescent="0.25">
      <c r="A4305" s="2" t="s">
        <v>4307</v>
      </c>
      <c r="B4305" s="3" t="s">
        <v>4</v>
      </c>
      <c r="C4305" s="2" t="str">
        <f ca="1">IFERROR(__xludf.DUMMYFUNCTION("GOOGLETRANSLATE(A4305,""bn"",""en"")"),"This body wash will make your skin smooth and soft")</f>
        <v>This body wash will make your skin smooth and soft</v>
      </c>
    </row>
    <row r="4306" spans="1:3" ht="15.75" customHeight="1" x14ac:dyDescent="0.25">
      <c r="A4306" s="2" t="s">
        <v>4308</v>
      </c>
      <c r="B4306" s="3" t="s">
        <v>4</v>
      </c>
      <c r="C4306" s="2" t="str">
        <f ca="1">IFERROR(__xludf.DUMMYFUNCTION("GOOGLETRANSLATE(A4306,""bn"",""en"")"),"The clock displays the correct time")</f>
        <v>The clock displays the correct time</v>
      </c>
    </row>
    <row r="4307" spans="1:3" ht="15.75" customHeight="1" x14ac:dyDescent="0.25">
      <c r="A4307" s="2" t="s">
        <v>4309</v>
      </c>
      <c r="B4307" s="3" t="s">
        <v>2</v>
      </c>
      <c r="C4307" s="2" t="str">
        <f ca="1">IFERROR(__xludf.DUMMYFUNCTION("GOOGLETRANSLATE(A4307,""bn"",""en"")"),"Values ​​are OK not exceptional")</f>
        <v>Values ​​are OK not exceptional</v>
      </c>
    </row>
    <row r="4308" spans="1:3" ht="15.75" customHeight="1" x14ac:dyDescent="0.25">
      <c r="A4308" s="2" t="s">
        <v>4310</v>
      </c>
      <c r="B4308" s="3" t="s">
        <v>4</v>
      </c>
      <c r="C4308" s="2" t="str">
        <f ca="1">IFERROR(__xludf.DUMMYFUNCTION("GOOGLETRANSLATE(A4308,""bn"",""en"")"),"The screen size of the mobile is very suitable")</f>
        <v>The screen size of the mobile is very suitable</v>
      </c>
    </row>
    <row r="4309" spans="1:3" ht="15.75" customHeight="1" x14ac:dyDescent="0.25">
      <c r="A4309" s="2" t="s">
        <v>4311</v>
      </c>
      <c r="B4309" s="3" t="s">
        <v>4</v>
      </c>
      <c r="C4309" s="2" t="str">
        <f ca="1">IFERROR(__xludf.DUMMYFUNCTION("GOOGLETRANSLATE(A4309,""bn"",""en"")"),"The size of the pillows is such that they easily fit into standard pillow covers")</f>
        <v>The size of the pillows is such that they easily fit into standard pillow covers</v>
      </c>
    </row>
    <row r="4310" spans="1:3" ht="15.75" customHeight="1" x14ac:dyDescent="0.25">
      <c r="A4310" s="2" t="s">
        <v>4312</v>
      </c>
      <c r="B4310" s="3" t="s">
        <v>6</v>
      </c>
      <c r="C4310" s="2" t="str">
        <f ca="1">IFERROR(__xludf.DUMMYFUNCTION("GOOGLETRANSLATE(A4310,""bn"",""en"")"),"Microwave emits a peculiar smell when used for food safety")</f>
        <v>Microwave emits a peculiar smell when used for food safety</v>
      </c>
    </row>
    <row r="4311" spans="1:3" ht="15.75" customHeight="1" x14ac:dyDescent="0.25">
      <c r="A4311" s="2" t="s">
        <v>4313</v>
      </c>
      <c r="B4311" s="3" t="s">
        <v>4</v>
      </c>
      <c r="C4311" s="2" t="str">
        <f ca="1">IFERROR(__xludf.DUMMYFUNCTION("GOOGLETRANSLATE(A4311,""bn"",""en"")"),"Honey can be mixed with milk")</f>
        <v>Honey can be mixed with milk</v>
      </c>
    </row>
    <row r="4312" spans="1:3" ht="15.75" customHeight="1" x14ac:dyDescent="0.25">
      <c r="A4312" s="2" t="s">
        <v>4314</v>
      </c>
      <c r="B4312" s="3" t="s">
        <v>6</v>
      </c>
      <c r="C4312" s="2" t="str">
        <f ca="1">IFERROR(__xludf.DUMMYFUNCTION("GOOGLETRANSLATE(A4312,""bn"",""en"")"),"Avoid disappointing products")</f>
        <v>Avoid disappointing products</v>
      </c>
    </row>
    <row r="4313" spans="1:3" ht="15.75" customHeight="1" x14ac:dyDescent="0.25">
      <c r="A4313" s="2" t="s">
        <v>4315</v>
      </c>
      <c r="B4313" s="3" t="s">
        <v>6</v>
      </c>
      <c r="C4313" s="2" t="str">
        <f ca="1">IFERROR(__xludf.DUMMYFUNCTION("GOOGLETRANSLATE(A4313,""bn"",""en"")"),"The coffee had a harsh bitterness that overpowered the other flavors")</f>
        <v>The coffee had a harsh bitterness that overpowered the other flavors</v>
      </c>
    </row>
    <row r="4314" spans="1:3" ht="15.75" customHeight="1" x14ac:dyDescent="0.25">
      <c r="A4314" s="2" t="s">
        <v>4316</v>
      </c>
      <c r="B4314" s="3" t="s">
        <v>2</v>
      </c>
      <c r="C4314" s="2" t="str">
        <f ca="1">IFERROR(__xludf.DUMMYFUNCTION("GOOGLETRANSLATE(A4314,""bn"",""en"")"),"Has temperature display")</f>
        <v>Has temperature display</v>
      </c>
    </row>
    <row r="4315" spans="1:3" ht="15.75" customHeight="1" x14ac:dyDescent="0.25">
      <c r="A4315" s="2" t="s">
        <v>4317</v>
      </c>
      <c r="B4315" s="3" t="s">
        <v>6</v>
      </c>
      <c r="C4315" s="2" t="str">
        <f ca="1">IFERROR(__xludf.DUMMYFUNCTION("GOOGLETRANSLATE(A4315,""bn"",""en"")"),"Unsettled and overpriced")</f>
        <v>Unsettled and overpriced</v>
      </c>
    </row>
    <row r="4316" spans="1:3" ht="15.75" customHeight="1" x14ac:dyDescent="0.25">
      <c r="A4316" s="2" t="s">
        <v>4318</v>
      </c>
      <c r="B4316" s="3" t="s">
        <v>6</v>
      </c>
      <c r="C4316" s="2" t="str">
        <f ca="1">IFERROR(__xludf.DUMMYFUNCTION("GOOGLETRANSLATE(A4316,""bn"",""en"")"),"The frozen vegetables were bland and lacked freshness with a bland taste and unpleasant texture")</f>
        <v>The frozen vegetables were bland and lacked freshness with a bland taste and unpleasant texture</v>
      </c>
    </row>
    <row r="4317" spans="1:3" ht="15.75" customHeight="1" x14ac:dyDescent="0.25">
      <c r="A4317" s="2" t="s">
        <v>4319</v>
      </c>
      <c r="B4317" s="3" t="s">
        <v>6</v>
      </c>
      <c r="C4317" s="2" t="str">
        <f ca="1">IFERROR(__xludf.DUMMYFUNCTION("GOOGLETRANSLATE(A4317,""bn"",""en"")"),"A solar charger that doesn't charge devices is a waste of money")</f>
        <v>A solar charger that doesn't charge devices is a waste of money</v>
      </c>
    </row>
    <row r="4318" spans="1:3" ht="15.75" customHeight="1" x14ac:dyDescent="0.25">
      <c r="A4318" s="2" t="s">
        <v>4320</v>
      </c>
      <c r="B4318" s="3" t="s">
        <v>2</v>
      </c>
      <c r="C4318" s="2" t="str">
        <f ca="1">IFERROR(__xludf.DUMMYFUNCTION("GOOGLETRANSLATE(A4318,""bn"",""en"")"),"Some of the best users in the market for Sleepbuds have found better alternatives")</f>
        <v>Some of the best users in the market for Sleepbuds have found better alternatives</v>
      </c>
    </row>
    <row r="4319" spans="1:3" ht="15.75" customHeight="1" x14ac:dyDescent="0.25">
      <c r="A4319" s="2" t="s">
        <v>4321</v>
      </c>
      <c r="B4319" s="3" t="s">
        <v>6</v>
      </c>
      <c r="C4319" s="2" t="str">
        <f ca="1">IFERROR(__xludf.DUMMYFUNCTION("GOOGLETRANSLATE(A4319,""bn"",""en"")"),"A camera's autoexposure system often overexposes or underexposes images")</f>
        <v>A camera's autoexposure system often overexposes or underexposes images</v>
      </c>
    </row>
    <row r="4320" spans="1:3" ht="15.75" customHeight="1" x14ac:dyDescent="0.25">
      <c r="A4320" s="2" t="s">
        <v>4322</v>
      </c>
      <c r="B4320" s="3" t="s">
        <v>4</v>
      </c>
      <c r="C4320" s="2" t="str">
        <f ca="1">IFERROR(__xludf.DUMMYFUNCTION("GOOGLETRANSLATE(A4320,""bn"",""en"")"),"Plastic flower is eco-friendly as it can be used again and again")</f>
        <v>Plastic flower is eco-friendly as it can be used again and again</v>
      </c>
    </row>
    <row r="4321" spans="1:3" ht="15.75" customHeight="1" x14ac:dyDescent="0.25">
      <c r="A4321" s="2" t="s">
        <v>4323</v>
      </c>
      <c r="B4321" s="3" t="s">
        <v>2</v>
      </c>
      <c r="C4321" s="2" t="str">
        <f ca="1">IFERROR(__xludf.DUMMYFUNCTION("GOOGLETRANSLATE(A4321,""bn"",""en"")"),"Should be kept completely dry after use")</f>
        <v>Should be kept completely dry after use</v>
      </c>
    </row>
    <row r="4322" spans="1:3" ht="15.75" customHeight="1" x14ac:dyDescent="0.25">
      <c r="A4322" s="2" t="s">
        <v>4324</v>
      </c>
      <c r="B4322" s="3" t="s">
        <v>4</v>
      </c>
      <c r="C4322" s="2" t="str">
        <f ca="1">IFERROR(__xludf.DUMMYFUNCTION("GOOGLETRANSLATE(A4322,""bn"",""en"")"),"The pendants also go well with my everyday outfits")</f>
        <v>The pendants also go well with my everyday outfits</v>
      </c>
    </row>
    <row r="4323" spans="1:3" ht="15.75" customHeight="1" x14ac:dyDescent="0.25">
      <c r="A4323" s="2" t="s">
        <v>4325</v>
      </c>
      <c r="B4323" s="3" t="s">
        <v>4</v>
      </c>
      <c r="C4323" s="2" t="str">
        <f ca="1">IFERROR(__xludf.DUMMYFUNCTION("GOOGLETRANSLATE(A4323,""bn"",""en"")"),"Every shade in the kit blends beautifully")</f>
        <v>Every shade in the kit blends beautifully</v>
      </c>
    </row>
    <row r="4324" spans="1:3" ht="15.75" customHeight="1" x14ac:dyDescent="0.25">
      <c r="A4324" s="2" t="s">
        <v>4326</v>
      </c>
      <c r="B4324" s="3" t="s">
        <v>4</v>
      </c>
      <c r="C4324" s="2" t="str">
        <f ca="1">IFERROR(__xludf.DUMMYFUNCTION("GOOGLETRANSLATE(A4324,""bn"",""en"")"),"The premium look of the mobile is very attractive")</f>
        <v>The premium look of the mobile is very attractive</v>
      </c>
    </row>
    <row r="4325" spans="1:3" ht="15.75" customHeight="1" x14ac:dyDescent="0.25">
      <c r="A4325" s="2" t="s">
        <v>4327</v>
      </c>
      <c r="B4325" s="3" t="s">
        <v>6</v>
      </c>
      <c r="C4325" s="2" t="str">
        <f ca="1">IFERROR(__xludf.DUMMYFUNCTION("GOOGLETRANSLATE(A4325,""bn"",""en"")"),"The price of the item was unreasonably high for the quality provided")</f>
        <v>The price of the item was unreasonably high for the quality provided</v>
      </c>
    </row>
    <row r="4326" spans="1:3" ht="15.75" customHeight="1" x14ac:dyDescent="0.25">
      <c r="A4326" s="2" t="s">
        <v>4328</v>
      </c>
      <c r="B4326" s="3" t="s">
        <v>4</v>
      </c>
      <c r="C4326" s="2" t="str">
        <f ca="1">IFERROR(__xludf.DUMMYFUNCTION("GOOGLETRANSLATE(A4326,""bn"",""en"")"),"Different techniques can be applied for sorting")</f>
        <v>Different techniques can be applied for sorting</v>
      </c>
    </row>
    <row r="4327" spans="1:3" ht="15.75" customHeight="1" x14ac:dyDescent="0.25">
      <c r="A4327" s="2" t="s">
        <v>4329</v>
      </c>
      <c r="B4327" s="3" t="s">
        <v>2</v>
      </c>
      <c r="C4327" s="2" t="str">
        <f ca="1">IFERROR(__xludf.DUMMYFUNCTION("GOOGLETRANSLATE(A4327,""bn"",""en"")"),"Two pieces are somewhat common")</f>
        <v>Two pieces are somewhat common</v>
      </c>
    </row>
    <row r="4328" spans="1:3" ht="15.75" customHeight="1" x14ac:dyDescent="0.25">
      <c r="A4328" s="2" t="s">
        <v>4330</v>
      </c>
      <c r="B4328" s="3" t="s">
        <v>6</v>
      </c>
      <c r="C4328" s="2" t="str">
        <f ca="1">IFERROR(__xludf.DUMMYFUNCTION("GOOGLETRANSLATE(A4328,""bn"",""en"")"),"The flimsy lid did not seal securely resulting in spillage")</f>
        <v>The flimsy lid did not seal securely resulting in spillage</v>
      </c>
    </row>
    <row r="4329" spans="1:3" ht="15.75" customHeight="1" x14ac:dyDescent="0.25">
      <c r="A4329" s="2" t="s">
        <v>4331</v>
      </c>
      <c r="B4329" s="3" t="s">
        <v>2</v>
      </c>
      <c r="C4329" s="2" t="str">
        <f ca="1">IFERROR(__xludf.DUMMYFUNCTION("GOOGLETRANSLATE(A4329,""bn"",""en"")"),"I enjoyed reading the book but the characters lacked depth")</f>
        <v>I enjoyed reading the book but the characters lacked depth</v>
      </c>
    </row>
    <row r="4330" spans="1:3" ht="15.75" customHeight="1" x14ac:dyDescent="0.25">
      <c r="A4330" s="2" t="s">
        <v>4332</v>
      </c>
      <c r="B4330" s="3" t="s">
        <v>2</v>
      </c>
      <c r="C4330" s="2" t="str">
        <f ca="1">IFERROR(__xludf.DUMMYFUNCTION("GOOGLETRANSLATE(A4330,""bn"",""en"")"),"Good product has some defects")</f>
        <v>Good product has some defects</v>
      </c>
    </row>
    <row r="4331" spans="1:3" ht="15.75" customHeight="1" x14ac:dyDescent="0.25">
      <c r="A4331" s="2" t="s">
        <v>4333</v>
      </c>
      <c r="B4331" s="3" t="s">
        <v>6</v>
      </c>
      <c r="C4331" s="2" t="str">
        <f ca="1">IFERROR(__xludf.DUMMYFUNCTION("GOOGLETRANSLATE(A4331,""bn"",""en"")"),"Portable projector picture blurry poor picture quality")</f>
        <v>Portable projector picture blurry poor picture quality</v>
      </c>
    </row>
    <row r="4332" spans="1:3" ht="15.75" customHeight="1" x14ac:dyDescent="0.25">
      <c r="A4332" s="2" t="s">
        <v>4334</v>
      </c>
      <c r="B4332" s="3" t="s">
        <v>6</v>
      </c>
      <c r="C4332" s="2" t="str">
        <f ca="1">IFERROR(__xludf.DUMMYFUNCTION("GOOGLETRANSLATE(A4332,""bn"",""en"")"),"The oven's interior light is on making it difficult to monitor cooking progress")</f>
        <v>The oven's interior light is on making it difficult to monitor cooking progress</v>
      </c>
    </row>
    <row r="4333" spans="1:3" ht="15.75" customHeight="1" x14ac:dyDescent="0.25">
      <c r="A4333" s="2" t="s">
        <v>4335</v>
      </c>
      <c r="B4333" s="3" t="s">
        <v>4</v>
      </c>
      <c r="C4333" s="2" t="str">
        <f ca="1">IFERROR(__xludf.DUMMYFUNCTION("GOOGLETRANSLATE(A4333,""bn"",""en"")"),"This body wash repairs skin damage")</f>
        <v>This body wash repairs skin damage</v>
      </c>
    </row>
    <row r="4334" spans="1:3" ht="15.75" customHeight="1" x14ac:dyDescent="0.25">
      <c r="A4334" s="2" t="s">
        <v>4336</v>
      </c>
      <c r="B4334" s="3" t="s">
        <v>4</v>
      </c>
      <c r="C4334" s="2" t="str">
        <f ca="1">IFERROR(__xludf.DUMMYFUNCTION("GOOGLETRANSLATE(A4334,""bn"",""en"")"),"The hotel rooms are very clean and comfortable")</f>
        <v>The hotel rooms are very clean and comfortable</v>
      </c>
    </row>
    <row r="4335" spans="1:3" ht="15.75" customHeight="1" x14ac:dyDescent="0.25">
      <c r="A4335" s="2" t="s">
        <v>4337</v>
      </c>
      <c r="B4335" s="3" t="s">
        <v>4</v>
      </c>
      <c r="C4335" s="2" t="str">
        <f ca="1">IFERROR(__xludf.DUMMYFUNCTION("GOOGLETRANSLATE(A4335,""bn"",""en"")"),"There are always fun games in the school grounds")</f>
        <v>There are always fun games in the school grounds</v>
      </c>
    </row>
    <row r="4336" spans="1:3" ht="15.75" customHeight="1" x14ac:dyDescent="0.25">
      <c r="A4336" s="2" t="s">
        <v>4338</v>
      </c>
      <c r="B4336" s="3" t="s">
        <v>4</v>
      </c>
      <c r="C4336" s="2" t="str">
        <f ca="1">IFERROR(__xludf.DUMMYFUNCTION("GOOGLETRANSLATE(A4336,""bn"",""en"")"),"The quality is very good for the price")</f>
        <v>The quality is very good for the price</v>
      </c>
    </row>
    <row r="4337" spans="1:3" ht="15.75" customHeight="1" x14ac:dyDescent="0.25">
      <c r="A4337" s="2" t="s">
        <v>4339</v>
      </c>
      <c r="B4337" s="3" t="s">
        <v>2</v>
      </c>
      <c r="C4337" s="2" t="str">
        <f ca="1">IFERROR(__xludf.DUMMYFUNCTION("GOOGLETRANSLATE(A4337,""bn"",""en"")"),"Flame retardant plastics are used")</f>
        <v>Flame retardant plastics are used</v>
      </c>
    </row>
    <row r="4338" spans="1:3" ht="15.75" customHeight="1" x14ac:dyDescent="0.25">
      <c r="A4338" s="2" t="s">
        <v>4340</v>
      </c>
      <c r="B4338" s="3" t="s">
        <v>4</v>
      </c>
      <c r="C4338" s="2" t="str">
        <f ca="1">IFERROR(__xludf.DUMMYFUNCTION("GOOGLETRANSLATE(A4338,""bn"",""en"")"),"Team members always help each other")</f>
        <v>Team members always help each other</v>
      </c>
    </row>
    <row r="4339" spans="1:3" ht="15.75" customHeight="1" x14ac:dyDescent="0.25">
      <c r="A4339" s="2" t="s">
        <v>4341</v>
      </c>
      <c r="B4339" s="3" t="s">
        <v>4</v>
      </c>
      <c r="C4339" s="2" t="str">
        <f ca="1">IFERROR(__xludf.DUMMYFUNCTION("GOOGLETRANSLATE(A4339,""bn"",""en"")"),"The weight of each utensil in this dinner set is evenly distributed giving it a balanced feel while using it")</f>
        <v>The weight of each utensil in this dinner set is evenly distributed giving it a balanced feel while using it</v>
      </c>
    </row>
    <row r="4340" spans="1:3" ht="15.75" customHeight="1" x14ac:dyDescent="0.25">
      <c r="A4340" s="2" t="s">
        <v>4342</v>
      </c>
      <c r="B4340" s="3" t="s">
        <v>4</v>
      </c>
      <c r="C4340" s="2" t="str">
        <f ca="1">IFERROR(__xludf.DUMMYFUNCTION("GOOGLETRANSLATE(A4340,""bn"",""en"")"),"Cooling capacity is very good")</f>
        <v>Cooling capacity is very good</v>
      </c>
    </row>
    <row r="4341" spans="1:3" ht="15.75" customHeight="1" x14ac:dyDescent="0.25">
      <c r="A4341" s="2" t="s">
        <v>4343</v>
      </c>
      <c r="B4341" s="3" t="s">
        <v>4</v>
      </c>
      <c r="C4341" s="2" t="str">
        <f ca="1">IFERROR(__xludf.DUMMYFUNCTION("GOOGLETRANSLATE(A4341,""bn"",""en"")"),"Airline tickets will be available at Metrorail ")</f>
        <v xml:space="preserve">Airline tickets will be available at Metrorail </v>
      </c>
    </row>
    <row r="4342" spans="1:3" ht="15.75" customHeight="1" x14ac:dyDescent="0.25">
      <c r="A4342" s="2" t="s">
        <v>4344</v>
      </c>
      <c r="B4342" s="3" t="s">
        <v>6</v>
      </c>
      <c r="C4342" s="2" t="str">
        <f ca="1">IFERROR(__xludf.DUMMYFUNCTION("GOOGLETRANSLATE(A4342,""bn"",""en"")"),"  The balm had a strange smell that I couldn't stand")</f>
        <v xml:space="preserve">  The balm had a strange smell that I couldn't stand</v>
      </c>
    </row>
    <row r="4343" spans="1:3" ht="15.75" customHeight="1" x14ac:dyDescent="0.25">
      <c r="A4343" s="2" t="s">
        <v>4345</v>
      </c>
      <c r="B4343" s="3" t="s">
        <v>2</v>
      </c>
      <c r="C4343" s="2" t="str">
        <f ca="1">IFERROR(__xludf.DUMMYFUNCTION("GOOGLETRANSLATE(A4343,""bn"",""en"")"),"Easy to wash but difficult to maintain shape")</f>
        <v>Easy to wash but difficult to maintain shape</v>
      </c>
    </row>
    <row r="4344" spans="1:3" ht="15.75" customHeight="1" x14ac:dyDescent="0.25">
      <c r="A4344" s="2" t="s">
        <v>4346</v>
      </c>
      <c r="B4344" s="3" t="s">
        <v>6</v>
      </c>
      <c r="C4344" s="2" t="str">
        <f ca="1">IFERROR(__xludf.DUMMYFUNCTION("GOOGLETRANSLATE(A4344,""bn"",""en"")"),"The phone's navigation gestures are inconsistent sometimes failing to register swipes or taps")</f>
        <v>The phone's navigation gestures are inconsistent sometimes failing to register swipes or taps</v>
      </c>
    </row>
    <row r="4345" spans="1:3" ht="15.75" customHeight="1" x14ac:dyDescent="0.25">
      <c r="A4345" s="2" t="s">
        <v>4347</v>
      </c>
      <c r="B4345" s="3" t="s">
        <v>6</v>
      </c>
      <c r="C4345" s="2" t="str">
        <f ca="1">IFERROR(__xludf.DUMMYFUNCTION("GOOGLETRANSLATE(A4345,""bn"",""en"")"),"Ready-to-eat foods are loaded with preservatives and heavily processed flavors")</f>
        <v>Ready-to-eat foods are loaded with preservatives and heavily processed flavors</v>
      </c>
    </row>
    <row r="4346" spans="1:3" ht="15.75" customHeight="1" x14ac:dyDescent="0.25">
      <c r="A4346" s="2" t="s">
        <v>4348</v>
      </c>
      <c r="B4346" s="3" t="s">
        <v>6</v>
      </c>
      <c r="C4346" s="2" t="str">
        <f ca="1">IFERROR(__xludf.DUMMYFUNCTION("GOOGLETRANSLATE(A4346,""bn"",""en"")"),"The toaster's heating elements burn one side of the uneven bread")</f>
        <v>The toaster's heating elements burn one side of the uneven bread</v>
      </c>
    </row>
    <row r="4347" spans="1:3" ht="15.75" customHeight="1" x14ac:dyDescent="0.25">
      <c r="A4347" s="2" t="s">
        <v>4349</v>
      </c>
      <c r="B4347" s="3" t="s">
        <v>6</v>
      </c>
      <c r="C4347" s="2" t="str">
        <f ca="1">IFERROR(__xludf.DUMMYFUNCTION("GOOGLETRANSLATE(A4347,""bn"",""en"")"),"The fabric feels like sandpaper against the skin and is extremely uncomfortable")</f>
        <v>The fabric feels like sandpaper against the skin and is extremely uncomfortable</v>
      </c>
    </row>
    <row r="4348" spans="1:3" ht="15.75" customHeight="1" x14ac:dyDescent="0.25">
      <c r="A4348" s="2" t="s">
        <v>4350</v>
      </c>
      <c r="B4348" s="3" t="s">
        <v>4</v>
      </c>
      <c r="C4348" s="2" t="str">
        <f ca="1">IFERROR(__xludf.DUMMYFUNCTION("GOOGLETRANSLATE(A4348,""bn"",""en"")"),"Birds are always singing in our garden")</f>
        <v>Birds are always singing in our garden</v>
      </c>
    </row>
    <row r="4349" spans="1:3" ht="15.75" customHeight="1" x14ac:dyDescent="0.25">
      <c r="A4349" s="2" t="s">
        <v>4351</v>
      </c>
      <c r="B4349" s="3" t="s">
        <v>4</v>
      </c>
      <c r="C4349" s="2" t="str">
        <f ca="1">IFERROR(__xludf.DUMMYFUNCTION("GOOGLETRANSLATE(A4349,""bn"",""en"")"),"The hair became very silky after using the shampoo")</f>
        <v>The hair became very silky after using the shampoo</v>
      </c>
    </row>
    <row r="4350" spans="1:3" ht="15.75" customHeight="1" x14ac:dyDescent="0.25">
      <c r="A4350" s="2" t="s">
        <v>4352</v>
      </c>
      <c r="B4350" s="3" t="s">
        <v>6</v>
      </c>
      <c r="C4350" s="2" t="str">
        <f ca="1">IFERROR(__xludf.DUMMYFUNCTION("GOOGLETRANSLATE(A4350,""bn"",""en"")")," Outer pockets are not deep enough to keep items safe")</f>
        <v xml:space="preserve"> Outer pockets are not deep enough to keep items safe</v>
      </c>
    </row>
    <row r="4351" spans="1:3" ht="15.75" customHeight="1" x14ac:dyDescent="0.25">
      <c r="A4351" s="2" t="s">
        <v>4353</v>
      </c>
      <c r="B4351" s="3" t="s">
        <v>2</v>
      </c>
      <c r="C4351" s="2" t="str">
        <f ca="1">IFERROR(__xludf.DUMMYFUNCTION("GOOGLETRANSLATE(A4351,""bn"",""en"")"),"Some of the darker beads may glow and some may not")</f>
        <v>Some of the darker beads may glow and some may not</v>
      </c>
    </row>
    <row r="4352" spans="1:3" ht="15.75" customHeight="1" x14ac:dyDescent="0.25">
      <c r="A4352" s="2" t="s">
        <v>4354</v>
      </c>
      <c r="B4352" s="3" t="s">
        <v>6</v>
      </c>
      <c r="C4352" s="2" t="str">
        <f ca="1">IFERROR(__xludf.DUMMYFUNCTION("GOOGLETRANSLATE(A4352,""bn"",""en"")"),"Brushes leave lines and marks on the canvas")</f>
        <v>Brushes leave lines and marks on the canvas</v>
      </c>
    </row>
    <row r="4353" spans="1:3" ht="15.75" customHeight="1" x14ac:dyDescent="0.25">
      <c r="A4353" s="2" t="s">
        <v>4355</v>
      </c>
      <c r="B4353" s="3" t="s">
        <v>4</v>
      </c>
      <c r="C4353" s="2" t="str">
        <f ca="1">IFERROR(__xludf.DUMMYFUNCTION("GOOGLETRANSLATE(A4353,""bn"",""en"")"),"Finally the perfect charger for my car")</f>
        <v>Finally the perfect charger for my car</v>
      </c>
    </row>
    <row r="4354" spans="1:3" ht="15.75" customHeight="1" x14ac:dyDescent="0.25">
      <c r="A4354" s="2" t="s">
        <v>4356</v>
      </c>
      <c r="B4354" s="3" t="s">
        <v>2</v>
      </c>
      <c r="C4354" s="2" t="str">
        <f ca="1">IFERROR(__xludf.DUMMYFUNCTION("GOOGLETRANSLATE(A4354,""bn"",""en"")"),"Outstanding for the price but room for improvement in some areas")</f>
        <v>Outstanding for the price but room for improvement in some areas</v>
      </c>
    </row>
    <row r="4355" spans="1:3" ht="15.75" customHeight="1" x14ac:dyDescent="0.25">
      <c r="A4355" s="2" t="s">
        <v>4357</v>
      </c>
      <c r="B4355" s="3" t="s">
        <v>2</v>
      </c>
      <c r="C4355" s="2" t="str">
        <f ca="1">IFERROR(__xludf.DUMMYFUNCTION("GOOGLETRANSLATE(A4355,""bn"",""en"")"),"The digital luggage scale works but the battery drains quickly")</f>
        <v>The digital luggage scale works but the battery drains quickly</v>
      </c>
    </row>
    <row r="4356" spans="1:3" ht="15.75" customHeight="1" x14ac:dyDescent="0.25">
      <c r="A4356" s="2" t="s">
        <v>4358</v>
      </c>
      <c r="B4356" s="3" t="s">
        <v>6</v>
      </c>
      <c r="C4356" s="2" t="str">
        <f ca="1">IFERROR(__xludf.DUMMYFUNCTION("GOOGLETRANSLATE(A4356,""bn"",""en"")")," The charging cable is too short, limiting the flexibility users have to be close to a power source when recharging")</f>
        <v xml:space="preserve"> The charging cable is too short, limiting the flexibility users have to be close to a power source when recharging</v>
      </c>
    </row>
    <row r="4357" spans="1:3" ht="15.75" customHeight="1" x14ac:dyDescent="0.25">
      <c r="A4357" s="2" t="s">
        <v>4359</v>
      </c>
      <c r="B4357" s="3" t="s">
        <v>6</v>
      </c>
      <c r="C4357" s="2" t="str">
        <f ca="1">IFERROR(__xludf.DUMMYFUNCTION("GOOGLETRANSLATE(A4357,""bn"",""en"")"),"The illustrations are disappointingly inadequate and unworldly")</f>
        <v>The illustrations are disappointingly inadequate and unworldly</v>
      </c>
    </row>
    <row r="4358" spans="1:3" ht="15.75" customHeight="1" x14ac:dyDescent="0.25">
      <c r="A4358" s="2" t="s">
        <v>4360</v>
      </c>
      <c r="B4358" s="3" t="s">
        <v>6</v>
      </c>
      <c r="C4358" s="2" t="str">
        <f ca="1">IFERROR(__xludf.DUMMYFUNCTION("GOOGLETRANSLATE(A4358,""bn"",""en"")"),"The texturizing spray left my hair feeling sticky and stiff")</f>
        <v>The texturizing spray left my hair feeling sticky and stiff</v>
      </c>
    </row>
    <row r="4359" spans="1:3" ht="15.75" customHeight="1" x14ac:dyDescent="0.25">
      <c r="A4359" s="2" t="s">
        <v>4361</v>
      </c>
      <c r="B4359" s="3" t="s">
        <v>6</v>
      </c>
      <c r="C4359" s="2" t="str">
        <f ca="1">IFERROR(__xludf.DUMMYFUNCTION("GOOGLETRANSLATE(A4359,""bn"",""en"")"),"Hair dryer airflow is weak and hair takes longer to dry")</f>
        <v>Hair dryer airflow is weak and hair takes longer to dry</v>
      </c>
    </row>
    <row r="4360" spans="1:3" ht="15.75" customHeight="1" x14ac:dyDescent="0.25">
      <c r="A4360" s="2" t="s">
        <v>4362</v>
      </c>
      <c r="B4360" s="3" t="s">
        <v>2</v>
      </c>
      <c r="C4360" s="2" t="str">
        <f ca="1">IFERROR(__xludf.DUMMYFUNCTION("GOOGLETRANSLATE(A4360,""bn"",""en"")"),"Uncertainty about longevity after only a few uses")</f>
        <v>Uncertainty about longevity after only a few uses</v>
      </c>
    </row>
    <row r="4361" spans="1:3" ht="15.75" customHeight="1" x14ac:dyDescent="0.25">
      <c r="A4361" s="2" t="s">
        <v>4363</v>
      </c>
      <c r="B4361" s="3" t="s">
        <v>4</v>
      </c>
      <c r="C4361" s="2" t="str">
        <f ca="1">IFERROR(__xludf.DUMMYFUNCTION("GOOGLETRANSLATE(A4361,""bn"",""en"")"),"The tops of the pillows are so soft that I can often sleep without a pillow cover")</f>
        <v>The tops of the pillows are so soft that I can often sleep without a pillow cover</v>
      </c>
    </row>
    <row r="4362" spans="1:3" ht="15.75" customHeight="1" x14ac:dyDescent="0.25">
      <c r="A4362" s="2" t="s">
        <v>4364</v>
      </c>
      <c r="B4362" s="3" t="s">
        <v>2</v>
      </c>
      <c r="C4362" s="2" t="str">
        <f ca="1">IFERROR(__xludf.DUMMYFUNCTION("GOOGLETRANSLATE(A4362,""bn"",""en"")"),"Hope it will be easy to get hold of")</f>
        <v>Hope it will be easy to get hold of</v>
      </c>
    </row>
    <row r="4363" spans="1:3" ht="15.75" customHeight="1" x14ac:dyDescent="0.25">
      <c r="A4363" s="2" t="s">
        <v>4365</v>
      </c>
      <c r="B4363" s="3" t="s">
        <v>2</v>
      </c>
      <c r="C4363" s="2" t="str">
        <f ca="1">IFERROR(__xludf.DUMMYFUNCTION("GOOGLETRANSLATE(A4363,""bn"",""en"")"),"Easy to carry in bag")</f>
        <v>Easy to carry in bag</v>
      </c>
    </row>
    <row r="4364" spans="1:3" ht="15.75" customHeight="1" x14ac:dyDescent="0.25">
      <c r="A4364" s="2" t="s">
        <v>4366</v>
      </c>
      <c r="B4364" s="3" t="s">
        <v>4</v>
      </c>
      <c r="C4364" s="2" t="str">
        <f ca="1">IFERROR(__xludf.DUMMYFUNCTION("GOOGLETRANSLATE(A4364,""bn"",""en"")"),"The wireless charger works fast and reliably")</f>
        <v>The wireless charger works fast and reliably</v>
      </c>
    </row>
    <row r="4365" spans="1:3" ht="15.75" customHeight="1" x14ac:dyDescent="0.25">
      <c r="A4365" s="2" t="s">
        <v>4367</v>
      </c>
      <c r="B4365" s="3" t="s">
        <v>2</v>
      </c>
      <c r="C4365" s="2" t="str">
        <f ca="1">IFERROR(__xludf.DUMMYFUNCTION("GOOGLETRANSLATE(A4365,""bn"",""en"")"),"Be careful while filling the water")</f>
        <v>Be careful while filling the water</v>
      </c>
    </row>
    <row r="4366" spans="1:3" ht="15.75" customHeight="1" x14ac:dyDescent="0.25">
      <c r="A4366" s="2" t="s">
        <v>4368</v>
      </c>
      <c r="B4366" s="3" t="s">
        <v>4</v>
      </c>
      <c r="C4366" s="2" t="str">
        <f ca="1">IFERROR(__xludf.DUMMYFUNCTION("GOOGLETRANSLATE(A4366,""bn"",""en"")"),"My phone charges very fast which saves me time")</f>
        <v>My phone charges very fast which saves me time</v>
      </c>
    </row>
    <row r="4367" spans="1:3" ht="15.75" customHeight="1" x14ac:dyDescent="0.25">
      <c r="A4367" s="2" t="s">
        <v>4369</v>
      </c>
      <c r="B4367" s="3" t="s">
        <v>2</v>
      </c>
      <c r="C4367" s="2" t="str">
        <f ca="1">IFERROR(__xludf.DUMMYFUNCTION("GOOGLETRANSLATE(A4367,""bn"",""en"")"),"Retains the taste of food but not for long")</f>
        <v>Retains the taste of food but not for long</v>
      </c>
    </row>
    <row r="4368" spans="1:3" ht="15.75" customHeight="1" x14ac:dyDescent="0.25">
      <c r="A4368" s="2" t="s">
        <v>4370</v>
      </c>
      <c r="B4368" s="3" t="s">
        <v>6</v>
      </c>
      <c r="C4368" s="2" t="str">
        <f ca="1">IFERROR(__xludf.DUMMYFUNCTION("GOOGLETRANSLATE(A4368,""bn"",""en"")"),"Sad purchase is unstable and weak")</f>
        <v>Sad purchase is unstable and weak</v>
      </c>
    </row>
    <row r="4369" spans="1:3" ht="15.75" customHeight="1" x14ac:dyDescent="0.25">
      <c r="A4369" s="2" t="s">
        <v>4371</v>
      </c>
      <c r="B4369" s="3" t="s">
        <v>4</v>
      </c>
      <c r="C4369" s="2" t="str">
        <f ca="1">IFERROR(__xludf.DUMMYFUNCTION("GOOGLETRANSLATE(A4369,""bn"",""en"")"),"A mix of modern and classic designs")</f>
        <v>A mix of modern and classic designs</v>
      </c>
    </row>
    <row r="4370" spans="1:3" ht="15.75" customHeight="1" x14ac:dyDescent="0.25">
      <c r="A4370" s="2" t="s">
        <v>4372</v>
      </c>
      <c r="B4370" s="3" t="s">
        <v>4</v>
      </c>
      <c r="C4370" s="2" t="str">
        <f ca="1">IFERROR(__xludf.DUMMYFUNCTION("GOOGLETRANSLATE(A4370,""bn"",""en"")"),"No fear of overturning in the wind, its sturdy structure withstands any weather")</f>
        <v>No fear of overturning in the wind, its sturdy structure withstands any weather</v>
      </c>
    </row>
    <row r="4371" spans="1:3" ht="15.75" customHeight="1" x14ac:dyDescent="0.25">
      <c r="A4371" s="2" t="s">
        <v>4373</v>
      </c>
      <c r="B4371" s="3" t="s">
        <v>4</v>
      </c>
      <c r="C4371" s="2" t="str">
        <f ca="1">IFERROR(__xludf.DUMMYFUNCTION("GOOGLETRANSLATE(A4371,""bn"",""en"")"),"The intensity of the wind can be easily controlled")</f>
        <v>The intensity of the wind can be easily controlled</v>
      </c>
    </row>
    <row r="4372" spans="1:3" ht="15.75" customHeight="1" x14ac:dyDescent="0.25">
      <c r="A4372" s="2" t="s">
        <v>4374</v>
      </c>
      <c r="B4372" s="3" t="s">
        <v>6</v>
      </c>
      <c r="C4372" s="2" t="str">
        <f ca="1">IFERROR(__xludf.DUMMYFUNCTION("GOOGLETRANSLATE(A4372,""bn"",""en"")"),"Cheap materials make it feel flimsy and disposable")</f>
        <v>Cheap materials make it feel flimsy and disposable</v>
      </c>
    </row>
    <row r="4373" spans="1:3" ht="15.75" customHeight="1" x14ac:dyDescent="0.25">
      <c r="A4373" s="2" t="s">
        <v>4375</v>
      </c>
      <c r="B4373" s="3" t="s">
        <v>6</v>
      </c>
      <c r="C4373" s="2" t="str">
        <f ca="1">IFERROR(__xludf.DUMMYFUNCTION("GOOGLETRANSLATE(A4373,""bn"",""en"")"),"The cups were too big making it hard to hold them")</f>
        <v>The cups were too big making it hard to hold them</v>
      </c>
    </row>
    <row r="4374" spans="1:3" ht="15.75" customHeight="1" x14ac:dyDescent="0.25">
      <c r="A4374" s="2" t="s">
        <v>4376</v>
      </c>
      <c r="B4374" s="3" t="s">
        <v>4</v>
      </c>
      <c r="C4374" s="2" t="str">
        <f ca="1">IFERROR(__xludf.DUMMYFUNCTION("GOOGLETRANSLATE(A4374,""bn"",""en"")"),"If I am going to give its ratings, I will give you can definitely take it")</f>
        <v>If I am going to give its ratings, I will give you can definitely take it</v>
      </c>
    </row>
    <row r="4375" spans="1:3" ht="15.75" customHeight="1" x14ac:dyDescent="0.25">
      <c r="A4375" s="2" t="s">
        <v>4377</v>
      </c>
      <c r="B4375" s="3" t="s">
        <v>6</v>
      </c>
      <c r="C4375" s="2" t="str">
        <f ca="1">IFERROR(__xludf.DUMMYFUNCTION("GOOGLETRANSLATE(A4375,""bn"",""en"")"),"Power bank capacity degrades rapidly over time losing its ability to hold a full charge")</f>
        <v>Power bank capacity degrades rapidly over time losing its ability to hold a full charge</v>
      </c>
    </row>
    <row r="4376" spans="1:3" ht="15.75" customHeight="1" x14ac:dyDescent="0.25">
      <c r="A4376" s="2" t="s">
        <v>4378</v>
      </c>
      <c r="B4376" s="3" t="s">
        <v>4</v>
      </c>
      <c r="C4376" s="2" t="str">
        <f ca="1">IFERROR(__xludf.DUMMYFUNCTION("GOOGLETRANSLATE(A4376,""bn"",""en"")"),"The mobile phone charges very fast")</f>
        <v>The mobile phone charges very fast</v>
      </c>
    </row>
    <row r="4377" spans="1:3" ht="15.75" customHeight="1" x14ac:dyDescent="0.25">
      <c r="A4377" s="2" t="s">
        <v>4379</v>
      </c>
      <c r="B4377" s="3" t="s">
        <v>2</v>
      </c>
      <c r="C4377" s="2" t="str">
        <f ca="1">IFERROR(__xludf.DUMMYFUNCTION("GOOGLETRANSLATE(A4377,""bn"",""en"")"),"Playdo arrived half dry")</f>
        <v>Playdo arrived half dry</v>
      </c>
    </row>
    <row r="4378" spans="1:3" ht="15.75" customHeight="1" x14ac:dyDescent="0.25">
      <c r="A4378" s="2" t="s">
        <v>4380</v>
      </c>
      <c r="B4378" s="3" t="s">
        <v>6</v>
      </c>
      <c r="C4378" s="2" t="str">
        <f ca="1">IFERROR(__xludf.DUMMYFUNCTION("GOOGLETRANSLATE(A4378,""bn"",""en"")"),"Inadequate cushioning disappoints performance")</f>
        <v>Inadequate cushioning disappoints performance</v>
      </c>
    </row>
    <row r="4379" spans="1:3" ht="15.75" customHeight="1" x14ac:dyDescent="0.25">
      <c r="A4379" s="2" t="s">
        <v>4381</v>
      </c>
      <c r="B4379" s="3" t="s">
        <v>4</v>
      </c>
      <c r="C4379" s="2" t="str">
        <f ca="1">IFERROR(__xludf.DUMMYFUNCTION("GOOGLETRANSLATE(A4379,""bn"",""en"")"),"The shelves inside the cupboard are easily removable which is convenient for storing books of different sizes")</f>
        <v>The shelves inside the cupboard are easily removable which is convenient for storing books of different sizes</v>
      </c>
    </row>
    <row r="4380" spans="1:3" ht="15.75" customHeight="1" x14ac:dyDescent="0.25">
      <c r="A4380" s="2" t="s">
        <v>4382</v>
      </c>
      <c r="B4380" s="3" t="s">
        <v>2</v>
      </c>
      <c r="C4380" s="2" t="str">
        <f ca="1">IFERROR(__xludf.DUMMYFUNCTION("GOOGLETRANSLATE(A4380,""bn"",""en"")"),"The dryer works quickly but can overheat at times ")</f>
        <v xml:space="preserve">The dryer works quickly but can overheat at times </v>
      </c>
    </row>
    <row r="4381" spans="1:3" ht="15.75" customHeight="1" x14ac:dyDescent="0.25">
      <c r="A4381" s="2" t="s">
        <v>4383</v>
      </c>
      <c r="B4381" s="3" t="s">
        <v>4</v>
      </c>
      <c r="C4381" s="2" t="str">
        <f ca="1">IFERROR(__xludf.DUMMYFUNCTION("GOOGLETRANSLATE(A4381,""bn"",""en"")"),"Discover something new every time")</f>
        <v>Discover something new every time</v>
      </c>
    </row>
    <row r="4382" spans="1:3" ht="15.75" customHeight="1" x14ac:dyDescent="0.25">
      <c r="A4382" s="2" t="s">
        <v>4384</v>
      </c>
      <c r="B4382" s="3" t="s">
        <v>6</v>
      </c>
      <c r="C4382" s="2" t="str">
        <f ca="1">IFERROR(__xludf.DUMMYFUNCTION("GOOGLETRANSLATE(A4382,""bn"",""en"")"),"Getting a dress with a dirty doll is totally unsanitary")</f>
        <v>Getting a dress with a dirty doll is totally unsanitary</v>
      </c>
    </row>
    <row r="4383" spans="1:3" ht="15.75" customHeight="1" x14ac:dyDescent="0.25">
      <c r="A4383" s="2" t="s">
        <v>4385</v>
      </c>
      <c r="B4383" s="3" t="s">
        <v>2</v>
      </c>
      <c r="C4383" s="2" t="str">
        <f ca="1">IFERROR(__xludf.DUMMYFUNCTION("GOOGLETRANSLATE(A4383,""bn"",""en"")"),"Expectations were not high and it did not exceed those expectations")</f>
        <v>Expectations were not high and it did not exceed those expectations</v>
      </c>
    </row>
    <row r="4384" spans="1:3" ht="15.75" customHeight="1" x14ac:dyDescent="0.25">
      <c r="A4384" s="2" t="s">
        <v>4386</v>
      </c>
      <c r="B4384" s="3" t="s">
        <v>2</v>
      </c>
      <c r="C4384" s="2" t="str">
        <f ca="1">IFERROR(__xludf.DUMMYFUNCTION("GOOGLETRANSLATE(A4384,""bn"",""en"")"),"I recently bought this laptop charger and after using it my experience is fair")</f>
        <v>I recently bought this laptop charger and after using it my experience is fair</v>
      </c>
    </row>
    <row r="4385" spans="1:3" ht="15.75" customHeight="1" x14ac:dyDescent="0.25">
      <c r="A4385" s="2" t="s">
        <v>4387</v>
      </c>
      <c r="B4385" s="3" t="s">
        <v>4</v>
      </c>
      <c r="C4385" s="2" t="str">
        <f ca="1">IFERROR(__xludf.DUMMYFUNCTION("GOOGLETRANSLATE(A4385,""bn"",""en"")"),"The makeup brush is comfortable in the hand")</f>
        <v>The makeup brush is comfortable in the hand</v>
      </c>
    </row>
    <row r="4386" spans="1:3" ht="15.75" customHeight="1" x14ac:dyDescent="0.25">
      <c r="A4386" s="2" t="s">
        <v>4388</v>
      </c>
      <c r="B4386" s="3" t="s">
        <v>4</v>
      </c>
      <c r="C4386" s="2" t="str">
        <f ca="1">IFERROR(__xludf.DUMMYFUNCTION("GOOGLETRANSLATE(A4386,""bn"",""en"")"),"Listening to music on these speakers is better than using expensive headphones")</f>
        <v>Listening to music on these speakers is better than using expensive headphones</v>
      </c>
    </row>
    <row r="4387" spans="1:3" ht="15.75" customHeight="1" x14ac:dyDescent="0.25">
      <c r="A4387" s="2" t="s">
        <v>4389</v>
      </c>
      <c r="B4387" s="3" t="s">
        <v>2</v>
      </c>
      <c r="C4387" s="2" t="str">
        <f ca="1">IFERROR(__xludf.DUMMYFUNCTION("GOOGLETRANSLATE(A4387,""bn"",""en"")"),"It feels quite refreshing in the mouth but after a while the taste seems a bit too strong")</f>
        <v>It feels quite refreshing in the mouth but after a while the taste seems a bit too strong</v>
      </c>
    </row>
    <row r="4388" spans="1:3" ht="15.75" customHeight="1" x14ac:dyDescent="0.25">
      <c r="A4388" s="2" t="s">
        <v>4390</v>
      </c>
      <c r="B4388" s="3" t="s">
        <v>2</v>
      </c>
      <c r="C4388" s="2" t="str">
        <f ca="1">IFERROR(__xludf.DUMMYFUNCTION("GOOGLETRANSLATE(A4388,""bn"",""en"")"),"Socks can be slightly thicker on the thinner side")</f>
        <v>Socks can be slightly thicker on the thinner side</v>
      </c>
    </row>
    <row r="4389" spans="1:3" ht="15.75" customHeight="1" x14ac:dyDescent="0.25">
      <c r="A4389" s="2" t="s">
        <v>4391</v>
      </c>
      <c r="B4389" s="3" t="s">
        <v>4</v>
      </c>
      <c r="C4389" s="2" t="str">
        <f ca="1">IFERROR(__xludf.DUMMYFUNCTION("GOOGLETRANSLATE(A4389,""bn"",""en"")"),"I enjoyed reading the book")</f>
        <v>I enjoyed reading the book</v>
      </c>
    </row>
    <row r="4390" spans="1:3" ht="15.75" customHeight="1" x14ac:dyDescent="0.25">
      <c r="A4390" s="2" t="s">
        <v>4392</v>
      </c>
      <c r="B4390" s="3" t="s">
        <v>4</v>
      </c>
      <c r="C4390" s="2" t="str">
        <f ca="1">IFERROR(__xludf.DUMMYFUNCTION("GOOGLETRANSLATE(A4390,""bn"",""en"")"),"The writing style is very plain")</f>
        <v>The writing style is very plain</v>
      </c>
    </row>
    <row r="4391" spans="1:3" ht="15.75" customHeight="1" x14ac:dyDescent="0.25">
      <c r="A4391" s="2" t="s">
        <v>4393</v>
      </c>
      <c r="B4391" s="3" t="s">
        <v>4</v>
      </c>
      <c r="C4391" s="2" t="str">
        <f ca="1">IFERROR(__xludf.DUMMYFUNCTION("GOOGLETRANSLATE(A4391,""bn"",""en"")"),"The soap maintains the pH level of the skin")</f>
        <v>The soap maintains the pH level of the skin</v>
      </c>
    </row>
    <row r="4392" spans="1:3" ht="15.75" customHeight="1" x14ac:dyDescent="0.25">
      <c r="A4392" s="2" t="s">
        <v>4394</v>
      </c>
      <c r="B4392" s="3" t="s">
        <v>2</v>
      </c>
      <c r="C4392" s="2" t="str">
        <f ca="1">IFERROR(__xludf.DUMMYFUNCTION("GOOGLETRANSLATE(A4392,""bn"",""en"")"),"Available in various sizes but not particularly attractive in design")</f>
        <v>Available in various sizes but not particularly attractive in design</v>
      </c>
    </row>
    <row r="4393" spans="1:3" ht="15.75" customHeight="1" x14ac:dyDescent="0.25">
      <c r="A4393" s="2" t="s">
        <v>4395</v>
      </c>
      <c r="B4393" s="3" t="s">
        <v>6</v>
      </c>
      <c r="C4393" s="2" t="str">
        <f ca="1">IFERROR(__xludf.DUMMYFUNCTION("GOOGLETRANSLATE(A4393,""bn"",""en"")"),"Lack of quality control has reduced quality")</f>
        <v>Lack of quality control has reduced quality</v>
      </c>
    </row>
    <row r="4394" spans="1:3" ht="15.75" customHeight="1" x14ac:dyDescent="0.25">
      <c r="A4394" s="2" t="s">
        <v>4396</v>
      </c>
      <c r="B4394" s="3" t="s">
        <v>2</v>
      </c>
      <c r="C4394" s="2" t="str">
        <f ca="1">IFERROR(__xludf.DUMMYFUNCTION("GOOGLETRANSLATE(A4394,""bn"",""en"")"),"Delicious but the taste is a bit too dark")</f>
        <v>Delicious but the taste is a bit too dark</v>
      </c>
    </row>
    <row r="4395" spans="1:3" ht="15.75" customHeight="1" x14ac:dyDescent="0.25">
      <c r="A4395" s="2" t="s">
        <v>4397</v>
      </c>
      <c r="B4395" s="3" t="s">
        <v>4</v>
      </c>
      <c r="C4395" s="2" t="str">
        <f ca="1">IFERROR(__xludf.DUMMYFUNCTION("GOOGLETRANSLATE(A4395,""bn"",""en"")"),"Best gaming performance and quality")</f>
        <v>Best gaming performance and quality</v>
      </c>
    </row>
    <row r="4396" spans="1:3" ht="15.75" customHeight="1" x14ac:dyDescent="0.25">
      <c r="A4396" s="2" t="s">
        <v>4398</v>
      </c>
      <c r="B4396" s="3" t="s">
        <v>4</v>
      </c>
      <c r="C4396" s="2" t="str">
        <f ca="1">IFERROR(__xludf.DUMMYFUNCTION("GOOGLETRANSLATE(A4396,""bn"",""en"")"),"This body wash reduces skin redness")</f>
        <v>This body wash reduces skin redness</v>
      </c>
    </row>
    <row r="4397" spans="1:3" ht="15.75" customHeight="1" x14ac:dyDescent="0.25">
      <c r="A4397" s="2" t="s">
        <v>4399</v>
      </c>
      <c r="B4397" s="3" t="s">
        <v>6</v>
      </c>
      <c r="C4397" s="2" t="str">
        <f ca="1">IFERROR(__xludf.DUMMYFUNCTION("GOOGLETRANSLATE(A4397,""bn"",""en"")")," The carrier buckles are stiff making it difficult to fasten securely")</f>
        <v xml:space="preserve"> The carrier buckles are stiff making it difficult to fasten securely</v>
      </c>
    </row>
    <row r="4398" spans="1:3" ht="15.75" customHeight="1" x14ac:dyDescent="0.25">
      <c r="A4398" s="2" t="s">
        <v>4400</v>
      </c>
      <c r="B4398" s="3" t="s">
        <v>6</v>
      </c>
      <c r="C4398" s="2" t="str">
        <f ca="1">IFERROR(__xludf.DUMMYFUNCTION("GOOGLETRANSLATE(A4398,""bn"",""en"")"),"The fragrance was artificial and bore no resemblance to the advertised fragrance")</f>
        <v>The fragrance was artificial and bore no resemblance to the advertised fragrance</v>
      </c>
    </row>
    <row r="4399" spans="1:3" ht="15.75" customHeight="1" x14ac:dyDescent="0.25">
      <c r="A4399" s="2" t="s">
        <v>4401</v>
      </c>
      <c r="B4399" s="3" t="s">
        <v>4</v>
      </c>
      <c r="C4399" s="2" t="str">
        <f ca="1">IFERROR(__xludf.DUMMYFUNCTION("GOOGLETRANSLATE(A4399,""bn"",""en"")"),"The girl spends time in the garden every afternoon")</f>
        <v>The girl spends time in the garden every afternoon</v>
      </c>
    </row>
    <row r="4400" spans="1:3" ht="15.75" customHeight="1" x14ac:dyDescent="0.25">
      <c r="A4400" s="2" t="s">
        <v>4402</v>
      </c>
      <c r="B4400" s="3" t="s">
        <v>6</v>
      </c>
      <c r="C4400" s="2" t="str">
        <f ca="1">IFERROR(__xludf.DUMMYFUNCTION("GOOGLETRANSLATE(A4400,""bn"",""en"")"),"Not leak proof and not completely safe for storing liquids")</f>
        <v>Not leak proof and not completely safe for storing liquids</v>
      </c>
    </row>
    <row r="4401" spans="1:3" ht="15.75" customHeight="1" x14ac:dyDescent="0.25">
      <c r="A4401" s="2" t="s">
        <v>4403</v>
      </c>
      <c r="B4401" s="3" t="s">
        <v>4</v>
      </c>
      <c r="C4401" s="2" t="str">
        <f ca="1">IFERROR(__xludf.DUMMYFUNCTION("GOOGLETRANSLATE(A4401,""bn"",""en"")"),"The design of the vase goes well with the artificial flowers")</f>
        <v>The design of the vase goes well with the artificial flowers</v>
      </c>
    </row>
    <row r="4402" spans="1:3" ht="15.75" customHeight="1" x14ac:dyDescent="0.25">
      <c r="A4402" s="2" t="s">
        <v>4404</v>
      </c>
      <c r="B4402" s="3" t="s">
        <v>6</v>
      </c>
      <c r="C4402" s="2" t="str">
        <f ca="1">IFERROR(__xludf.DUMMYFUNCTION("GOOGLETRANSLATE(A4402,""bn"",""en"")")," The speakers emit a high-pitched hiss especially during quiet scenes")</f>
        <v xml:space="preserve"> The speakers emit a high-pitched hiss especially during quiet scenes</v>
      </c>
    </row>
    <row r="4403" spans="1:3" ht="15.75" customHeight="1" x14ac:dyDescent="0.25">
      <c r="A4403" s="2" t="s">
        <v>4405</v>
      </c>
      <c r="B4403" s="3" t="s">
        <v>6</v>
      </c>
      <c r="C4403" s="2" t="str">
        <f ca="1">IFERROR(__xludf.DUMMYFUNCTION("GOOGLETRANSLATE(A4403,""bn"",""en"")"),"Frustrated by repeated quality issues")</f>
        <v>Frustrated by repeated quality issues</v>
      </c>
    </row>
    <row r="4404" spans="1:3" ht="15.75" customHeight="1" x14ac:dyDescent="0.25">
      <c r="A4404" s="2" t="s">
        <v>4406</v>
      </c>
      <c r="B4404" s="3" t="s">
        <v>6</v>
      </c>
      <c r="C4404" s="2" t="str">
        <f ca="1">IFERROR(__xludf.DUMMYFUNCTION("GOOGLETRANSLATE(A4404,""bn"",""en"")"),"Dirty surprise ruined embarrassing gift")</f>
        <v>Dirty surprise ruined embarrassing gift</v>
      </c>
    </row>
    <row r="4405" spans="1:3" ht="15.75" customHeight="1" x14ac:dyDescent="0.25">
      <c r="A4405" s="2" t="s">
        <v>4407</v>
      </c>
      <c r="B4405" s="3" t="s">
        <v>4</v>
      </c>
      <c r="C4405" s="2" t="str">
        <f ca="1">IFERROR(__xludf.DUMMYFUNCTION("GOOGLETRANSLATE(A4405,""bn"",""en"")"),"It is very good to eat")</f>
        <v>It is very good to eat</v>
      </c>
    </row>
    <row r="4406" spans="1:3" ht="15.75" customHeight="1" x14ac:dyDescent="0.25">
      <c r="A4406" s="2" t="s">
        <v>4408</v>
      </c>
      <c r="B4406" s="3" t="s">
        <v>6</v>
      </c>
      <c r="C4406" s="2" t="str">
        <f ca="1">IFERROR(__xludf.DUMMYFUNCTION("GOOGLETRANSLATE(A4406,""bn"",""en"")")," Door does not close securely allowing heat to escape during cooking")</f>
        <v xml:space="preserve"> Door does not close securely allowing heat to escape during cooking</v>
      </c>
    </row>
    <row r="4407" spans="1:3" ht="15.75" customHeight="1" x14ac:dyDescent="0.25">
      <c r="A4407" s="2" t="s">
        <v>4409</v>
      </c>
      <c r="B4407" s="3" t="s">
        <v>6</v>
      </c>
      <c r="C4407" s="2" t="str">
        <f ca="1">IFERROR(__xludf.DUMMYFUNCTION("GOOGLETRANSLATE(A4407,""bn"",""en"")"),"The length of the brushes was uneven which affected the accuracy of the painting")</f>
        <v>The length of the brushes was uneven which affected the accuracy of the painting</v>
      </c>
    </row>
    <row r="4408" spans="1:3" ht="15.75" customHeight="1" x14ac:dyDescent="0.25">
      <c r="A4408" s="2" t="s">
        <v>4410</v>
      </c>
      <c r="B4408" s="3" t="s">
        <v>4</v>
      </c>
      <c r="C4408" s="2" t="str">
        <f ca="1">IFERROR(__xludf.DUMMYFUNCTION("GOOGLETRANSLATE(A4408,""bn"",""en"")"),"The phone was good from the start")</f>
        <v>The phone was good from the start</v>
      </c>
    </row>
    <row r="4409" spans="1:3" ht="15.75" customHeight="1" x14ac:dyDescent="0.25">
      <c r="A4409" s="2" t="s">
        <v>4411</v>
      </c>
      <c r="B4409" s="3" t="s">
        <v>6</v>
      </c>
      <c r="C4409" s="2" t="str">
        <f ca="1">IFERROR(__xludf.DUMMYFUNCTION("GOOGLETRANSLATE(A4409,""bn"",""en"")"),"The mascara wand is too big making it difficult to reach the inner lashes")</f>
        <v>The mascara wand is too big making it difficult to reach the inner lashes</v>
      </c>
    </row>
    <row r="4410" spans="1:3" ht="15.75" customHeight="1" x14ac:dyDescent="0.25">
      <c r="A4410" s="2" t="s">
        <v>4412</v>
      </c>
      <c r="B4410" s="3" t="s">
        <v>4</v>
      </c>
      <c r="C4410" s="2" t="str">
        <f ca="1">IFERROR(__xludf.DUMMYFUNCTION("GOOGLETRANSLATE(A4410,""bn"",""en"")"),"The sound quality remains consistently excellent no matter what type of music is played")</f>
        <v>The sound quality remains consistently excellent no matter what type of music is played</v>
      </c>
    </row>
    <row r="4411" spans="1:3" ht="15.75" customHeight="1" x14ac:dyDescent="0.25">
      <c r="A4411" s="2" t="s">
        <v>4413</v>
      </c>
      <c r="B4411" s="3" t="s">
        <v>2</v>
      </c>
      <c r="C4411" s="2" t="str">
        <f ca="1">IFERROR(__xludf.DUMMYFUNCTION("GOOGLETRANSLATE(A4411,""bn"",""en"")"),"Good in some areas but room for improvement")</f>
        <v>Good in some areas but room for improvement</v>
      </c>
    </row>
    <row r="4412" spans="1:3" ht="15.75" customHeight="1" x14ac:dyDescent="0.25">
      <c r="A4412" s="2" t="s">
        <v>4414</v>
      </c>
      <c r="B4412" s="3" t="s">
        <v>2</v>
      </c>
      <c r="C4412" s="2" t="str">
        <f ca="1">IFERROR(__xludf.DUMMYFUNCTION("GOOGLETRANSLATE(A4412,""bn"",""en"")"),"Super cool but some pieces are not useful")</f>
        <v>Super cool but some pieces are not useful</v>
      </c>
    </row>
    <row r="4413" spans="1:3" ht="15.75" customHeight="1" x14ac:dyDescent="0.25">
      <c r="A4413" s="2" t="s">
        <v>4415</v>
      </c>
      <c r="B4413" s="3" t="s">
        <v>4</v>
      </c>
      <c r="C4413" s="2" t="str">
        <f ca="1">IFERROR(__xludf.DUMMYFUNCTION("GOOGLETRANSLATE(A4413,""bn"",""en"")"),"Very useful as daily breakfast or snacks")</f>
        <v>Very useful as daily breakfast or snacks</v>
      </c>
    </row>
    <row r="4414" spans="1:3" ht="15.75" customHeight="1" x14ac:dyDescent="0.25">
      <c r="A4414" s="2" t="s">
        <v>4416</v>
      </c>
      <c r="B4414" s="3" t="s">
        <v>2</v>
      </c>
      <c r="C4414" s="2" t="str">
        <f ca="1">IFERROR(__xludf.DUMMYFUNCTION("GOOGLETRANSLATE(A4414,""bn"",""en"")"),"There is a risk of screen damage with excessive pressure")</f>
        <v>There is a risk of screen damage with excessive pressure</v>
      </c>
    </row>
    <row r="4415" spans="1:3" ht="15.75" customHeight="1" x14ac:dyDescent="0.25">
      <c r="A4415" s="2" t="s">
        <v>4417</v>
      </c>
      <c r="B4415" s="3" t="s">
        <v>4</v>
      </c>
      <c r="C4415" s="2" t="str">
        <f ca="1">IFERROR(__xludf.DUMMYFUNCTION("GOOGLETRANSLATE(A4415,""bn"",""en"")"),"Each layer of the shelf is easy to remove and replace")</f>
        <v>Each layer of the shelf is easy to remove and replace</v>
      </c>
    </row>
    <row r="4416" spans="1:3" ht="15.75" customHeight="1" x14ac:dyDescent="0.25">
      <c r="A4416" s="2" t="s">
        <v>4418</v>
      </c>
      <c r="B4416" s="3" t="s">
        <v>2</v>
      </c>
      <c r="C4416" s="2" t="str">
        <f ca="1">IFERROR(__xludf.DUMMYFUNCTION("GOOGLETRANSLATE(A4416,""bn"",""en"")"),"It can be purchased online")</f>
        <v>It can be purchased online</v>
      </c>
    </row>
    <row r="4417" spans="1:3" ht="15.75" customHeight="1" x14ac:dyDescent="0.25">
      <c r="A4417" s="2" t="s">
        <v>4419</v>
      </c>
      <c r="B4417" s="3" t="s">
        <v>2</v>
      </c>
      <c r="C4417" s="2" t="str">
        <f ca="1">IFERROR(__xludf.DUMMYFUNCTION("GOOGLETRANSLATE(A4417,""bn"",""en"")"),"Fabric quality is acceptable but room for improvement")</f>
        <v>Fabric quality is acceptable but room for improvement</v>
      </c>
    </row>
    <row r="4418" spans="1:3" ht="15.75" customHeight="1" x14ac:dyDescent="0.25">
      <c r="A4418" s="2" t="s">
        <v>4420</v>
      </c>
      <c r="B4418" s="3" t="s">
        <v>2</v>
      </c>
      <c r="C4418" s="2" t="str">
        <f ca="1">IFERROR(__xludf.DUMMYFUNCTION("GOOGLETRANSLATE(A4418,""bn"",""en"")")," Although it can be used for quite some time but if a quick charge is required ")</f>
        <v xml:space="preserve"> Although it can be used for quite some time but if a quick charge is required </v>
      </c>
    </row>
    <row r="4419" spans="1:3" ht="15.75" customHeight="1" x14ac:dyDescent="0.25">
      <c r="A4419" s="2" t="s">
        <v>4421</v>
      </c>
      <c r="B4419" s="3" t="s">
        <v>4</v>
      </c>
      <c r="C4419" s="2" t="str">
        <f ca="1">IFERROR(__xludf.DUMMYFUNCTION("GOOGLETRANSLATE(A4419,""bn"",""en"")"),"It makes the makeup routine professional")</f>
        <v>It makes the makeup routine professional</v>
      </c>
    </row>
    <row r="4420" spans="1:3" ht="15.75" customHeight="1" x14ac:dyDescent="0.25">
      <c r="A4420" s="2" t="s">
        <v>4422</v>
      </c>
      <c r="B4420" s="3" t="s">
        <v>4</v>
      </c>
      <c r="C4420" s="2" t="str">
        <f ca="1">IFERROR(__xludf.DUMMYFUNCTION("GOOGLETRANSLATE(A4420,""bn"",""en"")"),"Good camera, got very good response and rating, I will give it, you can definitely take it.")</f>
        <v>Good camera, got very good response and rating, I will give it, you can definitely take it.</v>
      </c>
    </row>
    <row r="4421" spans="1:3" ht="15.75" customHeight="1" x14ac:dyDescent="0.25">
      <c r="A4421" s="2" t="s">
        <v>4423</v>
      </c>
      <c r="B4421" s="3" t="s">
        <v>6</v>
      </c>
      <c r="C4421" s="2" t="str">
        <f ca="1">IFERROR(__xludf.DUMMYFUNCTION("GOOGLETRANSLATE(A4421,""bn"",""en"")"),"Uncomfortable to use and not properly fitted")</f>
        <v>Uncomfortable to use and not properly fitted</v>
      </c>
    </row>
    <row r="4422" spans="1:3" ht="15.75" customHeight="1" x14ac:dyDescent="0.25">
      <c r="A4422" s="2" t="s">
        <v>4424</v>
      </c>
      <c r="B4422" s="3" t="s">
        <v>4</v>
      </c>
      <c r="C4422" s="2" t="str">
        <f ca="1">IFERROR(__xludf.DUMMYFUNCTION("GOOGLETRANSLATE(A4422,""bn"",""en"")"),"The height of the side tables matches the sofa perfectly")</f>
        <v>The height of the side tables matches the sofa perfectly</v>
      </c>
    </row>
    <row r="4423" spans="1:3" ht="15.75" customHeight="1" x14ac:dyDescent="0.25">
      <c r="A4423" s="2" t="s">
        <v>4425</v>
      </c>
      <c r="B4423" s="3" t="s">
        <v>4</v>
      </c>
      <c r="C4423" s="2" t="str">
        <f ca="1">IFERROR(__xludf.DUMMYFUNCTION("GOOGLETRANSLATE(A4423,""bn"",""en"")"),"This body wash improves skin texture")</f>
        <v>This body wash improves skin texture</v>
      </c>
    </row>
    <row r="4424" spans="1:3" ht="15.75" customHeight="1" x14ac:dyDescent="0.25">
      <c r="A4424" s="2" t="s">
        <v>4426</v>
      </c>
      <c r="B4424" s="3" t="s">
        <v>4</v>
      </c>
      <c r="C4424" s="2" t="str">
        <f ca="1">IFERROR(__xludf.DUMMYFUNCTION("GOOGLETRANSLATE(A4424,""bn"",""en"")"),"You can take original dubai copy if you want")</f>
        <v>You can take original dubai copy if you want</v>
      </c>
    </row>
    <row r="4425" spans="1:3" ht="15.75" customHeight="1" x14ac:dyDescent="0.25">
      <c r="A4425" s="2" t="s">
        <v>4427</v>
      </c>
      <c r="B4425" s="3" t="s">
        <v>6</v>
      </c>
      <c r="C4425" s="2" t="str">
        <f ca="1">IFERROR(__xludf.DUMMYFUNCTION("GOOGLETRANSLATE(A4425,""bn"",""en"")"),"The shade of the foundation is very orange it looks unnatural on the skin")</f>
        <v>The shade of the foundation is very orange it looks unnatural on the skin</v>
      </c>
    </row>
    <row r="4426" spans="1:3" ht="15.75" customHeight="1" x14ac:dyDescent="0.25">
      <c r="A4426" s="2" t="s">
        <v>4428</v>
      </c>
      <c r="B4426" s="3" t="s">
        <v>4</v>
      </c>
      <c r="C4426" s="2" t="str">
        <f ca="1">IFERROR(__xludf.DUMMYFUNCTION("GOOGLETRANSLATE(A4426,""bn"",""en"")"),"Very strong and durable")</f>
        <v>Very strong and durable</v>
      </c>
    </row>
    <row r="4427" spans="1:3" ht="15.75" customHeight="1" x14ac:dyDescent="0.25">
      <c r="A4427" s="2" t="s">
        <v>4429</v>
      </c>
      <c r="B4427" s="3" t="s">
        <v>4</v>
      </c>
      <c r="C4427" s="2" t="str">
        <f ca="1">IFERROR(__xludf.DUMMYFUNCTION("GOOGLETRANSLATE(A4427,""bn"",""en"")"),"The author's imagination is very impressive")</f>
        <v>The author's imagination is very impressive</v>
      </c>
    </row>
    <row r="4428" spans="1:3" ht="15.75" customHeight="1" x14ac:dyDescent="0.25">
      <c r="A4428" s="2" t="s">
        <v>4430</v>
      </c>
      <c r="B4428" s="3" t="s">
        <v>2</v>
      </c>
      <c r="C4428" s="2" t="str">
        <f ca="1">IFERROR(__xludf.DUMMYFUNCTION("GOOGLETRANSLATE(A4428,""bn"",""en"")"),"Useful for use in quilts with some limitations")</f>
        <v>Useful for use in quilts with some limitations</v>
      </c>
    </row>
    <row r="4429" spans="1:3" ht="15.75" customHeight="1" x14ac:dyDescent="0.25">
      <c r="A4429" s="2" t="s">
        <v>4431</v>
      </c>
      <c r="B4429" s="3" t="s">
        <v>6</v>
      </c>
      <c r="C4429" s="2" t="str">
        <f ca="1">IFERROR(__xludf.DUMMYFUNCTION("GOOGLETRANSLATE(A4429,""bn"",""en"")"),"The microwave emits a loud buzzing sound while operating, making it unpleasant to use")</f>
        <v>The microwave emits a loud buzzing sound while operating, making it unpleasant to use</v>
      </c>
    </row>
    <row r="4430" spans="1:3" ht="15.75" customHeight="1" x14ac:dyDescent="0.25">
      <c r="A4430" s="2" t="s">
        <v>4432</v>
      </c>
      <c r="B4430" s="3" t="s">
        <v>6</v>
      </c>
      <c r="C4430" s="2" t="str">
        <f ca="1">IFERROR(__xludf.DUMMYFUNCTION("GOOGLETRANSLATE(A4430,""bn"",""en"")"),"The fabric feels thin and flimsy and lacks durability")</f>
        <v>The fabric feels thin and flimsy and lacks durability</v>
      </c>
    </row>
    <row r="4431" spans="1:3" ht="15.75" customHeight="1" x14ac:dyDescent="0.25">
      <c r="A4431" s="2" t="s">
        <v>4433</v>
      </c>
      <c r="B4431" s="3" t="s">
        <v>6</v>
      </c>
      <c r="C4431" s="2" t="str">
        <f ca="1">IFERROR(__xludf.DUMMYFUNCTION("GOOGLETRANSLATE(A4431,""bn"",""en"")"),"Hair serum makes my hair feel greasy and unclean")</f>
        <v>Hair serum makes my hair feel greasy and unclean</v>
      </c>
    </row>
    <row r="4432" spans="1:3" ht="15.75" customHeight="1" x14ac:dyDescent="0.25">
      <c r="A4432" s="2" t="s">
        <v>4434</v>
      </c>
      <c r="B4432" s="3" t="s">
        <v>4</v>
      </c>
      <c r="C4432" s="2" t="str">
        <f ca="1">IFERROR(__xludf.DUMMYFUNCTION("GOOGLETRANSLATE(A4432,""bn"",""en"")"),"The doll is easy to clean which is a big plus point for a busy mom like me")</f>
        <v>The doll is easy to clean which is a big plus point for a busy mom like me</v>
      </c>
    </row>
    <row r="4433" spans="1:3" ht="15.75" customHeight="1" x14ac:dyDescent="0.25">
      <c r="A4433" s="2" t="s">
        <v>4435</v>
      </c>
      <c r="B4433" s="3" t="s">
        <v>6</v>
      </c>
      <c r="C4433" s="2" t="str">
        <f ca="1">IFERROR(__xludf.DUMMYFUNCTION("GOOGLETRANSLATE(A4433,""bn"",""en"")"),"Video stabilization is inadequate resulting in shaky footage even with minimal movement")</f>
        <v>Video stabilization is inadequate resulting in shaky footage even with minimal movement</v>
      </c>
    </row>
    <row r="4434" spans="1:3" ht="15.75" customHeight="1" x14ac:dyDescent="0.25">
      <c r="A4434" s="2" t="s">
        <v>4436</v>
      </c>
      <c r="B4434" s="3" t="s">
        <v>2</v>
      </c>
      <c r="C4434" s="2" t="str">
        <f ca="1">IFERROR(__xludf.DUMMYFUNCTION("GOOGLETRANSLATE(A4434,""bn"",""en"")"),"Although there was some yield increase, the efficiency of the fertilizer was not fully proven")</f>
        <v>Although there was some yield increase, the efficiency of the fertilizer was not fully proven</v>
      </c>
    </row>
    <row r="4435" spans="1:3" ht="15.75" customHeight="1" x14ac:dyDescent="0.25">
      <c r="A4435" s="2" t="s">
        <v>4437</v>
      </c>
      <c r="B4435" s="3" t="s">
        <v>6</v>
      </c>
      <c r="C4435" s="2" t="str">
        <f ca="1">IFERROR(__xludf.DUMMYFUNCTION("GOOGLETRANSLATE(A4435,""bn"",""en"")"),"The phone overheats during prolonged use causing discomfort and possible damage to the device")</f>
        <v>The phone overheats during prolonged use causing discomfort and possible damage to the device</v>
      </c>
    </row>
    <row r="4436" spans="1:3" ht="15.75" customHeight="1" x14ac:dyDescent="0.25">
      <c r="A4436" s="2" t="s">
        <v>4438</v>
      </c>
      <c r="B4436" s="3" t="s">
        <v>4</v>
      </c>
      <c r="C4436" s="2" t="str">
        <f ca="1">IFERROR(__xludf.DUMMYFUNCTION("GOOGLETRANSLATE(A4436,""bn"",""en"")"),"The sturdy legs placed at the bottom of the bookcase give it stability")</f>
        <v>The sturdy legs placed at the bottom of the bookcase give it stability</v>
      </c>
    </row>
    <row r="4437" spans="1:3" ht="15.75" customHeight="1" x14ac:dyDescent="0.25">
      <c r="A4437" s="2" t="s">
        <v>4439</v>
      </c>
      <c r="B4437" s="3" t="s">
        <v>2</v>
      </c>
      <c r="C4437" s="2" t="str">
        <f ca="1">IFERROR(__xludf.DUMMYFUNCTION("GOOGLETRANSLATE(A4437,""bn"",""en"")"),"Some items may be damaged but not always")</f>
        <v>Some items may be damaged but not always</v>
      </c>
    </row>
    <row r="4438" spans="1:3" ht="15.75" customHeight="1" x14ac:dyDescent="0.25">
      <c r="A4438" s="2" t="s">
        <v>4440</v>
      </c>
      <c r="B4438" s="3" t="s">
        <v>2</v>
      </c>
      <c r="C4438" s="2" t="str">
        <f ca="1">IFERROR(__xludf.DUMMYFUNCTION("GOOGLETRANSLATE(A4438,""bn"",""en"")"),"Can be used to keep hands warm in winter")</f>
        <v>Can be used to keep hands warm in winter</v>
      </c>
    </row>
    <row r="4439" spans="1:3" ht="15.75" customHeight="1" x14ac:dyDescent="0.25">
      <c r="A4439" s="2" t="s">
        <v>4441</v>
      </c>
      <c r="B4439" s="3" t="s">
        <v>4</v>
      </c>
      <c r="C4439" s="2" t="str">
        <f ca="1">IFERROR(__xludf.DUMMYFUNCTION("GOOGLETRANSLATE(A4439,""bn"",""en"")"),"An ideal decoration for every room")</f>
        <v>An ideal decoration for every room</v>
      </c>
    </row>
    <row r="4440" spans="1:3" ht="15.75" customHeight="1" x14ac:dyDescent="0.25">
      <c r="A4440" s="2" t="s">
        <v>4442</v>
      </c>
      <c r="B4440" s="3" t="s">
        <v>4</v>
      </c>
      <c r="C4440" s="2" t="str">
        <f ca="1">IFERROR(__xludf.DUMMYFUNCTION("GOOGLETRANSLATE(A4440,""bn"",""en"")"),"The girl received an award for her project")</f>
        <v>The girl received an award for her project</v>
      </c>
    </row>
    <row r="4441" spans="1:3" ht="15.75" customHeight="1" x14ac:dyDescent="0.25">
      <c r="A4441" s="2" t="s">
        <v>4443</v>
      </c>
      <c r="B4441" s="3" t="s">
        <v>4</v>
      </c>
      <c r="C4441" s="2" t="str">
        <f ca="1">IFERROR(__xludf.DUMMYFUNCTION("GOOGLETRANSLATE(A4441,""bn"",""en"")"),"Keeping the house clean is easy using the product")</f>
        <v>Keeping the house clean is easy using the product</v>
      </c>
    </row>
    <row r="4442" spans="1:3" ht="15.75" customHeight="1" x14ac:dyDescent="0.25">
      <c r="A4442" s="2" t="s">
        <v>4444</v>
      </c>
      <c r="B4442" s="3" t="s">
        <v>2</v>
      </c>
      <c r="C4442" s="2" t="str">
        <f ca="1">IFERROR(__xludf.DUMMYFUNCTION("GOOGLETRANSLATE(A4442,""bn"",""en"")"),"Easy to use and the value is decent")</f>
        <v>Easy to use and the value is decent</v>
      </c>
    </row>
    <row r="4443" spans="1:3" ht="15.75" customHeight="1" x14ac:dyDescent="0.25">
      <c r="A4443" s="2" t="s">
        <v>4445</v>
      </c>
      <c r="B4443" s="3" t="s">
        <v>6</v>
      </c>
      <c r="C4443" s="2" t="str">
        <f ca="1">IFERROR(__xludf.DUMMYFUNCTION("GOOGLETRANSLATE(A4443,""bn"",""en"")"),"The coffee grinder's motor overheats and shuts down during use, stopping grinding")</f>
        <v>The coffee grinder's motor overheats and shuts down during use, stopping grinding</v>
      </c>
    </row>
    <row r="4444" spans="1:3" ht="15.75" customHeight="1" x14ac:dyDescent="0.25">
      <c r="A4444" s="2" t="s">
        <v>4446</v>
      </c>
      <c r="B4444" s="3" t="s">
        <v>2</v>
      </c>
      <c r="C4444" s="2" t="str">
        <f ca="1">IFERROR(__xludf.DUMMYFUNCTION("GOOGLETRANSLATE(A4444,""bn"",""en"")"),"The design is general and has no special features")</f>
        <v>The design is general and has no special features</v>
      </c>
    </row>
    <row r="4445" spans="1:3" ht="15.75" customHeight="1" x14ac:dyDescent="0.25">
      <c r="A4445" s="2" t="s">
        <v>4447</v>
      </c>
      <c r="B4445" s="3" t="s">
        <v>6</v>
      </c>
      <c r="C4445" s="2" t="str">
        <f ca="1">IFERROR(__xludf.DUMMYFUNCTION("GOOGLETRANSLATE(A4445,""bn"",""en"")"),"Bottle brush bristles fall off easily leaving bottle residue")</f>
        <v>Bottle brush bristles fall off easily leaving bottle residue</v>
      </c>
    </row>
    <row r="4446" spans="1:3" ht="15.75" customHeight="1" x14ac:dyDescent="0.25">
      <c r="A4446" s="2" t="s">
        <v>4448</v>
      </c>
      <c r="B4446" s="3" t="s">
        <v>4</v>
      </c>
      <c r="C4446" s="2" t="str">
        <f ca="1">IFERROR(__xludf.DUMMYFUNCTION("GOOGLETRANSLATE(A4446,""bn"",""en"")"),"Leakage resistance is quite good")</f>
        <v>Leakage resistance is quite good</v>
      </c>
    </row>
    <row r="4447" spans="1:3" ht="15.75" customHeight="1" x14ac:dyDescent="0.25">
      <c r="A4447" s="2" t="s">
        <v>4449</v>
      </c>
      <c r="B4447" s="3" t="s">
        <v>6</v>
      </c>
      <c r="C4447" s="2" t="str">
        <f ca="1">IFERROR(__xludf.DUMMYFUNCTION("GOOGLETRANSLATE(A4447,""bn"",""en"")")," The tendency to rust compromises its durability and stability especially in humid environments")</f>
        <v xml:space="preserve"> The tendency to rust compromises its durability and stability especially in humid environments</v>
      </c>
    </row>
    <row r="4448" spans="1:3" ht="15.75" customHeight="1" x14ac:dyDescent="0.25">
      <c r="A4448" s="2" t="s">
        <v>4450</v>
      </c>
      <c r="B4448" s="3" t="s">
        <v>6</v>
      </c>
      <c r="C4448" s="2" t="str">
        <f ca="1">IFERROR(__xludf.DUMMYFUNCTION("GOOGLETRANSLATE(A4448,""bn"",""en"")"),"The bubble bath didn't produce many bubbles despite using a large amount")</f>
        <v>The bubble bath didn't produce many bubbles despite using a large amount</v>
      </c>
    </row>
    <row r="4449" spans="1:3" ht="15.75" customHeight="1" x14ac:dyDescent="0.25">
      <c r="A4449" s="2" t="s">
        <v>4451</v>
      </c>
      <c r="B4449" s="3" t="s">
        <v>2</v>
      </c>
      <c r="C4449" s="2" t="str">
        <f ca="1">IFERROR(__xludf.DUMMYFUNCTION("GOOGLETRANSLATE(A4449,""bn"",""en"")"),"The UV sterilizer box kills germs but space is limited")</f>
        <v>The UV sterilizer box kills germs but space is limited</v>
      </c>
    </row>
    <row r="4450" spans="1:3" ht="15.75" customHeight="1" x14ac:dyDescent="0.25">
      <c r="A4450" s="2" t="s">
        <v>4452</v>
      </c>
      <c r="B4450" s="3" t="s">
        <v>2</v>
      </c>
      <c r="C4450" s="2" t="str">
        <f ca="1">IFERROR(__xludf.DUMMYFUNCTION("GOOGLETRANSLATE(A4450,""bn"",""en"")"),"Cold water can also be used if necessary")</f>
        <v>Cold water can also be used if necessary</v>
      </c>
    </row>
    <row r="4451" spans="1:3" ht="15.75" customHeight="1" x14ac:dyDescent="0.25">
      <c r="A4451" s="2" t="s">
        <v>4453</v>
      </c>
      <c r="B4451" s="3" t="s">
        <v>4</v>
      </c>
      <c r="C4451" s="2" t="str">
        <f ca="1">IFERROR(__xludf.DUMMYFUNCTION("GOOGLETRANSLATE(A4451,""bn"",""en"")"),"The most secure phone holder")</f>
        <v>The most secure phone holder</v>
      </c>
    </row>
    <row r="4452" spans="1:3" ht="15.75" customHeight="1" x14ac:dyDescent="0.25">
      <c r="A4452" s="2" t="s">
        <v>4454</v>
      </c>
      <c r="B4452" s="3" t="s">
        <v>2</v>
      </c>
      <c r="C4452" s="2" t="str">
        <f ca="1">IFERROR(__xludf.DUMMYFUNCTION("GOOGLETRANSLATE(A4452,""bn"",""en"")"),"The color is not exactly what I expected but acceptable")</f>
        <v>The color is not exactly what I expected but acceptable</v>
      </c>
    </row>
    <row r="4453" spans="1:3" ht="15.75" customHeight="1" x14ac:dyDescent="0.25">
      <c r="A4453" s="2" t="s">
        <v>4455</v>
      </c>
      <c r="B4453" s="3" t="s">
        <v>4</v>
      </c>
      <c r="C4453" s="2" t="str">
        <f ca="1">IFERROR(__xludf.DUMMYFUNCTION("GOOGLETRANSLATE(A4453,""bn"",""en"")"),"The soap restores the smoothness of the skin")</f>
        <v>The soap restores the smoothness of the skin</v>
      </c>
    </row>
    <row r="4454" spans="1:3" ht="15.75" customHeight="1" x14ac:dyDescent="0.25">
      <c r="A4454" s="2" t="s">
        <v>4456</v>
      </c>
      <c r="B4454" s="3" t="s">
        <v>4</v>
      </c>
      <c r="C4454" s="2" t="str">
        <f ca="1">IFERROR(__xludf.DUMMYFUNCTION("GOOGLETRANSLATE(A4454,""bn"",""en"")"),"The child always plays with his friends")</f>
        <v>The child always plays with his friends</v>
      </c>
    </row>
    <row r="4455" spans="1:3" ht="15.75" customHeight="1" x14ac:dyDescent="0.25">
      <c r="A4455" s="2" t="s">
        <v>4457</v>
      </c>
      <c r="B4455" s="3" t="s">
        <v>2</v>
      </c>
      <c r="C4455" s="2" t="str">
        <f ca="1">IFERROR(__xludf.DUMMYFUNCTION("GOOGLETRANSLATE(A4455,""bn"",""en"")"),"Practical in some cases and unnecessary in some cases")</f>
        <v>Practical in some cases and unnecessary in some cases</v>
      </c>
    </row>
    <row r="4456" spans="1:3" ht="15.75" customHeight="1" x14ac:dyDescent="0.25">
      <c r="A4456" s="2" t="s">
        <v>4458</v>
      </c>
      <c r="B4456" s="3" t="s">
        <v>4</v>
      </c>
      <c r="C4456" s="2" t="str">
        <f ca="1">IFERROR(__xludf.DUMMYFUNCTION("GOOGLETRANSLATE(A4456,""bn"",""en"")"),"The installation process was very easy and the technicians were professional and efficient")</f>
        <v>The installation process was very easy and the technicians were professional and efficient</v>
      </c>
    </row>
    <row r="4457" spans="1:3" ht="15.75" customHeight="1" x14ac:dyDescent="0.25">
      <c r="A4457" s="2" t="s">
        <v>4459</v>
      </c>
      <c r="B4457" s="3" t="s">
        <v>4</v>
      </c>
      <c r="C4457" s="2" t="str">
        <f ca="1">IFERROR(__xludf.DUMMYFUNCTION("GOOGLETRANSLATE(A4457,""bn"",""en"")"),"Excellent earbuds especially for the price")</f>
        <v>Excellent earbuds especially for the price</v>
      </c>
    </row>
    <row r="4458" spans="1:3" ht="15.75" customHeight="1" x14ac:dyDescent="0.25">
      <c r="A4458" s="2" t="s">
        <v>4460</v>
      </c>
      <c r="B4458" s="3" t="s">
        <v>6</v>
      </c>
      <c r="C4458" s="2" t="str">
        <f ca="1">IFERROR(__xludf.DUMMYFUNCTION("GOOGLETRANSLATE(A4458,""bn"",""en"")"),"The ongoing litter problem remains unresolved despite efforts")</f>
        <v>The ongoing litter problem remains unresolved despite efforts</v>
      </c>
    </row>
    <row r="4459" spans="1:3" ht="15.75" customHeight="1" x14ac:dyDescent="0.25">
      <c r="A4459" s="2" t="s">
        <v>4461</v>
      </c>
      <c r="B4459" s="3" t="s">
        <v>6</v>
      </c>
      <c r="C4459" s="2" t="str">
        <f ca="1">IFERROR(__xludf.DUMMYFUNCTION("GOOGLETRANSLATE(A4459,""bn"",""en"")"),"Lids do not fit snugly allowing air and moisture to enter")</f>
        <v>Lids do not fit snugly allowing air and moisture to enter</v>
      </c>
    </row>
    <row r="4460" spans="1:3" ht="15.75" customHeight="1" x14ac:dyDescent="0.25">
      <c r="A4460" s="2" t="s">
        <v>4462</v>
      </c>
      <c r="B4460" s="3" t="s">
        <v>6</v>
      </c>
      <c r="C4460" s="2" t="str">
        <f ca="1">IFERROR(__xludf.DUMMYFUNCTION("GOOGLETRANSLATE(A4460,""bn"",""en"")"),"Acne treatment gels contain benzoyl peroxide, which bleaches clothes and towels on contact")</f>
        <v>Acne treatment gels contain benzoyl peroxide, which bleaches clothes and towels on contact</v>
      </c>
    </row>
    <row r="4461" spans="1:3" ht="15.75" customHeight="1" x14ac:dyDescent="0.25">
      <c r="A4461" s="2" t="s">
        <v>4463</v>
      </c>
      <c r="B4461" s="3" t="s">
        <v>6</v>
      </c>
      <c r="C4461" s="2" t="str">
        <f ca="1">IFERROR(__xludf.DUMMYFUNCTION("GOOGLETRANSLATE(A4461,""bn"",""en"")"),"The tea leaves were oxidized and brown, lacking the vibrant green color of fresh leaves")</f>
        <v>The tea leaves were oxidized and brown, lacking the vibrant green color of fresh leaves</v>
      </c>
    </row>
    <row r="4462" spans="1:3" ht="15.75" customHeight="1" x14ac:dyDescent="0.25">
      <c r="A4462" s="2" t="s">
        <v>4464</v>
      </c>
      <c r="B4462" s="3" t="s">
        <v>4</v>
      </c>
      <c r="C4462" s="2" t="str">
        <f ca="1">IFERROR(__xludf.DUMMYFUNCTION("GOOGLETRANSLATE(A4462,""bn"",""en"")"),"Two coats of ghee gives good coverage")</f>
        <v>Two coats of ghee gives good coverage</v>
      </c>
    </row>
    <row r="4463" spans="1:3" ht="15.75" customHeight="1" x14ac:dyDescent="0.25">
      <c r="A4463" s="2" t="s">
        <v>4465</v>
      </c>
      <c r="B4463" s="3" t="s">
        <v>2</v>
      </c>
      <c r="C4463" s="2" t="str">
        <f ca="1">IFERROR(__xludf.DUMMYFUNCTION("GOOGLETRANSLATE(A4463,""bn"",""en"")"),"The handle seems to be easily repositionable")</f>
        <v>The handle seems to be easily repositionable</v>
      </c>
    </row>
    <row r="4464" spans="1:3" ht="15.75" customHeight="1" x14ac:dyDescent="0.25">
      <c r="A4464" s="2" t="s">
        <v>4466</v>
      </c>
      <c r="B4464" s="3" t="s">
        <v>6</v>
      </c>
      <c r="C4464" s="2" t="str">
        <f ca="1">IFERROR(__xludf.DUMMYFUNCTION("GOOGLETRANSLATE(A4464,""bn"",""en"")"),"The moisturizer feels thin and doesn't moisturize the skin well")</f>
        <v>The moisturizer feels thin and doesn't moisturize the skin well</v>
      </c>
    </row>
    <row r="4465" spans="1:3" ht="15.75" customHeight="1" x14ac:dyDescent="0.25">
      <c r="A4465" s="2" t="s">
        <v>4467</v>
      </c>
      <c r="B4465" s="3" t="s">
        <v>4</v>
      </c>
      <c r="C4465" s="2" t="str">
        <f ca="1">IFERROR(__xludf.DUMMYFUNCTION("GOOGLETRANSLATE(A4465,""bn"",""en"")"),"The design and structure of the fan is very beautiful and futuristic")</f>
        <v>The design and structure of the fan is very beautiful and futuristic</v>
      </c>
    </row>
    <row r="4466" spans="1:3" ht="15.75" customHeight="1" x14ac:dyDescent="0.25">
      <c r="A4466" s="2" t="s">
        <v>4468</v>
      </c>
      <c r="B4466" s="3" t="s">
        <v>6</v>
      </c>
      <c r="C4466" s="2" t="str">
        <f ca="1">IFERROR(__xludf.DUMMYFUNCTION("GOOGLETRANSLATE(A4466,""bn"",""en"")"),"Erratic cursor movement causes frustration during use")</f>
        <v>Erratic cursor movement causes frustration during use</v>
      </c>
    </row>
    <row r="4467" spans="1:3" ht="15.75" customHeight="1" x14ac:dyDescent="0.25">
      <c r="A4467" s="2" t="s">
        <v>4469</v>
      </c>
      <c r="B4467" s="3" t="s">
        <v>4</v>
      </c>
      <c r="C4467" s="2" t="str">
        <f ca="1">IFERROR(__xludf.DUMMYFUNCTION("GOOGLETRANSLATE(A4467,""bn"",""en"")"),"The design of the pencil is very comfortable and easy to write in hand")</f>
        <v>The design of the pencil is very comfortable and easy to write in hand</v>
      </c>
    </row>
    <row r="4468" spans="1:3" ht="15.75" customHeight="1" x14ac:dyDescent="0.25">
      <c r="A4468" s="2" t="s">
        <v>4470</v>
      </c>
      <c r="B4468" s="3" t="s">
        <v>2</v>
      </c>
      <c r="C4468" s="2" t="str">
        <f ca="1">IFERROR(__xludf.DUMMYFUNCTION("GOOGLETRANSLATE(A4468,""bn"",""en"")"),"It can be a bit difficult to work but it is possible if you try")</f>
        <v>It can be a bit difficult to work but it is possible if you try</v>
      </c>
    </row>
    <row r="4469" spans="1:3" ht="15.75" customHeight="1" x14ac:dyDescent="0.25">
      <c r="A4469" s="2" t="s">
        <v>4471</v>
      </c>
      <c r="B4469" s="3" t="s">
        <v>2</v>
      </c>
      <c r="C4469" s="2" t="str">
        <f ca="1">IFERROR(__xludf.DUMMYFUNCTION("GOOGLETRANSLATE(A4469,""bn"",""en"")"),"A nail dryer dries nail polish but takes longer")</f>
        <v>A nail dryer dries nail polish but takes longer</v>
      </c>
    </row>
    <row r="4470" spans="1:3" ht="15.75" customHeight="1" x14ac:dyDescent="0.25">
      <c r="A4470" s="2" t="s">
        <v>4472</v>
      </c>
      <c r="B4470" s="3" t="s">
        <v>2</v>
      </c>
      <c r="C4470" s="2" t="str">
        <f ca="1">IFERROR(__xludf.DUMMYFUNCTION("GOOGLETRANSLATE(A4470,""bn"",""en"")"),"There is no presence of odor during use")</f>
        <v>There is no presence of odor during use</v>
      </c>
    </row>
    <row r="4471" spans="1:3" ht="15.75" customHeight="1" x14ac:dyDescent="0.25">
      <c r="A4471" s="2" t="s">
        <v>4473</v>
      </c>
      <c r="B4471" s="3" t="s">
        <v>6</v>
      </c>
      <c r="C4471" s="2" t="str">
        <f ca="1">IFERROR(__xludf.DUMMYFUNCTION("GOOGLETRANSLATE(A4471,""bn"",""en"")"),"The color of the dress in person did not match the color shown online which led to disappointment")</f>
        <v>The color of the dress in person did not match the color shown online which led to disappointment</v>
      </c>
    </row>
    <row r="4472" spans="1:3" ht="15.75" customHeight="1" x14ac:dyDescent="0.25">
      <c r="A4472" s="2" t="s">
        <v>4474</v>
      </c>
      <c r="B4472" s="3" t="s">
        <v>6</v>
      </c>
      <c r="C4472" s="2" t="str">
        <f ca="1">IFERROR(__xludf.DUMMYFUNCTION("GOOGLETRANSLATE(A4472,""bn"",""en"")"),"The packaging was misleading exaggerating the quality of the coffee")</f>
        <v>The packaging was misleading exaggerating the quality of the coffee</v>
      </c>
    </row>
    <row r="4473" spans="1:3" ht="15.75" customHeight="1" x14ac:dyDescent="0.25">
      <c r="A4473" s="2" t="s">
        <v>4475</v>
      </c>
      <c r="B4473" s="3" t="s">
        <v>4</v>
      </c>
      <c r="C4473" s="2" t="str">
        <f ca="1">IFERROR(__xludf.DUMMYFUNCTION("GOOGLETRANSLATE(A4473,""bn"",""en"")"),"very secure ")</f>
        <v xml:space="preserve">very secure </v>
      </c>
    </row>
    <row r="4474" spans="1:3" ht="15.75" customHeight="1" x14ac:dyDescent="0.25">
      <c r="A4474" s="2" t="s">
        <v>4476</v>
      </c>
      <c r="B4474" s="3" t="s">
        <v>4</v>
      </c>
      <c r="C4474" s="2" t="str">
        <f ca="1">IFERROR(__xludf.DUMMYFUNCTION("GOOGLETRANSLATE(A4474,""bn"",""en"")"),"Alhamdulillah Genji is very nice for the price but mine is a little big everyone can buy genji quality is very good ")</f>
        <v xml:space="preserve">Alhamdulillah Genji is very nice for the price but mine is a little big everyone can buy genji quality is very good </v>
      </c>
    </row>
    <row r="4475" spans="1:3" ht="15.75" customHeight="1" x14ac:dyDescent="0.25">
      <c r="A4475" s="2" t="s">
        <v>4477</v>
      </c>
      <c r="B4475" s="3" t="s">
        <v>6</v>
      </c>
      <c r="C4475" s="2" t="str">
        <f ca="1">IFERROR(__xludf.DUMMYFUNCTION("GOOGLETRANSLATE(A4475,""bn"",""en"")"),"The smart lock frequently jams and locks me out of my home")</f>
        <v>The smart lock frequently jams and locks me out of my home</v>
      </c>
    </row>
    <row r="4476" spans="1:3" ht="15.75" customHeight="1" x14ac:dyDescent="0.25">
      <c r="A4476" s="2" t="s">
        <v>4478</v>
      </c>
      <c r="B4476" s="3" t="s">
        <v>6</v>
      </c>
      <c r="C4476" s="2" t="str">
        <f ca="1">IFERROR(__xludf.DUMMYFUNCTION("GOOGLETRANSLATE(A4476,""bn"",""en"")"),"Portable air conditioners emit loud noises that disturb sleep")</f>
        <v>Portable air conditioners emit loud noises that disturb sleep</v>
      </c>
    </row>
    <row r="4477" spans="1:3" ht="15.75" customHeight="1" x14ac:dyDescent="0.25">
      <c r="A4477" s="2" t="s">
        <v>4479</v>
      </c>
      <c r="B4477" s="3" t="s">
        <v>4</v>
      </c>
      <c r="C4477" s="2" t="str">
        <f ca="1">IFERROR(__xludf.DUMMYFUNCTION("GOOGLETRANSLATE(A4477,""bn"",""en"")"),"The makeup kit is very easy to carry")</f>
        <v>The makeup kit is very easy to carry</v>
      </c>
    </row>
    <row r="4478" spans="1:3" ht="15.75" customHeight="1" x14ac:dyDescent="0.25">
      <c r="A4478" s="2" t="s">
        <v>4480</v>
      </c>
      <c r="B4478" s="3" t="s">
        <v>4</v>
      </c>
      <c r="C4478" s="2" t="str">
        <f ca="1">IFERROR(__xludf.DUMMYFUNCTION("GOOGLETRANSLATE(A4478,""bn"",""en"")"),"Suitable for office and party")</f>
        <v>Suitable for office and party</v>
      </c>
    </row>
    <row r="4479" spans="1:3" ht="15.75" customHeight="1" x14ac:dyDescent="0.25">
      <c r="A4479" s="2" t="s">
        <v>4481</v>
      </c>
      <c r="B4479" s="3" t="s">
        <v>4</v>
      </c>
      <c r="C4479" s="2" t="str">
        <f ca="1">IFERROR(__xludf.DUMMYFUNCTION("GOOGLETRANSLATE(A4479,""bn"",""en"")"),"Charging time is very short and fast charging is fully charged in just one hour")</f>
        <v>Charging time is very short and fast charging is fully charged in just one hour</v>
      </c>
    </row>
    <row r="4480" spans="1:3" ht="15.75" customHeight="1" x14ac:dyDescent="0.25">
      <c r="A4480" s="2" t="s">
        <v>4482</v>
      </c>
      <c r="B4480" s="3" t="s">
        <v>6</v>
      </c>
      <c r="C4480" s="2" t="str">
        <f ca="1">IFERROR(__xludf.DUMMYFUNCTION("GOOGLETRANSLATE(A4480,""bn"",""en"")"),"The scent of baby laundry detergent is too strong to irritate baby's skin")</f>
        <v>The scent of baby laundry detergent is too strong to irritate baby's skin</v>
      </c>
    </row>
    <row r="4481" spans="1:3" ht="15.75" customHeight="1" x14ac:dyDescent="0.25">
      <c r="A4481" s="2" t="s">
        <v>4483</v>
      </c>
      <c r="B4481" s="3" t="s">
        <v>2</v>
      </c>
      <c r="C4481" s="2" t="str">
        <f ca="1">IFERROR(__xludf.DUMMYFUNCTION("GOOGLETRANSLATE(A4481,""bn"",""en"")"),"Quite a few pieces seem flawed")</f>
        <v>Quite a few pieces seem flawed</v>
      </c>
    </row>
    <row r="4482" spans="1:3" ht="15.75" customHeight="1" x14ac:dyDescent="0.25">
      <c r="A4482" s="2" t="s">
        <v>4484</v>
      </c>
      <c r="B4482" s="3" t="s">
        <v>2</v>
      </c>
      <c r="C4482" s="2" t="str">
        <f ca="1">IFERROR(__xludf.DUMMYFUNCTION("GOOGLETRANSLATE(A4482,""bn"",""en"")"),"The shape is normal, there is no special design")</f>
        <v>The shape is normal, there is no special design</v>
      </c>
    </row>
    <row r="4483" spans="1:3" ht="15.75" customHeight="1" x14ac:dyDescent="0.25">
      <c r="A4483" s="2" t="s">
        <v>4485</v>
      </c>
      <c r="B4483" s="3" t="s">
        <v>2</v>
      </c>
      <c r="C4483" s="2" t="str">
        <f ca="1">IFERROR(__xludf.DUMMYFUNCTION("GOOGLETRANSLATE(A4483,""bn"",""en"")"),"Cricket pitch pitch roller is smooth but oil consumption is high")</f>
        <v>Cricket pitch pitch roller is smooth but oil consumption is high</v>
      </c>
    </row>
    <row r="4484" spans="1:3" ht="15.75" customHeight="1" x14ac:dyDescent="0.25">
      <c r="A4484" s="2" t="s">
        <v>4486</v>
      </c>
      <c r="B4484" s="3" t="s">
        <v>6</v>
      </c>
      <c r="C4484" s="2" t="str">
        <f ca="1">IFERROR(__xludf.DUMMYFUNCTION("GOOGLETRANSLATE(A4484,""bn"",""en"")"),"Sprinkle beads if you dare")</f>
        <v>Sprinkle beads if you dare</v>
      </c>
    </row>
    <row r="4485" spans="1:3" ht="15.75" customHeight="1" x14ac:dyDescent="0.25">
      <c r="A4485" s="2" t="s">
        <v>4487</v>
      </c>
      <c r="B4485" s="3" t="s">
        <v>2</v>
      </c>
      <c r="C4485" s="2" t="str">
        <f ca="1">IFERROR(__xludf.DUMMYFUNCTION("GOOGLETRANSLATE(A4485,""bn"",""en"")"),"Not very good")</f>
        <v>Not very good</v>
      </c>
    </row>
    <row r="4486" spans="1:3" ht="15.75" customHeight="1" x14ac:dyDescent="0.25">
      <c r="A4486" s="2" t="s">
        <v>4488</v>
      </c>
      <c r="B4486" s="3" t="s">
        <v>6</v>
      </c>
      <c r="C4486" s="2" t="str">
        <f ca="1">IFERROR(__xludf.DUMMYFUNCTION("GOOGLETRANSLATE(A4486,""bn"",""en"")"),"Despite being described as hypoallergenic, the jewelry caused irritation and redness on my skin after wearing it for a short period of time.")</f>
        <v>Despite being described as hypoallergenic, the jewelry caused irritation and redness on my skin after wearing it for a short period of time.</v>
      </c>
    </row>
    <row r="4487" spans="1:3" ht="15.75" customHeight="1" x14ac:dyDescent="0.25">
      <c r="A4487" s="2" t="s">
        <v>4489</v>
      </c>
      <c r="B4487" s="3" t="s">
        <v>2</v>
      </c>
      <c r="C4487" s="2" t="str">
        <f ca="1">IFERROR(__xludf.DUMMYFUNCTION("GOOGLETRANSLATE(A4487,""bn"",""en"")"),"Washable but color fades a bit")</f>
        <v>Washable but color fades a bit</v>
      </c>
    </row>
    <row r="4488" spans="1:3" ht="15.75" customHeight="1" x14ac:dyDescent="0.25">
      <c r="A4488" s="2" t="s">
        <v>4490</v>
      </c>
      <c r="B4488" s="3" t="s">
        <v>6</v>
      </c>
      <c r="C4488" s="2" t="str">
        <f ca="1">IFERROR(__xludf.DUMMYFUNCTION("GOOGLETRANSLATE(A4488,""bn"",""en"")"),"Picture quality was grainy and pixelated even on high definition channels")</f>
        <v>Picture quality was grainy and pixelated even on high definition channels</v>
      </c>
    </row>
    <row r="4489" spans="1:3" ht="15.75" customHeight="1" x14ac:dyDescent="0.25">
      <c r="A4489" s="2" t="s">
        <v>4491</v>
      </c>
      <c r="B4489" s="3" t="s">
        <v>2</v>
      </c>
      <c r="C4489" s="2" t="str">
        <f ca="1">IFERROR(__xludf.DUMMYFUNCTION("GOOGLETRANSLATE(A4489,""bn"",""en"")"),"Good quality with some limitations")</f>
        <v>Good quality with some limitations</v>
      </c>
    </row>
    <row r="4490" spans="1:3" ht="15.75" customHeight="1" x14ac:dyDescent="0.25">
      <c r="A4490" s="2" t="s">
        <v>4492</v>
      </c>
      <c r="B4490" s="3" t="s">
        <v>6</v>
      </c>
      <c r="C4490" s="2" t="str">
        <f ca="1">IFERROR(__xludf.DUMMYFUNCTION("GOOGLETRANSLATE(A4490,""bn"",""en"")"),"Item buttons or controls are poorly positioned")</f>
        <v>Item buttons or controls are poorly positioned</v>
      </c>
    </row>
    <row r="4491" spans="1:3" ht="15.75" customHeight="1" x14ac:dyDescent="0.25">
      <c r="A4491" s="2" t="s">
        <v>4493</v>
      </c>
      <c r="B4491" s="3" t="s">
        <v>2</v>
      </c>
      <c r="C4491" s="2" t="str">
        <f ca="1">IFERROR(__xludf.DUMMYFUNCTION("GOOGLETRANSLATE(A4491,""bn"",""en"")"),"An okay sporty polo that is somewhat substantial without being overwhelming")</f>
        <v>An okay sporty polo that is somewhat substantial without being overwhelming</v>
      </c>
    </row>
    <row r="4492" spans="1:3" ht="15.75" customHeight="1" x14ac:dyDescent="0.25">
      <c r="A4492" s="2" t="s">
        <v>4494</v>
      </c>
      <c r="B4492" s="3" t="s">
        <v>2</v>
      </c>
      <c r="C4492" s="2" t="str">
        <f ca="1">IFERROR(__xludf.DUMMYFUNCTION("GOOGLETRANSLATE(A4492,""bn"",""en"")"),"The product is designed to help keep floors clean")</f>
        <v>The product is designed to help keep floors clean</v>
      </c>
    </row>
    <row r="4493" spans="1:3" ht="15.75" customHeight="1" x14ac:dyDescent="0.25">
      <c r="A4493" s="2" t="s">
        <v>4495</v>
      </c>
      <c r="B4493" s="3" t="s">
        <v>6</v>
      </c>
      <c r="C4493" s="2" t="str">
        <f ca="1">IFERROR(__xludf.DUMMYFUNCTION("GOOGLETRANSLATE(A4493,""bn"",""en"")"),"The packaging lacked information about the origin and roast of the coffee")</f>
        <v>The packaging lacked information about the origin and roast of the coffee</v>
      </c>
    </row>
    <row r="4494" spans="1:3" ht="15.75" customHeight="1" x14ac:dyDescent="0.25">
      <c r="A4494" s="2" t="s">
        <v>4496</v>
      </c>
      <c r="B4494" s="3" t="s">
        <v>6</v>
      </c>
      <c r="C4494" s="2" t="str">
        <f ca="1">IFERROR(__xludf.DUMMYFUNCTION("GOOGLETRANSLATE(A4494,""bn"",""en"")"),"It's not good that the pillow cotton is so bad")</f>
        <v>It's not good that the pillow cotton is so bad</v>
      </c>
    </row>
    <row r="4495" spans="1:3" ht="15.75" customHeight="1" x14ac:dyDescent="0.25">
      <c r="A4495" s="2" t="s">
        <v>4497</v>
      </c>
      <c r="B4495" s="3" t="s">
        <v>6</v>
      </c>
      <c r="C4495" s="2" t="str">
        <f ca="1">IFERROR(__xludf.DUMMYFUNCTION("GOOGLETRANSLATE(A4495,""bn"",""en"")"),"  The gel had a thin texture which I didn't like")</f>
        <v xml:space="preserve">  The gel had a thin texture which I didn't like</v>
      </c>
    </row>
    <row r="4496" spans="1:3" ht="15.75" customHeight="1" x14ac:dyDescent="0.25">
      <c r="A4496" s="2" t="s">
        <v>4498</v>
      </c>
      <c r="B4496" s="3" t="s">
        <v>2</v>
      </c>
      <c r="C4496" s="2" t="str">
        <f ca="1">IFERROR(__xludf.DUMMYFUNCTION("GOOGLETRANSLATE(A4496,""bn"",""en"")"),"Running tracksuits are lightweight but wear out after a long time")</f>
        <v>Running tracksuits are lightweight but wear out after a long time</v>
      </c>
    </row>
    <row r="4497" spans="1:3" ht="15.75" customHeight="1" x14ac:dyDescent="0.25">
      <c r="A4497" s="2" t="s">
        <v>4499</v>
      </c>
      <c r="B4497" s="3" t="s">
        <v>2</v>
      </c>
      <c r="C4497" s="2" t="str">
        <f ca="1">IFERROR(__xludf.DUMMYFUNCTION("GOOGLETRANSLATE(A4497,""bn"",""en"")"),"Uncertain whether house prices will increase")</f>
        <v>Uncertain whether house prices will increase</v>
      </c>
    </row>
    <row r="4498" spans="1:3" ht="15.75" customHeight="1" x14ac:dyDescent="0.25">
      <c r="A4498" s="2" t="s">
        <v>4500</v>
      </c>
      <c r="B4498" s="3" t="s">
        <v>2</v>
      </c>
      <c r="C4498" s="2" t="str">
        <f ca="1">IFERROR(__xludf.DUMMYFUNCTION("GOOGLETRANSLATE(A4498,""bn"",""en"")"),"The design is attractive but the stitching is not durable")</f>
        <v>The design is attractive but the stitching is not durable</v>
      </c>
    </row>
    <row r="4499" spans="1:3" ht="15.75" customHeight="1" x14ac:dyDescent="0.25">
      <c r="A4499" s="2" t="s">
        <v>4501</v>
      </c>
      <c r="B4499" s="3" t="s">
        <v>4</v>
      </c>
      <c r="C4499" s="2" t="str">
        <f ca="1">IFERROR(__xludf.DUMMYFUNCTION("GOOGLETRANSLATE(A4499,""bn"",""en"")"),"Flowers are always blooming in our garden")</f>
        <v>Flowers are always blooming in our garden</v>
      </c>
    </row>
    <row r="4500" spans="1:3" ht="15.75" customHeight="1" x14ac:dyDescent="0.25">
      <c r="A4500" s="2" t="s">
        <v>4502</v>
      </c>
      <c r="B4500" s="3" t="s">
        <v>2</v>
      </c>
      <c r="C4500" s="2" t="str">
        <f ca="1">IFERROR(__xludf.DUMMYFUNCTION("GOOGLETRANSLATE(A4500,""bn"",""en"")"),"No special technology was used")</f>
        <v>No special technology was used</v>
      </c>
    </row>
    <row r="4501" spans="1:3" ht="15.75" customHeight="1" x14ac:dyDescent="0.25">
      <c r="A4501" s="2" t="s">
        <v>4503</v>
      </c>
      <c r="B4501" s="3" t="s">
        <v>2</v>
      </c>
      <c r="C4501" s="2" t="str">
        <f ca="1">IFERROR(__xludf.DUMMYFUNCTION("GOOGLETRANSLATE(A4501,""bn"",""en"")"),"Retains warmth but not for long")</f>
        <v>Retains warmth but not for long</v>
      </c>
    </row>
    <row r="4502" spans="1:3" ht="15.75" customHeight="1" x14ac:dyDescent="0.25">
      <c r="A4502" s="2" t="s">
        <v>4504</v>
      </c>
      <c r="B4502" s="3" t="s">
        <v>4</v>
      </c>
      <c r="C4502" s="2" t="str">
        <f ca="1">IFERROR(__xludf.DUMMYFUNCTION("GOOGLETRANSLATE(A4502,""bn"",""en"")"),"Coffee means that there is an experienced artisan behind it")</f>
        <v>Coffee means that there is an experienced artisan behind it</v>
      </c>
    </row>
    <row r="4503" spans="1:3" ht="15.75" customHeight="1" x14ac:dyDescent="0.25">
      <c r="A4503" s="2" t="s">
        <v>4505</v>
      </c>
      <c r="B4503" s="3" t="s">
        <v>2</v>
      </c>
      <c r="C4503" s="2" t="str">
        <f ca="1">IFERROR(__xludf.DUMMYFUNCTION("GOOGLETRANSLATE(A4503,""bn"",""en"")"),"The price is a bit high")</f>
        <v>The price is a bit high</v>
      </c>
    </row>
    <row r="4504" spans="1:3" ht="15.75" customHeight="1" x14ac:dyDescent="0.25">
      <c r="A4504" s="2" t="s">
        <v>4506</v>
      </c>
      <c r="B4504" s="3" t="s">
        <v>6</v>
      </c>
      <c r="C4504" s="2" t="str">
        <f ca="1">IFERROR(__xludf.DUMMYFUNCTION("GOOGLETRANSLATE(A4504,""bn"",""en"")"),"     The hinges are flimsy and prone to breaking causing the doors to sag and not close properly")</f>
        <v xml:space="preserve">     The hinges are flimsy and prone to breaking causing the doors to sag and not close properly</v>
      </c>
    </row>
    <row r="4505" spans="1:3" ht="15.75" customHeight="1" x14ac:dyDescent="0.25">
      <c r="A4505" s="2" t="s">
        <v>4507</v>
      </c>
      <c r="B4505" s="3" t="s">
        <v>2</v>
      </c>
      <c r="C4505" s="2" t="str">
        <f ca="1">IFERROR(__xludf.DUMMYFUNCTION("GOOGLETRANSLATE(A4505,""bn"",""en"")"),"A digital angle finder measures angles but calibration is difficult")</f>
        <v>A digital angle finder measures angles but calibration is difficult</v>
      </c>
    </row>
    <row r="4506" spans="1:3" ht="15.75" customHeight="1" x14ac:dyDescent="0.25">
      <c r="A4506" s="2" t="s">
        <v>4508</v>
      </c>
      <c r="B4506" s="3" t="s">
        <v>2</v>
      </c>
      <c r="C4506" s="2" t="str">
        <f ca="1">IFERROR(__xludf.DUMMYFUNCTION("GOOGLETRANSLATE(A4506,""bn"",""en"")"),"The color looks like the bottle")</f>
        <v>The color looks like the bottle</v>
      </c>
    </row>
    <row r="4507" spans="1:3" ht="15.75" customHeight="1" x14ac:dyDescent="0.25">
      <c r="A4507" s="2" t="s">
        <v>4509</v>
      </c>
      <c r="B4507" s="3" t="s">
        <v>4</v>
      </c>
      <c r="C4507" s="2" t="str">
        <f ca="1">IFERROR(__xludf.DUMMYFUNCTION("GOOGLETRANSLATE(A4507,""bn"",""en"")"),"Each product in the kit can be easily removed")</f>
        <v>Each product in the kit can be easily removed</v>
      </c>
    </row>
    <row r="4508" spans="1:3" ht="15.75" customHeight="1" x14ac:dyDescent="0.25">
      <c r="A4508" s="2" t="s">
        <v>4510</v>
      </c>
      <c r="B4508" s="3" t="s">
        <v>6</v>
      </c>
      <c r="C4508" s="2" t="str">
        <f ca="1">IFERROR(__xludf.DUMMYFUNCTION("GOOGLETRANSLATE(A4508,""bn"",""en"")"),"The garment lacks proper lining causing it to cling uncomfortably and ride up when walking or sitting")</f>
        <v>The garment lacks proper lining causing it to cling uncomfortably and ride up when walking or sitting</v>
      </c>
    </row>
    <row r="4509" spans="1:3" ht="15.75" customHeight="1" x14ac:dyDescent="0.25">
      <c r="A4509" s="2" t="s">
        <v>4511</v>
      </c>
      <c r="B4509" s="3" t="s">
        <v>6</v>
      </c>
      <c r="C4509" s="2" t="str">
        <f ca="1">IFERROR(__xludf.DUMMYFUNCTION("GOOGLETRANSLATE(A4509,""bn"",""en"")"),"The shoulder straps are not padded which causes discomfort when worn for long periods of time")</f>
        <v>The shoulder straps are not padded which causes discomfort when worn for long periods of time</v>
      </c>
    </row>
    <row r="4510" spans="1:3" ht="15.75" customHeight="1" x14ac:dyDescent="0.25">
      <c r="A4510" s="2" t="s">
        <v>4512</v>
      </c>
      <c r="B4510" s="3" t="s">
        <v>4</v>
      </c>
      <c r="C4510" s="2" t="str">
        <f ca="1">IFERROR(__xludf.DUMMYFUNCTION("GOOGLETRANSLATE(A4510,""bn"",""en"")"),"Great product and arrived quickly")</f>
        <v>Great product and arrived quickly</v>
      </c>
    </row>
    <row r="4511" spans="1:3" ht="15.75" customHeight="1" x14ac:dyDescent="0.25">
      <c r="A4511" s="2" t="s">
        <v>4513</v>
      </c>
      <c r="B4511" s="3" t="s">
        <v>6</v>
      </c>
      <c r="C4511" s="2" t="str">
        <f ca="1">IFERROR(__xludf.DUMMYFUNCTION("GOOGLETRANSLATE(A4511,""bn"",""en"")"),"Got a poor quality control with a damaged hemline and torn pages")</f>
        <v>Got a poor quality control with a damaged hemline and torn pages</v>
      </c>
    </row>
    <row r="4512" spans="1:3" ht="15.75" customHeight="1" x14ac:dyDescent="0.25">
      <c r="A4512" s="2" t="s">
        <v>4514</v>
      </c>
      <c r="B4512" s="3" t="s">
        <v>6</v>
      </c>
      <c r="C4512" s="2" t="str">
        <f ca="1">IFERROR(__xludf.DUMMYFUNCTION("GOOGLETRANSLATE(A4512,""bn"",""en"")"),"The tea tasted sour indicating low fermentation or poor quality leaves")</f>
        <v>The tea tasted sour indicating low fermentation or poor quality leaves</v>
      </c>
    </row>
    <row r="4513" spans="1:3" ht="15.75" customHeight="1" x14ac:dyDescent="0.25">
      <c r="A4513" s="2" t="s">
        <v>4515</v>
      </c>
      <c r="B4513" s="3" t="s">
        <v>4</v>
      </c>
      <c r="C4513" s="2" t="str">
        <f ca="1">IFERROR(__xludf.DUMMYFUNCTION("GOOGLETRANSLATE(A4513,""bn"",""en"")"),"The toothpaste formula is very effective and beneficial for teeth")</f>
        <v>The toothpaste formula is very effective and beneficial for teeth</v>
      </c>
    </row>
    <row r="4514" spans="1:3" ht="15.75" customHeight="1" x14ac:dyDescent="0.25">
      <c r="A4514" s="2" t="s">
        <v>4516</v>
      </c>
      <c r="B4514" s="3" t="s">
        <v>6</v>
      </c>
      <c r="C4514" s="2" t="str">
        <f ca="1">IFERROR(__xludf.DUMMYFUNCTION("GOOGLETRANSLATE(A4514,""bn"",""en"")"),"The consistency of the shampoo was very thick making it challenging to rinse")</f>
        <v>The consistency of the shampoo was very thick making it challenging to rinse</v>
      </c>
    </row>
    <row r="4515" spans="1:3" ht="15.75" customHeight="1" x14ac:dyDescent="0.25">
      <c r="A4515" s="2" t="s">
        <v>4517</v>
      </c>
      <c r="B4515" s="3" t="s">
        <v>4</v>
      </c>
      <c r="C4515" s="2" t="str">
        <f ca="1">IFERROR(__xludf.DUMMYFUNCTION("GOOGLETRANSLATE(A4515,""bn"",""en"")"),"Teeth feel clean and smooth after using the product")</f>
        <v>Teeth feel clean and smooth after using the product</v>
      </c>
    </row>
    <row r="4516" spans="1:3" ht="15.75" customHeight="1" x14ac:dyDescent="0.25">
      <c r="A4516" s="2" t="s">
        <v>4518</v>
      </c>
      <c r="B4516" s="3" t="s">
        <v>4</v>
      </c>
      <c r="C4516" s="2" t="str">
        <f ca="1">IFERROR(__xludf.DUMMYFUNCTION("GOOGLETRANSLATE(A4516,""bn"",""en"")"),"works well")</f>
        <v>works well</v>
      </c>
    </row>
    <row r="4517" spans="1:3" ht="15.75" customHeight="1" x14ac:dyDescent="0.25">
      <c r="A4517" s="2" t="s">
        <v>4519</v>
      </c>
      <c r="B4517" s="3" t="s">
        <v>4</v>
      </c>
      <c r="C4517" s="2" t="str">
        <f ca="1">IFERROR(__xludf.DUMMYFUNCTION("GOOGLETRANSLATE(A4517,""bn"",""en"")"),"Every day brings joy and never disappoints")</f>
        <v>Every day brings joy and never disappoints</v>
      </c>
    </row>
    <row r="4518" spans="1:3" ht="15.75" customHeight="1" x14ac:dyDescent="0.25">
      <c r="A4518" s="2" t="s">
        <v>4520</v>
      </c>
      <c r="B4518" s="3" t="s">
        <v>2</v>
      </c>
      <c r="C4518" s="2" t="str">
        <f ca="1">IFERROR(__xludf.DUMMYFUNCTION("GOOGLETRANSLATE(A4518,""bn"",""en"")"),"May help in nail growth")</f>
        <v>May help in nail growth</v>
      </c>
    </row>
    <row r="4519" spans="1:3" ht="15.75" customHeight="1" x14ac:dyDescent="0.25">
      <c r="A4519" s="2" t="s">
        <v>4521</v>
      </c>
      <c r="B4519" s="3" t="s">
        <v>4</v>
      </c>
      <c r="C4519" s="2" t="str">
        <f ca="1">IFERROR(__xludf.DUMMYFUNCTION("GOOGLETRANSLATE(A4519,""bn"",""en"")"),"Works very impressive")</f>
        <v>Works very impressive</v>
      </c>
    </row>
    <row r="4520" spans="1:3" ht="15.75" customHeight="1" x14ac:dyDescent="0.25">
      <c r="A4520" s="2" t="s">
        <v>4522</v>
      </c>
      <c r="B4520" s="3" t="s">
        <v>4</v>
      </c>
      <c r="C4520" s="2" t="str">
        <f ca="1">IFERROR(__xludf.DUMMYFUNCTION("GOOGLETRANSLATE(A4520,""bn"",""en"")"),"Every time I drink this coffee I feel a blissful moment")</f>
        <v>Every time I drink this coffee I feel a blissful moment</v>
      </c>
    </row>
    <row r="4521" spans="1:3" ht="15.75" customHeight="1" x14ac:dyDescent="0.25">
      <c r="A4521" s="2" t="s">
        <v>4523</v>
      </c>
      <c r="B4521" s="3" t="s">
        <v>4</v>
      </c>
      <c r="C4521" s="2" t="str">
        <f ca="1">IFERROR(__xludf.DUMMYFUNCTION("GOOGLETRANSLATE(A4521,""bn"",""en"")"),"Makeup brushes can create different effects")</f>
        <v>Makeup brushes can create different effects</v>
      </c>
    </row>
    <row r="4522" spans="1:3" ht="15.75" customHeight="1" x14ac:dyDescent="0.25">
      <c r="A4522" s="2" t="s">
        <v>4524</v>
      </c>
      <c r="B4522" s="3" t="s">
        <v>6</v>
      </c>
      <c r="C4522" s="2" t="str">
        <f ca="1">IFERROR(__xludf.DUMMYFUNCTION("GOOGLETRANSLATE(A4522,""bn"",""en"")"),"The stitching or seams of the bag have come loose and completely torn")</f>
        <v>The stitching or seams of the bag have come loose and completely torn</v>
      </c>
    </row>
    <row r="4523" spans="1:3" ht="15.75" customHeight="1" x14ac:dyDescent="0.25">
      <c r="A4523" s="2" t="s">
        <v>4525</v>
      </c>
      <c r="B4523" s="3" t="s">
        <v>2</v>
      </c>
      <c r="C4523" s="2" t="str">
        <f ca="1">IFERROR(__xludf.DUMMYFUNCTION("GOOGLETRANSLATE(A4523,""bn"",""en"")"),"Fertilizers were effective at times but overall did not increase yield much")</f>
        <v>Fertilizers were effective at times but overall did not increase yield much</v>
      </c>
    </row>
    <row r="4524" spans="1:3" ht="15.75" customHeight="1" x14ac:dyDescent="0.25">
      <c r="A4524" s="2" t="s">
        <v>4526</v>
      </c>
      <c r="B4524" s="3" t="s">
        <v>6</v>
      </c>
      <c r="C4524" s="2" t="str">
        <f ca="1">IFERROR(__xludf.DUMMYFUNCTION("GOOGLETRANSLATE(A4524,""bn"",""en"")"),"The heavyweight construction makes it difficult to handle")</f>
        <v>The heavyweight construction makes it difficult to handle</v>
      </c>
    </row>
    <row r="4525" spans="1:3" ht="15.75" customHeight="1" x14ac:dyDescent="0.25">
      <c r="A4525" s="2" t="s">
        <v>4527</v>
      </c>
      <c r="B4525" s="3" t="s">
        <v>2</v>
      </c>
      <c r="C4525" s="2" t="str">
        <f ca="1">IFERROR(__xludf.DUMMYFUNCTION("GOOGLETRANSLATE(A4525,""bn"",""en"")"),"The mixing process is straightforward")</f>
        <v>The mixing process is straightforward</v>
      </c>
    </row>
    <row r="4526" spans="1:3" ht="15.75" customHeight="1" x14ac:dyDescent="0.25">
      <c r="A4526" s="2" t="s">
        <v>4528</v>
      </c>
      <c r="B4526" s="3" t="s">
        <v>4</v>
      </c>
      <c r="C4526" s="2" t="str">
        <f ca="1">IFERROR(__xludf.DUMMYFUNCTION("GOOGLETRANSLATE(A4526,""bn"",""en"")"),"The author's imagination is admirable")</f>
        <v>The author's imagination is admirable</v>
      </c>
    </row>
    <row r="4527" spans="1:3" ht="15.75" customHeight="1" x14ac:dyDescent="0.25">
      <c r="A4527" s="2" t="s">
        <v>4529</v>
      </c>
      <c r="B4527" s="3" t="s">
        <v>2</v>
      </c>
      <c r="C4527" s="2" t="str">
        <f ca="1">IFERROR(__xludf.DUMMYFUNCTION("GOOGLETRANSLATE(A4527,""bn"",""en"")"),"Quality is fairly good but nothing special")</f>
        <v>Quality is fairly good but nothing special</v>
      </c>
    </row>
    <row r="4528" spans="1:3" ht="15.75" customHeight="1" x14ac:dyDescent="0.25">
      <c r="A4528" s="2" t="s">
        <v>4530</v>
      </c>
      <c r="B4528" s="3" t="s">
        <v>6</v>
      </c>
      <c r="C4528" s="2" t="str">
        <f ca="1">IFERROR(__xludf.DUMMYFUNCTION("GOOGLETRANSLATE(A4528,""bn"",""en"")"),"Trackpad is sometimes unresponsive requiring multiple taps to register a click")</f>
        <v>Trackpad is sometimes unresponsive requiring multiple taps to register a click</v>
      </c>
    </row>
    <row r="4529" spans="1:3" ht="15.75" customHeight="1" x14ac:dyDescent="0.25">
      <c r="A4529" s="2" t="s">
        <v>4531</v>
      </c>
      <c r="B4529" s="3" t="s">
        <v>2</v>
      </c>
      <c r="C4529" s="2" t="str">
        <f ca="1">IFERROR(__xludf.DUMMYFUNCTION("GOOGLETRANSLATE(A4529,""bn"",""en"")"),"Perfect value for your money some pieces are not so nice")</f>
        <v>Perfect value for your money some pieces are not so nice</v>
      </c>
    </row>
    <row r="4530" spans="1:3" ht="15.75" customHeight="1" x14ac:dyDescent="0.25">
      <c r="A4530" s="2" t="s">
        <v>4532</v>
      </c>
      <c r="B4530" s="3" t="s">
        <v>2</v>
      </c>
      <c r="C4530" s="2" t="str">
        <f ca="1">IFERROR(__xludf.DUMMYFUNCTION("GOOGLETRANSLATE(A4530,""bn"",""en"")"),"May help boost morale")</f>
        <v>May help boost morale</v>
      </c>
    </row>
    <row r="4531" spans="1:3" ht="15.75" customHeight="1" x14ac:dyDescent="0.25">
      <c r="A4531" s="2" t="s">
        <v>4533</v>
      </c>
      <c r="B4531" s="3" t="s">
        <v>2</v>
      </c>
      <c r="C4531" s="2" t="str">
        <f ca="1">IFERROR(__xludf.DUMMYFUNCTION("GOOGLETRANSLATE(A4531,""bn"",""en"")"),"Somewhat satisfied with this shirt but not perfect")</f>
        <v>Somewhat satisfied with this shirt but not perfect</v>
      </c>
    </row>
    <row r="4532" spans="1:3" ht="15.75" customHeight="1" x14ac:dyDescent="0.25">
      <c r="A4532" s="2" t="s">
        <v>4534</v>
      </c>
      <c r="B4532" s="3" t="s">
        <v>4</v>
      </c>
      <c r="C4532" s="2" t="str">
        <f ca="1">IFERROR(__xludf.DUMMYFUNCTION("GOOGLETRANSLATE(A4532,""bn"",""en"")"),"Suitable for modern rooms")</f>
        <v>Suitable for modern rooms</v>
      </c>
    </row>
    <row r="4533" spans="1:3" ht="15.75" customHeight="1" x14ac:dyDescent="0.25">
      <c r="A4533" s="2" t="s">
        <v>4535</v>
      </c>
      <c r="B4533" s="3" t="s">
        <v>6</v>
      </c>
      <c r="C4533" s="2" t="str">
        <f ca="1">IFERROR(__xludf.DUMMYFUNCTION("GOOGLETRANSLATE(A4533,""bn"",""en"")"),"Misfitting lids cause constant spillage during use")</f>
        <v>Misfitting lids cause constant spillage during use</v>
      </c>
    </row>
    <row r="4534" spans="1:3" ht="15.75" customHeight="1" x14ac:dyDescent="0.25">
      <c r="A4534" s="2" t="s">
        <v>4536</v>
      </c>
      <c r="B4534" s="3" t="s">
        <v>4</v>
      </c>
      <c r="C4534" s="2" t="str">
        <f ca="1">IFERROR(__xludf.DUMMYFUNCTION("GOOGLETRANSLATE(A4534,""bn"",""en"")")," Read the review instruction manual and bought it working very well")</f>
        <v xml:space="preserve"> Read the review instruction manual and bought it working very well</v>
      </c>
    </row>
    <row r="4535" spans="1:3" ht="15.75" customHeight="1" x14ac:dyDescent="0.25">
      <c r="A4535" s="2" t="s">
        <v>4537</v>
      </c>
      <c r="B4535" s="3" t="s">
        <v>4</v>
      </c>
      <c r="C4535" s="2" t="str">
        <f ca="1">IFERROR(__xludf.DUMMYFUNCTION("GOOGLETRANSLATE(A4535,""bn"",""en"")"),"The bag's zippers work smoothly and are durable")</f>
        <v>The bag's zippers work smoothly and are durable</v>
      </c>
    </row>
    <row r="4536" spans="1:3" ht="15.75" customHeight="1" x14ac:dyDescent="0.25">
      <c r="A4536" s="2" t="s">
        <v>4538</v>
      </c>
      <c r="B4536" s="3" t="s">
        <v>2</v>
      </c>
      <c r="C4536" s="2" t="str">
        <f ca="1">IFERROR(__xludf.DUMMYFUNCTION("GOOGLETRANSLATE(A4536,""bn"",""en"")"),"Prevents my rings from sliding but may be uncomfortable for some")</f>
        <v>Prevents my rings from sliding but may be uncomfortable for some</v>
      </c>
    </row>
    <row r="4537" spans="1:3" ht="15.75" customHeight="1" x14ac:dyDescent="0.25">
      <c r="A4537" s="2" t="s">
        <v>4539</v>
      </c>
      <c r="B4537" s="3" t="s">
        <v>6</v>
      </c>
      <c r="C4537" s="2" t="str">
        <f ca="1">IFERROR(__xludf.DUMMYFUNCTION("GOOGLETRANSLATE(A4537,""bn"",""en"")"),"The smart water bottle lid mechanism breaks easily rendering the bottle unusable")</f>
        <v>The smart water bottle lid mechanism breaks easily rendering the bottle unusable</v>
      </c>
    </row>
    <row r="4538" spans="1:3" ht="15.75" customHeight="1" x14ac:dyDescent="0.25">
      <c r="A4538" s="2" t="s">
        <v>4540</v>
      </c>
      <c r="B4538" s="3" t="s">
        <v>4</v>
      </c>
      <c r="C4538" s="2" t="str">
        <f ca="1">IFERROR(__xludf.DUMMYFUNCTION("GOOGLETRANSLATE(A4538,""bn"",""en"")"),"This vase with plastic flowers has enhanced the beauty of my room")</f>
        <v>This vase with plastic flowers has enhanced the beauty of my room</v>
      </c>
    </row>
    <row r="4539" spans="1:3" ht="15.75" customHeight="1" x14ac:dyDescent="0.25">
      <c r="A4539" s="2" t="s">
        <v>4541</v>
      </c>
      <c r="B4539" s="3" t="s">
        <v>6</v>
      </c>
      <c r="C4539" s="2" t="str">
        <f ca="1">IFERROR(__xludf.DUMMYFUNCTION("GOOGLETRANSLATE(A4539,""bn"",""en"")"),"Unsatisfactory sustainability is a recurring problem")</f>
        <v>Unsatisfactory sustainability is a recurring problem</v>
      </c>
    </row>
    <row r="4540" spans="1:3" ht="15.75" customHeight="1" x14ac:dyDescent="0.25">
      <c r="A4540" s="2" t="s">
        <v>4542</v>
      </c>
      <c r="B4540" s="3" t="s">
        <v>2</v>
      </c>
      <c r="C4540" s="2" t="str">
        <f ca="1">IFERROR(__xludf.DUMMYFUNCTION("GOOGLETRANSLATE(A4540,""bn"",""en"")"),"Makes exercise so much fun but not strenuous")</f>
        <v>Makes exercise so much fun but not strenuous</v>
      </c>
    </row>
    <row r="4541" spans="1:3" ht="15.75" customHeight="1" x14ac:dyDescent="0.25">
      <c r="A4541" s="2" t="s">
        <v>4543</v>
      </c>
      <c r="B4541" s="3" t="s">
        <v>4</v>
      </c>
      <c r="C4541" s="2" t="str">
        <f ca="1">IFERROR(__xludf.DUMMYFUNCTION("GOOGLETRANSLATE(A4541,""bn"",""en"")"),"The filter is efficient and easy to clean")</f>
        <v>The filter is efficient and easy to clean</v>
      </c>
    </row>
    <row r="4542" spans="1:3" ht="15.75" customHeight="1" x14ac:dyDescent="0.25">
      <c r="A4542" s="2" t="s">
        <v>4544</v>
      </c>
      <c r="B4542" s="3" t="s">
        <v>6</v>
      </c>
      <c r="C4542" s="2" t="str">
        <f ca="1">IFERROR(__xludf.DUMMYFUNCTION("GOOGLETRANSLATE(A4542,""bn"",""en"")"),"The frozen chicken nuggets were rubbery and tasted like cardboard with no real chicken flavor.")</f>
        <v>The frozen chicken nuggets were rubbery and tasted like cardboard with no real chicken flavor.</v>
      </c>
    </row>
    <row r="4543" spans="1:3" ht="15.75" customHeight="1" x14ac:dyDescent="0.25">
      <c r="A4543" s="2" t="s">
        <v>4545</v>
      </c>
      <c r="B4543" s="3" t="s">
        <v>4</v>
      </c>
      <c r="C4543" s="2" t="str">
        <f ca="1">IFERROR(__xludf.DUMMYFUNCTION("GOOGLETRANSLATE(A4543,""bn"",""en"")"),"Using shampoo makes the hair smooth and shiny")</f>
        <v>Using shampoo makes the hair smooth and shiny</v>
      </c>
    </row>
    <row r="4544" spans="1:3" ht="15.75" customHeight="1" x14ac:dyDescent="0.25">
      <c r="A4544" s="2" t="s">
        <v>4546</v>
      </c>
      <c r="B4544" s="3" t="s">
        <v>6</v>
      </c>
      <c r="C4544" s="2" t="str">
        <f ca="1">IFERROR(__xludf.DUMMYFUNCTION("GOOGLETRANSLATE(A4544,""bn"",""en"")"),"The tea lid does not fit securely and rattles when lifted")</f>
        <v>The tea lid does not fit securely and rattles when lifted</v>
      </c>
    </row>
    <row r="4545" spans="1:3" ht="15.75" customHeight="1" x14ac:dyDescent="0.25">
      <c r="A4545" s="2" t="s">
        <v>4547</v>
      </c>
      <c r="B4545" s="3" t="s">
        <v>6</v>
      </c>
      <c r="C4545" s="2" t="str">
        <f ca="1">IFERROR(__xludf.DUMMYFUNCTION("GOOGLETRANSLATE(A4545,""bn"",""en"")"),"The prepackaged sandwich had soggy bread and tasted like it had been sitting out for a long time")</f>
        <v>The prepackaged sandwich had soggy bread and tasted like it had been sitting out for a long time</v>
      </c>
    </row>
    <row r="4546" spans="1:3" ht="15.75" customHeight="1" x14ac:dyDescent="0.25">
      <c r="A4546" s="2" t="s">
        <v>4548</v>
      </c>
      <c r="B4546" s="3" t="s">
        <v>4</v>
      </c>
      <c r="C4546" s="2" t="str">
        <f ca="1">IFERROR(__xludf.DUMMYFUNCTION("GOOGLETRANSLATE(A4546,""bn"",""en"")"),"This TV mount is easy to setup and sturdy")</f>
        <v>This TV mount is easy to setup and sturdy</v>
      </c>
    </row>
    <row r="4547" spans="1:3" ht="15.75" customHeight="1" x14ac:dyDescent="0.25">
      <c r="A4547" s="2" t="s">
        <v>4549</v>
      </c>
      <c r="B4547" s="3" t="s">
        <v>4</v>
      </c>
      <c r="C4547" s="2" t="str">
        <f ca="1">IFERROR(__xludf.DUMMYFUNCTION("GOOGLETRANSLATE(A4547,""bn"",""en"")"),"The pencil is of excellent quality writing is very clear and beautiful")</f>
        <v>The pencil is of excellent quality writing is very clear and beautiful</v>
      </c>
    </row>
    <row r="4548" spans="1:3" ht="15.75" customHeight="1" x14ac:dyDescent="0.25">
      <c r="A4548" s="2" t="s">
        <v>4550</v>
      </c>
      <c r="B4548" s="3" t="s">
        <v>4</v>
      </c>
      <c r="C4548" s="2" t="str">
        <f ca="1">IFERROR(__xludf.DUMMYFUNCTION("GOOGLETRANSLATE(A4548,""bn"",""en"")"),"The cooling and heating mode can be changed quickly which is very useful during the change of season")</f>
        <v>The cooling and heating mode can be changed quickly which is very useful during the change of season</v>
      </c>
    </row>
    <row r="4549" spans="1:3" ht="15.75" customHeight="1" x14ac:dyDescent="0.25">
      <c r="A4549" s="2" t="s">
        <v>4551</v>
      </c>
      <c r="B4549" s="3" t="s">
        <v>6</v>
      </c>
      <c r="C4549" s="2" t="str">
        <f ca="1">IFERROR(__xludf.DUMMYFUNCTION("GOOGLETRANSLATE(A4549,""bn"",""en"")"),"The seams of the product were poorly glued and separated easily")</f>
        <v>The seams of the product were poorly glued and separated easily</v>
      </c>
    </row>
    <row r="4550" spans="1:3" ht="15.75" customHeight="1" x14ac:dyDescent="0.25">
      <c r="A4550" s="2" t="s">
        <v>4552</v>
      </c>
      <c r="B4550" s="3" t="s">
        <v>6</v>
      </c>
      <c r="C4550" s="2" t="str">
        <f ca="1">IFERROR(__xludf.DUMMYFUNCTION("GOOGLETRANSLATE(A4550,""bn"",""en"")"),"Makeup setting powders contain flashback-inducing ingredients that create a ghostly look in photos")</f>
        <v>Makeup setting powders contain flashback-inducing ingredients that create a ghostly look in photos</v>
      </c>
    </row>
    <row r="4551" spans="1:3" ht="15.75" customHeight="1" x14ac:dyDescent="0.25">
      <c r="A4551" s="2" t="s">
        <v>4553</v>
      </c>
      <c r="B4551" s="3" t="s">
        <v>6</v>
      </c>
      <c r="C4551" s="2" t="str">
        <f ca="1">IFERROR(__xludf.DUMMYFUNCTION("GOOGLETRANSLATE(A4551,""bn"",""en"")")," The tea was poorly packaged and wrinkled and holey requiring extensive steaming")</f>
        <v xml:space="preserve"> The tea was poorly packaged and wrinkled and holey requiring extensive steaming</v>
      </c>
    </row>
    <row r="4552" spans="1:3" ht="15.75" customHeight="1" x14ac:dyDescent="0.25">
      <c r="A4552" s="2" t="s">
        <v>4554</v>
      </c>
      <c r="B4552" s="3" t="s">
        <v>4</v>
      </c>
      <c r="C4552" s="2" t="str">
        <f ca="1">IFERROR(__xludf.DUMMYFUNCTION("GOOGLETRANSLATE(A4552,""bn"",""en"")"),"Great value")</f>
        <v>Great value</v>
      </c>
    </row>
    <row r="4553" spans="1:3" ht="15.75" customHeight="1" x14ac:dyDescent="0.25">
      <c r="A4553" s="2" t="s">
        <v>4555</v>
      </c>
      <c r="B4553" s="3" t="s">
        <v>6</v>
      </c>
      <c r="C4553" s="2" t="str">
        <f ca="1">IFERROR(__xludf.DUMMYFUNCTION("GOOGLETRANSLATE(A4553,""bn"",""en"")"),"The item arrived broken and unusable")</f>
        <v>The item arrived broken and unusable</v>
      </c>
    </row>
    <row r="4554" spans="1:3" ht="15.75" customHeight="1" x14ac:dyDescent="0.25">
      <c r="A4554" s="2" t="s">
        <v>4556</v>
      </c>
      <c r="B4554" s="3" t="s">
        <v>4</v>
      </c>
      <c r="C4554" s="2" t="str">
        <f ca="1">IFERROR(__xludf.DUMMYFUNCTION("GOOGLETRANSLATE(A4554,""bn"",""en"")"),"The bookcase height is perfect so all books are easily within reach")</f>
        <v>The bookcase height is perfect so all books are easily within reach</v>
      </c>
    </row>
    <row r="4555" spans="1:3" ht="15.75" customHeight="1" x14ac:dyDescent="0.25">
      <c r="A4555" s="2" t="s">
        <v>4557</v>
      </c>
      <c r="B4555" s="3" t="s">
        <v>6</v>
      </c>
      <c r="C4555" s="2" t="str">
        <f ca="1">IFERROR(__xludf.DUMMYFUNCTION("GOOGLETRANSLATE(A4555,""bn"",""en"")"),"Cam Plus Wise Security Plan Camera Event Video Cloud Storage Smart Detection P")</f>
        <v>Cam Plus Wise Security Plan Camera Event Video Cloud Storage Smart Detection P</v>
      </c>
    </row>
    <row r="4556" spans="1:3" ht="15.75" customHeight="1" x14ac:dyDescent="0.25">
      <c r="A4556" s="2" t="s">
        <v>4558</v>
      </c>
      <c r="B4556" s="3" t="s">
        <v>6</v>
      </c>
      <c r="C4556" s="2" t="str">
        <f ca="1">IFERROR(__xludf.DUMMYFUNCTION("GOOGLETRANSLATE(A4556,""bn"",""en"")"),"The limited warranty coverage made me feel insecure")</f>
        <v>The limited warranty coverage made me feel insecure</v>
      </c>
    </row>
    <row r="4557" spans="1:3" ht="15.75" customHeight="1" x14ac:dyDescent="0.25">
      <c r="A4557" s="2" t="s">
        <v>4559</v>
      </c>
      <c r="B4557" s="3" t="s">
        <v>2</v>
      </c>
      <c r="C4557" s="2" t="str">
        <f ca="1">IFERROR(__xludf.DUMMYFUNCTION("GOOGLETRANSLATE(A4557,""bn"",""en"")"),"Not the best deal either")</f>
        <v>Not the best deal either</v>
      </c>
    </row>
    <row r="4558" spans="1:3" ht="15.75" customHeight="1" x14ac:dyDescent="0.25">
      <c r="A4558" s="2" t="s">
        <v>4560</v>
      </c>
      <c r="B4558" s="3" t="s">
        <v>4</v>
      </c>
      <c r="C4558" s="2" t="str">
        <f ca="1">IFERROR(__xludf.DUMMYFUNCTION("GOOGLETRANSLATE(A4558,""bn"",""en"")"),"Its flavor is very good")</f>
        <v>Its flavor is very good</v>
      </c>
    </row>
    <row r="4559" spans="1:3" ht="15.75" customHeight="1" x14ac:dyDescent="0.25">
      <c r="A4559" s="2" t="s">
        <v>4561</v>
      </c>
      <c r="B4559" s="3" t="s">
        <v>2</v>
      </c>
      <c r="C4559" s="2" t="str">
        <f ca="1">IFERROR(__xludf.DUMMYFUNCTION("GOOGLETRANSLATE(A4559,""bn"",""en"")"),"Good quality but some pieces are missing")</f>
        <v>Good quality but some pieces are missing</v>
      </c>
    </row>
    <row r="4560" spans="1:3" ht="15.75" customHeight="1" x14ac:dyDescent="0.25">
      <c r="A4560" s="2" t="s">
        <v>4562</v>
      </c>
      <c r="B4560" s="3" t="s">
        <v>4</v>
      </c>
      <c r="C4560" s="2" t="str">
        <f ca="1">IFERROR(__xludf.DUMMYFUNCTION("GOOGLETRANSLATE(A4560,""bn"",""en"")"),"There are built-in lights inside the wardrobe")</f>
        <v>There are built-in lights inside the wardrobe</v>
      </c>
    </row>
    <row r="4561" spans="1:3" ht="15.75" customHeight="1" x14ac:dyDescent="0.25">
      <c r="A4561" s="2" t="s">
        <v>4563</v>
      </c>
      <c r="B4561" s="3" t="s">
        <v>4</v>
      </c>
      <c r="C4561" s="2" t="str">
        <f ca="1">IFERROR(__xludf.DUMMYFUNCTION("GOOGLETRANSLATE(A4561,""bn"",""en"")"),"Honey can be used as a sweetener in tea or coffee")</f>
        <v>Honey can be used as a sweetener in tea or coffee</v>
      </c>
    </row>
    <row r="4562" spans="1:3" ht="15.75" customHeight="1" x14ac:dyDescent="0.25">
      <c r="A4562" s="2" t="s">
        <v>4564</v>
      </c>
      <c r="B4562" s="3" t="s">
        <v>4</v>
      </c>
      <c r="C4562" s="2" t="str">
        <f ca="1">IFERROR(__xludf.DUMMYFUNCTION("GOOGLETRANSLATE(A4562,""bn"",""en"")"),"This book for kids is educational and fun")</f>
        <v>This book for kids is educational and fun</v>
      </c>
    </row>
    <row r="4563" spans="1:3" ht="15.75" customHeight="1" x14ac:dyDescent="0.25">
      <c r="A4563" s="2" t="s">
        <v>4565</v>
      </c>
      <c r="B4563" s="3" t="s">
        <v>2</v>
      </c>
      <c r="C4563" s="2" t="str">
        <f ca="1">IFERROR(__xludf.DUMMYFUNCTION("GOOGLETRANSLATE(A4563,""bn"",""en"")"),"It felt uncomfortable at first use but later became a habit")</f>
        <v>It felt uncomfortable at first use but later became a habit</v>
      </c>
    </row>
    <row r="4564" spans="1:3" ht="15.75" customHeight="1" x14ac:dyDescent="0.25">
      <c r="A4564" s="2" t="s">
        <v>4566</v>
      </c>
      <c r="B4564" s="3" t="s">
        <v>6</v>
      </c>
      <c r="C4564" s="2" t="str">
        <f ca="1">IFERROR(__xludf.DUMMYFUNCTION("GOOGLETRANSLATE(A4564,""bn"",""en"")"),"Beware of trade isolation issues below")</f>
        <v>Beware of trade isolation issues below</v>
      </c>
    </row>
    <row r="4565" spans="1:3" ht="15.75" customHeight="1" x14ac:dyDescent="0.25">
      <c r="A4565" s="2" t="s">
        <v>4567</v>
      </c>
      <c r="B4565" s="3" t="s">
        <v>6</v>
      </c>
      <c r="C4565" s="2" t="str">
        <f ca="1">IFERROR(__xludf.DUMMYFUNCTION("GOOGLETRANSLATE(A4565,""bn"",""en"")"),"The charger's USB ports are too close together, making it difficult to plug in multiple devices at once")</f>
        <v>The charger's USB ports are too close together, making it difficult to plug in multiple devices at once</v>
      </c>
    </row>
    <row r="4566" spans="1:3" ht="15.75" customHeight="1" x14ac:dyDescent="0.25">
      <c r="A4566" s="2" t="s">
        <v>4568</v>
      </c>
      <c r="B4566" s="3" t="s">
        <v>2</v>
      </c>
      <c r="C4566" s="2" t="str">
        <f ca="1">IFERROR(__xludf.DUMMYFUNCTION("GOOGLETRANSLATE(A4566,""bn"",""en"")"),"The way to mount the sharpener is not specified")</f>
        <v>The way to mount the sharpener is not specified</v>
      </c>
    </row>
    <row r="4567" spans="1:3" ht="15.75" customHeight="1" x14ac:dyDescent="0.25">
      <c r="A4567" s="2" t="s">
        <v>4569</v>
      </c>
      <c r="B4567" s="3" t="s">
        <v>4</v>
      </c>
      <c r="C4567" s="2" t="str">
        <f ca="1">IFERROR(__xludf.DUMMYFUNCTION("GOOGLETRANSLATE(A4567,""bn"",""en"")"),"The size of the pendants fit my face shape perfectly")</f>
        <v>The size of the pendants fit my face shape perfectly</v>
      </c>
    </row>
    <row r="4568" spans="1:3" ht="15.75" customHeight="1" x14ac:dyDescent="0.25">
      <c r="A4568" s="2" t="s">
        <v>4570</v>
      </c>
      <c r="B4568" s="3" t="s">
        <v>4</v>
      </c>
      <c r="C4568" s="2" t="str">
        <f ca="1">IFERROR(__xludf.DUMMYFUNCTION("GOOGLETRANSLATE(A4568,""bn"",""en"")"),"Product acceptable means good")</f>
        <v>Product acceptable means good</v>
      </c>
    </row>
    <row r="4569" spans="1:3" ht="15.75" customHeight="1" x14ac:dyDescent="0.25">
      <c r="A4569" s="2" t="s">
        <v>4571</v>
      </c>
      <c r="B4569" s="3" t="s">
        <v>6</v>
      </c>
      <c r="C4569" s="2" t="str">
        <f ca="1">IFERROR(__xludf.DUMMYFUNCTION("GOOGLETRANSLATE(A4569,""bn"",""en"")"),"Makeup sponges absorb too much product and ruin expensive foundations and concealers")</f>
        <v>Makeup sponges absorb too much product and ruin expensive foundations and concealers</v>
      </c>
    </row>
    <row r="4570" spans="1:3" ht="15.75" customHeight="1" x14ac:dyDescent="0.25">
      <c r="A4570" s="2" t="s">
        <v>4572</v>
      </c>
      <c r="B4570" s="3" t="s">
        <v>4</v>
      </c>
      <c r="C4570" s="2" t="str">
        <f ca="1">IFERROR(__xludf.DUMMYFUNCTION("GOOGLETRANSLATE(A4570,""bn"",""en"")"),"Amazing product")</f>
        <v>Amazing product</v>
      </c>
    </row>
    <row r="4571" spans="1:3" ht="15.75" customHeight="1" x14ac:dyDescent="0.25">
      <c r="A4571" s="2" t="s">
        <v>4573</v>
      </c>
      <c r="B4571" s="3" t="s">
        <v>4</v>
      </c>
      <c r="C4571" s="2" t="str">
        <f ca="1">IFERROR(__xludf.DUMMYFUNCTION("GOOGLETRANSLATE(A4571,""bn"",""en"")"),"The garment is available in different sizes")</f>
        <v>The garment is available in different sizes</v>
      </c>
    </row>
    <row r="4572" spans="1:3" ht="15.75" customHeight="1" x14ac:dyDescent="0.25">
      <c r="A4572" s="2" t="s">
        <v>4574</v>
      </c>
      <c r="B4572" s="3" t="s">
        <v>6</v>
      </c>
      <c r="C4572" s="2" t="str">
        <f ca="1">IFERROR(__xludf.DUMMYFUNCTION("GOOGLETRANSLATE(A4572,""bn"",""en"")"),"A loose fridge door seal allows cold air to escape and warm air to enter.")</f>
        <v>A loose fridge door seal allows cold air to escape and warm air to enter.</v>
      </c>
    </row>
    <row r="4573" spans="1:3" ht="15.75" customHeight="1" x14ac:dyDescent="0.25">
      <c r="A4573" s="2" t="s">
        <v>4575</v>
      </c>
      <c r="B4573" s="3" t="s">
        <v>4</v>
      </c>
      <c r="C4573" s="2" t="str">
        <f ca="1">IFERROR(__xludf.DUMMYFUNCTION("GOOGLETRANSLATE(A4573,""bn"",""en"")"),"This book is very interesting to read")</f>
        <v>This book is very interesting to read</v>
      </c>
    </row>
    <row r="4574" spans="1:3" ht="15.75" customHeight="1" x14ac:dyDescent="0.25">
      <c r="A4574" s="2" t="s">
        <v>4576</v>
      </c>
      <c r="B4574" s="3" t="s">
        <v>4</v>
      </c>
      <c r="C4574" s="2" t="str">
        <f ca="1">IFERROR(__xludf.DUMMYFUNCTION("GOOGLETRANSLATE(A4574,""bn"",""en"")"),"The cupboard door glass is very clear and transparent")</f>
        <v>The cupboard door glass is very clear and transparent</v>
      </c>
    </row>
    <row r="4575" spans="1:3" ht="15.75" customHeight="1" x14ac:dyDescent="0.25">
      <c r="A4575" s="2" t="s">
        <v>4577</v>
      </c>
      <c r="B4575" s="3" t="s">
        <v>2</v>
      </c>
      <c r="C4575" s="2" t="str">
        <f ca="1">IFERROR(__xludf.DUMMYFUNCTION("GOOGLETRANSLATE(A4575,""bn"",""en"")"),"The bluetooth tracker helps to find things but drains the battery quickly")</f>
        <v>The bluetooth tracker helps to find things but drains the battery quickly</v>
      </c>
    </row>
    <row r="4576" spans="1:3" ht="15.75" customHeight="1" x14ac:dyDescent="0.25">
      <c r="A4576" s="2" t="s">
        <v>4578</v>
      </c>
      <c r="B4576" s="3" t="s">
        <v>4</v>
      </c>
      <c r="C4576" s="2" t="str">
        <f ca="1">IFERROR(__xludf.DUMMYFUNCTION("GOOGLETRANSLATE(A4576,""bn"",""en"")"),"It is best for cleaning teeth")</f>
        <v>It is best for cleaning teeth</v>
      </c>
    </row>
    <row r="4577" spans="1:3" ht="15.75" customHeight="1" x14ac:dyDescent="0.25">
      <c r="A4577" s="2" t="s">
        <v>4579</v>
      </c>
      <c r="B4577" s="3" t="s">
        <v>4</v>
      </c>
      <c r="C4577" s="2" t="str">
        <f ca="1">IFERROR(__xludf.DUMMYFUNCTION("GOOGLETRANSLATE(A4577,""bn"",""en"")"),"Each product in the kit is tailored to suit the skin tone")</f>
        <v>Each product in the kit is tailored to suit the skin tone</v>
      </c>
    </row>
    <row r="4578" spans="1:3" ht="15.75" customHeight="1" x14ac:dyDescent="0.25">
      <c r="A4578" s="2" t="s">
        <v>4580</v>
      </c>
      <c r="B4578" s="3" t="s">
        <v>2</v>
      </c>
      <c r="C4578" s="2" t="str">
        <f ca="1">IFERROR(__xludf.DUMMYFUNCTION("GOOGLETRANSLATE(A4578,""bn"",""en"")"),"The tea is very good but the price is a bit high despite not being a hobby item")</f>
        <v>The tea is very good but the price is a bit high despite not being a hobby item</v>
      </c>
    </row>
    <row r="4579" spans="1:3" ht="15.75" customHeight="1" x14ac:dyDescent="0.25">
      <c r="A4579" s="2" t="s">
        <v>4581</v>
      </c>
      <c r="B4579" s="3" t="s">
        <v>4</v>
      </c>
      <c r="C4579" s="2" t="str">
        <f ca="1">IFERROR(__xludf.DUMMYFUNCTION("GOOGLETRANSLATE(A4579,""bn"",""en"")"),"The camera performance of the device is excellent")</f>
        <v>The camera performance of the device is excellent</v>
      </c>
    </row>
    <row r="4580" spans="1:3" ht="15.75" customHeight="1" x14ac:dyDescent="0.25">
      <c r="A4580" s="2" t="s">
        <v>4582</v>
      </c>
      <c r="B4580" s="3" t="s">
        <v>6</v>
      </c>
      <c r="C4580" s="2" t="str">
        <f ca="1">IFERROR(__xludf.DUMMYFUNCTION("GOOGLETRANSLATE(A4580,""bn"",""en"")"),"Unhealthy Doll Mars Buck Appeal")</f>
        <v>Unhealthy Doll Mars Buck Appeal</v>
      </c>
    </row>
    <row r="4581" spans="1:3" ht="15.75" customHeight="1" x14ac:dyDescent="0.25">
      <c r="A4581" s="2" t="s">
        <v>4583</v>
      </c>
      <c r="B4581" s="3" t="s">
        <v>2</v>
      </c>
      <c r="C4581" s="2" t="str">
        <f ca="1">IFERROR(__xludf.DUMMYFUNCTION("GOOGLETRANSLATE(A4581,""bn"",""en"")"),"The toothpaste tube has the brand logo")</f>
        <v>The toothpaste tube has the brand logo</v>
      </c>
    </row>
    <row r="4582" spans="1:3" ht="15.75" customHeight="1" x14ac:dyDescent="0.25">
      <c r="A4582" s="2" t="s">
        <v>4584</v>
      </c>
      <c r="B4582" s="3" t="s">
        <v>6</v>
      </c>
      <c r="C4582" s="2" t="str">
        <f ca="1">IFERROR(__xludf.DUMMYFUNCTION("GOOGLETRANSLATE(A4582,""bn"",""en"")"),"The fabric feels thin and lacks substance")</f>
        <v>The fabric feels thin and lacks substance</v>
      </c>
    </row>
    <row r="4583" spans="1:3" ht="15.75" customHeight="1" x14ac:dyDescent="0.25">
      <c r="A4583" s="2" t="s">
        <v>4585</v>
      </c>
      <c r="B4583" s="3" t="s">
        <v>6</v>
      </c>
      <c r="C4583" s="2" t="str">
        <f ca="1">IFERROR(__xludf.DUMMYFUNCTION("GOOGLETRANSLATE(A4583,""bn"",""en"")"),"Frequent connection issues are frustrating")</f>
        <v>Frequent connection issues are frustrating</v>
      </c>
    </row>
    <row r="4584" spans="1:3" ht="15.75" customHeight="1" x14ac:dyDescent="0.25">
      <c r="A4584" s="2" t="s">
        <v>4586</v>
      </c>
      <c r="B4584" s="3" t="s">
        <v>4</v>
      </c>
      <c r="C4584" s="2" t="str">
        <f ca="1">IFERROR(__xludf.DUMMYFUNCTION("GOOGLETRANSLATE(A4584,""bn"",""en"")"),"The pad really impressed me with its amazing comfort and it became my favorite since the first time I used it")</f>
        <v>The pad really impressed me with its amazing comfort and it became my favorite since the first time I used it</v>
      </c>
    </row>
    <row r="4585" spans="1:3" ht="15.75" customHeight="1" x14ac:dyDescent="0.25">
      <c r="A4585" s="2" t="s">
        <v>4587</v>
      </c>
      <c r="B4585" s="3" t="s">
        <v>6</v>
      </c>
      <c r="C4585" s="2" t="str">
        <f ca="1">IFERROR(__xludf.DUMMYFUNCTION("GOOGLETRANSLATE(A4585,""bn"",""en"")"),"Smart door lock fingerprint sensor not working can't unlock door")</f>
        <v>Smart door lock fingerprint sensor not working can't unlock door</v>
      </c>
    </row>
    <row r="4586" spans="1:3" ht="15.75" customHeight="1" x14ac:dyDescent="0.25">
      <c r="A4586" s="2" t="s">
        <v>4588</v>
      </c>
      <c r="B4586" s="3" t="s">
        <v>2</v>
      </c>
      <c r="C4586" s="2" t="str">
        <f ca="1">IFERROR(__xludf.DUMMYFUNCTION("GOOGLETRANSLATE(A4586,""bn"",""en"")"),"Light hand rub should be used during use")</f>
        <v>Light hand rub should be used during use</v>
      </c>
    </row>
    <row r="4587" spans="1:3" ht="15.75" customHeight="1" x14ac:dyDescent="0.25">
      <c r="A4587" s="2" t="s">
        <v>4589</v>
      </c>
      <c r="B4587" s="3" t="s">
        <v>4</v>
      </c>
      <c r="C4587" s="2" t="str">
        <f ca="1">IFERROR(__xludf.DUMMYFUNCTION("GOOGLETRANSLATE(A4587,""bn"",""en"")"),"This body wash enhances the natural glow of the skin")</f>
        <v>This body wash enhances the natural glow of the skin</v>
      </c>
    </row>
    <row r="4588" spans="1:3" ht="15.75" customHeight="1" x14ac:dyDescent="0.25">
      <c r="A4588" s="2" t="s">
        <v>4590</v>
      </c>
      <c r="B4588" s="3" t="s">
        <v>2</v>
      </c>
      <c r="C4588" s="2" t="str">
        <f ca="1">IFERROR(__xludf.DUMMYFUNCTION("GOOGLETRANSLATE(A4588,""bn"",""en"")"),"The handle can be comfortable to hold in the plastic hand")</f>
        <v>The handle can be comfortable to hold in the plastic hand</v>
      </c>
    </row>
    <row r="4589" spans="1:3" ht="15.75" customHeight="1" x14ac:dyDescent="0.25">
      <c r="A4589" s="2" t="s">
        <v>4591</v>
      </c>
      <c r="B4589" s="3" t="s">
        <v>4</v>
      </c>
      <c r="C4589" s="2" t="str">
        <f ca="1">IFERROR(__xludf.DUMMYFUNCTION("GOOGLETRANSLATE(A4589,""bn"",""en"")"),"The lamp is perfect for room lighting")</f>
        <v>The lamp is perfect for room lighting</v>
      </c>
    </row>
    <row r="4590" spans="1:3" ht="15.75" customHeight="1" x14ac:dyDescent="0.25">
      <c r="A4590" s="2" t="s">
        <v>4592</v>
      </c>
      <c r="B4590" s="3" t="s">
        <v>2</v>
      </c>
      <c r="C4590" s="2" t="str">
        <f ca="1">IFERROR(__xludf.DUMMYFUNCTION("GOOGLETRANSLATE(A4590,""bn"",""en"")"),"The toothpaste includes cavity prevention formula")</f>
        <v>The toothpaste includes cavity prevention formula</v>
      </c>
    </row>
    <row r="4591" spans="1:3" ht="15.75" customHeight="1" x14ac:dyDescent="0.25">
      <c r="A4591" s="2" t="s">
        <v>4593</v>
      </c>
      <c r="B4591" s="3" t="s">
        <v>6</v>
      </c>
      <c r="C4591" s="2" t="str">
        <f ca="1">IFERROR(__xludf.DUMMYFUNCTION("GOOGLETRANSLATE(A4591,""bn"",""en"")"),"Paint colors were too transparent requiring multiple layers")</f>
        <v>Paint colors were too transparent requiring multiple layers</v>
      </c>
    </row>
    <row r="4592" spans="1:3" ht="15.75" customHeight="1" x14ac:dyDescent="0.25">
      <c r="A4592" s="2" t="s">
        <v>4594</v>
      </c>
      <c r="B4592" s="3" t="s">
        <v>6</v>
      </c>
      <c r="C4592" s="2" t="str">
        <f ca="1">IFERROR(__xludf.DUMMYFUNCTION("GOOGLETRANSLATE(A4592,""bn"",""en"")"),"Avoid unsatisfactory purchasing experiences")</f>
        <v>Avoid unsatisfactory purchasing experiences</v>
      </c>
    </row>
    <row r="4593" spans="1:3" ht="15.75" customHeight="1" x14ac:dyDescent="0.25">
      <c r="A4593" s="2" t="s">
        <v>4595</v>
      </c>
      <c r="B4593" s="3" t="s">
        <v>4</v>
      </c>
      <c r="C4593" s="2" t="str">
        <f ca="1">IFERROR(__xludf.DUMMYFUNCTION("GOOGLETRANSLATE(A4593,""bn"",""en"")"),"The handle of this hair brush is very comfortable to hold in the hand")</f>
        <v>The handle of this hair brush is very comfortable to hold in the hand</v>
      </c>
    </row>
    <row r="4594" spans="1:3" ht="15.75" customHeight="1" x14ac:dyDescent="0.25">
      <c r="A4594" s="2" t="s">
        <v>4596</v>
      </c>
      <c r="B4594" s="3" t="s">
        <v>4</v>
      </c>
      <c r="C4594" s="2" t="str">
        <f ca="1">IFERROR(__xludf.DUMMYFUNCTION("GOOGLETRANSLATE(A4594,""bn"",""en"")"),"Our home environment is always calm")</f>
        <v>Our home environment is always calm</v>
      </c>
    </row>
    <row r="4595" spans="1:3" ht="15.75" customHeight="1" x14ac:dyDescent="0.25">
      <c r="A4595" s="2" t="s">
        <v>4597</v>
      </c>
      <c r="B4595" s="3" t="s">
        <v>4</v>
      </c>
      <c r="C4595" s="2" t="str">
        <f ca="1">IFERROR(__xludf.DUMMYFUNCTION("GOOGLETRANSLATE(A4595,""bn"",""en"")"),"The battery backup is excellent and can be used for a long time with continuous hours of battery life which is really commendable")</f>
        <v>The battery backup is excellent and can be used for a long time with continuous hours of battery life which is really commendable</v>
      </c>
    </row>
    <row r="4596" spans="1:3" ht="15.75" customHeight="1" x14ac:dyDescent="0.25">
      <c r="A4596" s="2" t="s">
        <v>4598</v>
      </c>
      <c r="B4596" s="3" t="s">
        <v>4</v>
      </c>
      <c r="C4596" s="2" t="str">
        <f ca="1">IFERROR(__xludf.DUMMYFUNCTION("GOOGLETRANSLATE(A4596,""bn"",""en"")"),"The edges of the containers are designed in such a way that they can be neatly stacked on top of each other for easy storage.")</f>
        <v>The edges of the containers are designed in such a way that they can be neatly stacked on top of each other for easy storage.</v>
      </c>
    </row>
    <row r="4597" spans="1:3" ht="15.75" customHeight="1" x14ac:dyDescent="0.25">
      <c r="A4597" s="2" t="s">
        <v>4599</v>
      </c>
      <c r="B4597" s="3" t="s">
        <v>4</v>
      </c>
      <c r="C4597" s="2" t="str">
        <f ca="1">IFERROR(__xludf.DUMMYFUNCTION("GOOGLETRANSLATE(A4597,""bn"",""en"")"),"Good charger ")</f>
        <v xml:space="preserve">Good charger </v>
      </c>
    </row>
    <row r="4598" spans="1:3" ht="15.75" customHeight="1" x14ac:dyDescent="0.25">
      <c r="A4598" s="2" t="s">
        <v>4600</v>
      </c>
      <c r="B4598" s="3" t="s">
        <v>6</v>
      </c>
      <c r="C4598" s="2" t="str">
        <f ca="1">IFERROR(__xludf.DUMMYFUNCTION("GOOGLETRANSLATE(A4598,""bn"",""en"")"),"The aroma was weak and bland, lacking the complexity of a quality tea")</f>
        <v>The aroma was weak and bland, lacking the complexity of a quality tea</v>
      </c>
    </row>
    <row r="4599" spans="1:3" ht="15.75" customHeight="1" x14ac:dyDescent="0.25">
      <c r="A4599" s="2" t="s">
        <v>4601</v>
      </c>
      <c r="B4599" s="3" t="s">
        <v>2</v>
      </c>
      <c r="C4599" s="2" t="str">
        <f ca="1">IFERROR(__xludf.DUMMYFUNCTION("GOOGLETRANSLATE(A4599,""bn"",""en"")"),"Just a simple purchase is not so extraordinary")</f>
        <v>Just a simple purchase is not so extraordinary</v>
      </c>
    </row>
    <row r="4600" spans="1:3" ht="15.75" customHeight="1" x14ac:dyDescent="0.25">
      <c r="A4600" s="2" t="s">
        <v>4602</v>
      </c>
      <c r="B4600" s="3" t="s">
        <v>2</v>
      </c>
      <c r="C4600" s="2" t="str">
        <f ca="1">IFERROR(__xludf.DUMMYFUNCTION("GOOGLETRANSLATE(A4600,""bn"",""en"")"),"Product quality is good app is ok but sound is not perfect")</f>
        <v>Product quality is good app is ok but sound is not perfect</v>
      </c>
    </row>
    <row r="4601" spans="1:3" ht="15.75" customHeight="1" x14ac:dyDescent="0.25">
      <c r="A4601" s="2" t="s">
        <v>4603</v>
      </c>
      <c r="B4601" s="3" t="s">
        <v>6</v>
      </c>
      <c r="C4601" s="2" t="str">
        <f ca="1">IFERROR(__xludf.DUMMYFUNCTION("GOOGLETRANSLATE(A4601,""bn"",""en"")"),"Product performance was limited and uncontrolled")</f>
        <v>Product performance was limited and uncontrolled</v>
      </c>
    </row>
    <row r="4602" spans="1:3" ht="15.75" customHeight="1" x14ac:dyDescent="0.25">
      <c r="A4602" s="2" t="s">
        <v>4604</v>
      </c>
      <c r="B4602" s="3" t="s">
        <v>6</v>
      </c>
      <c r="C4602" s="2" t="str">
        <f ca="1">IFERROR(__xludf.DUMMYFUNCTION("GOOGLETRANSLATE(A4602,""bn"",""en"")"),"The slippery surface made it difficult to grasp safely")</f>
        <v>The slippery surface made it difficult to grasp safely</v>
      </c>
    </row>
    <row r="4603" spans="1:3" ht="15.75" customHeight="1" x14ac:dyDescent="0.25">
      <c r="A4603" s="2" t="s">
        <v>4605</v>
      </c>
      <c r="B4603" s="3" t="s">
        <v>6</v>
      </c>
      <c r="C4603" s="2" t="str">
        <f ca="1">IFERROR(__xludf.DUMMYFUNCTION("GOOGLETRANSLATE(A4603,""bn"",""en"")"),"Unstable error disappointing reliability")</f>
        <v>Unstable error disappointing reliability</v>
      </c>
    </row>
    <row r="4604" spans="1:3" ht="15.75" customHeight="1" x14ac:dyDescent="0.25">
      <c r="A4604" s="2" t="s">
        <v>4606</v>
      </c>
      <c r="B4604" s="3" t="s">
        <v>4</v>
      </c>
      <c r="C4604" s="2" t="str">
        <f ca="1">IFERROR(__xludf.DUMMYFUNCTION("GOOGLETRANSLATE(A4604,""bn"",""en"")"),"This is my family's favorite biscuit")</f>
        <v>This is my family's favorite biscuit</v>
      </c>
    </row>
    <row r="4605" spans="1:3" ht="15.75" customHeight="1" x14ac:dyDescent="0.25">
      <c r="A4605" s="2" t="s">
        <v>4607</v>
      </c>
      <c r="B4605" s="3" t="s">
        <v>2</v>
      </c>
      <c r="C4605" s="2" t="str">
        <f ca="1">IFERROR(__xludf.DUMMYFUNCTION("GOOGLETRANSLATE(A4605,""bn"",""en"")"),"Chain pedal gear is good but discolored")</f>
        <v>Chain pedal gear is good but discolored</v>
      </c>
    </row>
    <row r="4606" spans="1:3" ht="15.75" customHeight="1" x14ac:dyDescent="0.25">
      <c r="A4606" s="2" t="s">
        <v>4608</v>
      </c>
      <c r="B4606" s="3" t="s">
        <v>2</v>
      </c>
      <c r="C4606" s="2" t="str">
        <f ca="1">IFERROR(__xludf.DUMMYFUNCTION("GOOGLETRANSLATE(A4606,""bn"",""en"")")," The waterproof performance of the camera may be limited")</f>
        <v xml:space="preserve"> The waterproof performance of the camera may be limited</v>
      </c>
    </row>
    <row r="4607" spans="1:3" ht="15.75" customHeight="1" x14ac:dyDescent="0.25">
      <c r="A4607" s="2" t="s">
        <v>4609</v>
      </c>
      <c r="B4607" s="3" t="s">
        <v>6</v>
      </c>
      <c r="C4607" s="2" t="str">
        <f ca="1">IFERROR(__xludf.DUMMYFUNCTION("GOOGLETRANSLATE(A4607,""bn"",""en"")"),"A laptop fan spins too loudly, disrupting a quiet working environment")</f>
        <v>A laptop fan spins too loudly, disrupting a quiet working environment</v>
      </c>
    </row>
    <row r="4608" spans="1:3" ht="15.75" customHeight="1" x14ac:dyDescent="0.25">
      <c r="A4608" s="2" t="s">
        <v>4610</v>
      </c>
      <c r="B4608" s="3" t="s">
        <v>4</v>
      </c>
      <c r="C4608" s="2" t="str">
        <f ca="1">IFERROR(__xludf.DUMMYFUNCTION("GOOGLETRANSLATE(A4608,""bn"",""en"")"),"Every color blended so beautifully with each other")</f>
        <v>Every color blended so beautifully with each other</v>
      </c>
    </row>
    <row r="4609" spans="1:3" ht="15.75" customHeight="1" x14ac:dyDescent="0.25">
      <c r="A4609" s="2" t="s">
        <v>4611</v>
      </c>
      <c r="B4609" s="3" t="s">
        <v>6</v>
      </c>
      <c r="C4609" s="2" t="str">
        <f ca="1">IFERROR(__xludf.DUMMYFUNCTION("GOOGLETRANSLATE(A4609,""bn"",""en"")"),"  Size was much smaller than advertised unable to fit essentials")</f>
        <v xml:space="preserve">  Size was much smaller than advertised unable to fit essentials</v>
      </c>
    </row>
    <row r="4610" spans="1:3" ht="15.75" customHeight="1" x14ac:dyDescent="0.25">
      <c r="A4610" s="2" t="s">
        <v>4612</v>
      </c>
      <c r="B4610" s="3" t="s">
        <v>4</v>
      </c>
      <c r="C4610" s="2" t="str">
        <f ca="1">IFERROR(__xludf.DUMMYFUNCTION("GOOGLETRANSLATE(A4610,""bn"",""en"")"),"The bookshelf is very light so it can be easily moved")</f>
        <v>The bookshelf is very light so it can be easily moved</v>
      </c>
    </row>
    <row r="4611" spans="1:3" ht="15.75" customHeight="1" x14ac:dyDescent="0.25">
      <c r="A4611" s="2" t="s">
        <v>4613</v>
      </c>
      <c r="B4611" s="3" t="s">
        <v>6</v>
      </c>
      <c r="C4611" s="2" t="str">
        <f ca="1">IFERROR(__xludf.DUMMYFUNCTION("GOOGLETRANSLATE(A4611,""bn"",""en"")"),"The exterior of the fridge gets easily bruised compromising its appearance")</f>
        <v>The exterior of the fridge gets easily bruised compromising its appearance</v>
      </c>
    </row>
    <row r="4612" spans="1:3" ht="15.75" customHeight="1" x14ac:dyDescent="0.25">
      <c r="A4612" s="2" t="s">
        <v>4614</v>
      </c>
      <c r="B4612" s="3" t="s">
        <v>4</v>
      </c>
      <c r="C4612" s="2" t="str">
        <f ca="1">IFERROR(__xludf.DUMMYFUNCTION("GOOGLETRANSLATE(A4612,""bn"",""en"")"),"The trees in our garden have grown very tall")</f>
        <v>The trees in our garden have grown very tall</v>
      </c>
    </row>
    <row r="4613" spans="1:3" ht="15.75" customHeight="1" x14ac:dyDescent="0.25">
      <c r="A4613" s="2" t="s">
        <v>4615</v>
      </c>
      <c r="B4613" s="3" t="s">
        <v>6</v>
      </c>
      <c r="C4613" s="2" t="str">
        <f ca="1">IFERROR(__xludf.DUMMYFUNCTION("GOOGLETRANSLATE(A4613,""bn"",""en"")"),"Dishwasher door latch is broken not closing properly")</f>
        <v>Dishwasher door latch is broken not closing properly</v>
      </c>
    </row>
    <row r="4614" spans="1:3" ht="15.75" customHeight="1" x14ac:dyDescent="0.25">
      <c r="A4614" s="2" t="s">
        <v>4616</v>
      </c>
      <c r="B4614" s="3" t="s">
        <v>4</v>
      </c>
      <c r="C4614" s="2" t="str">
        <f ca="1">IFERROR(__xludf.DUMMYFUNCTION("GOOGLETRANSLATE(A4614,""bn"",""en"")"),"The bottle closes well")</f>
        <v>The bottle closes well</v>
      </c>
    </row>
    <row r="4615" spans="1:3" ht="15.75" customHeight="1" x14ac:dyDescent="0.25">
      <c r="A4615" s="2" t="s">
        <v>4617</v>
      </c>
      <c r="B4615" s="3" t="s">
        <v>4</v>
      </c>
      <c r="C4615" s="2" t="str">
        <f ca="1">IFERROR(__xludf.DUMMYFUNCTION("GOOGLETRANSLATE(A4615,""bn"",""en"")"),"Enjoyed reading every page")</f>
        <v>Enjoyed reading every page</v>
      </c>
    </row>
    <row r="4616" spans="1:3" ht="15.75" customHeight="1" x14ac:dyDescent="0.25">
      <c r="A4616" s="2" t="s">
        <v>4618</v>
      </c>
      <c r="B4616" s="3" t="s">
        <v>4</v>
      </c>
      <c r="C4616" s="2" t="str">
        <f ca="1">IFERROR(__xludf.DUMMYFUNCTION("GOOGLETRANSLATE(A4616,""bn"",""en"")"),"Its wood quality is very good it does not break easily")</f>
        <v>Its wood quality is very good it does not break easily</v>
      </c>
    </row>
    <row r="4617" spans="1:3" ht="15.75" customHeight="1" x14ac:dyDescent="0.25">
      <c r="A4617" s="2" t="s">
        <v>4619</v>
      </c>
      <c r="B4617" s="3" t="s">
        <v>6</v>
      </c>
      <c r="C4617" s="2" t="str">
        <f ca="1">IFERROR(__xludf.DUMMYFUNCTION("GOOGLETRANSLATE(A4617,""bn"",""en"")")," There were loose threads hanging from tee seams that had to be trimmed before wearing")</f>
        <v xml:space="preserve"> There were loose threads hanging from tee seams that had to be trimmed before wearing</v>
      </c>
    </row>
    <row r="4618" spans="1:3" ht="15.75" customHeight="1" x14ac:dyDescent="0.25">
      <c r="A4618" s="2" t="s">
        <v>4620</v>
      </c>
      <c r="B4618" s="3" t="s">
        <v>4</v>
      </c>
      <c r="C4618" s="2" t="str">
        <f ca="1">IFERROR(__xludf.DUMMYFUNCTION("GOOGLETRANSLATE(A4618,""bn"",""en"")"),"The sound staging is so good that if you close your eyes it feels like you are listening to a live performance")</f>
        <v>The sound staging is so good that if you close your eyes it feels like you are listening to a live performance</v>
      </c>
    </row>
    <row r="4619" spans="1:3" ht="15.75" customHeight="1" x14ac:dyDescent="0.25">
      <c r="A4619" s="2" t="s">
        <v>4621</v>
      </c>
      <c r="B4619" s="3" t="s">
        <v>2</v>
      </c>
      <c r="C4619" s="2" t="str">
        <f ca="1">IFERROR(__xludf.DUMMYFUNCTION("GOOGLETRANSLATE(A4619,""bn"",""en"")"),"The mop cloth retains some of the dust")</f>
        <v>The mop cloth retains some of the dust</v>
      </c>
    </row>
    <row r="4620" spans="1:3" ht="15.75" customHeight="1" x14ac:dyDescent="0.25">
      <c r="A4620" s="2" t="s">
        <v>4622</v>
      </c>
      <c r="B4620" s="3" t="s">
        <v>6</v>
      </c>
      <c r="C4620" s="2" t="str">
        <f ca="1">IFERROR(__xludf.DUMMYFUNCTION("GOOGLETRANSLATE(A4620,""bn"",""en"")"),"Dry shampoo leaves my hair feeling dirtier than before and smells weird")</f>
        <v>Dry shampoo leaves my hair feeling dirtier than before and smells weird</v>
      </c>
    </row>
    <row r="4621" spans="1:3" ht="15.75" customHeight="1" x14ac:dyDescent="0.25">
      <c r="A4621" s="2" t="s">
        <v>4623</v>
      </c>
      <c r="B4621" s="3" t="s">
        <v>4</v>
      </c>
      <c r="C4621" s="2" t="str">
        <f ca="1">IFERROR(__xludf.DUMMYFUNCTION("GOOGLETRANSLATE(A4621,""bn"",""en"")"),"The grip of the pen is very easy to hold and writes smoothly")</f>
        <v>The grip of the pen is very easy to hold and writes smoothly</v>
      </c>
    </row>
    <row r="4622" spans="1:3" ht="15.75" customHeight="1" x14ac:dyDescent="0.25">
      <c r="A4622" s="2" t="s">
        <v>4624</v>
      </c>
      <c r="B4622" s="3" t="s">
        <v>2</v>
      </c>
      <c r="C4622" s="2" t="str">
        <f ca="1">IFERROR(__xludf.DUMMYFUNCTION("GOOGLETRANSLATE(A4622,""bn"",""en"")"),"Fabric average")</f>
        <v>Fabric average</v>
      </c>
    </row>
    <row r="4623" spans="1:3" ht="15.75" customHeight="1" x14ac:dyDescent="0.25">
      <c r="A4623" s="2" t="s">
        <v>4625</v>
      </c>
      <c r="B4623" s="3" t="s">
        <v>6</v>
      </c>
      <c r="C4623" s="2" t="str">
        <f ca="1">IFERROR(__xludf.DUMMYFUNCTION("GOOGLETRANSLATE(A4623,""bn"",""en"")"),"Electric scooter battery life is much less range limited than advertised")</f>
        <v>Electric scooter battery life is much less range limited than advertised</v>
      </c>
    </row>
    <row r="4624" spans="1:3" ht="15.75" customHeight="1" x14ac:dyDescent="0.25">
      <c r="A4624" s="2" t="s">
        <v>4626</v>
      </c>
      <c r="B4624" s="3" t="s">
        <v>6</v>
      </c>
      <c r="C4624" s="2" t="str">
        <f ca="1">IFERROR(__xludf.DUMMYFUNCTION("GOOGLETRANSLATE(A4624,""bn"",""en"")"),"not good")</f>
        <v>not good</v>
      </c>
    </row>
    <row r="4625" spans="1:3" ht="15.75" customHeight="1" x14ac:dyDescent="0.25">
      <c r="A4625" s="2" t="s">
        <v>4627</v>
      </c>
      <c r="B4625" s="3" t="s">
        <v>2</v>
      </c>
      <c r="C4625" s="2" t="str">
        <f ca="1">IFERROR(__xludf.DUMMYFUNCTION("GOOGLETRANSLATE(A4625,""bn"",""en"")"),"Absorption capacity is fairly good")</f>
        <v>Absorption capacity is fairly good</v>
      </c>
    </row>
    <row r="4626" spans="1:3" ht="15.75" customHeight="1" x14ac:dyDescent="0.25">
      <c r="A4626" s="2" t="s">
        <v>4628</v>
      </c>
      <c r="B4626" s="3" t="s">
        <v>4</v>
      </c>
      <c r="C4626" s="2" t="str">
        <f ca="1">IFERROR(__xludf.DUMMYFUNCTION("GOOGLETRANSLATE(A4626,""bn"",""en"")"),"The makeup kit delivers professional quality results")</f>
        <v>The makeup kit delivers professional quality results</v>
      </c>
    </row>
    <row r="4627" spans="1:3" ht="15.75" customHeight="1" x14ac:dyDescent="0.25">
      <c r="A4627" s="2" t="s">
        <v>4629</v>
      </c>
      <c r="B4627" s="3" t="s">
        <v>6</v>
      </c>
      <c r="C4627" s="2" t="str">
        <f ca="1">IFERROR(__xludf.DUMMYFUNCTION("GOOGLETRANSLATE(A4627,""bn"",""en"")"),"The design lacks practicality for everyday wear, disappointing functionality")</f>
        <v>The design lacks practicality for everyday wear, disappointing functionality</v>
      </c>
    </row>
    <row r="4628" spans="1:3" ht="15.75" customHeight="1" x14ac:dyDescent="0.25">
      <c r="A4628" s="2" t="s">
        <v>4630</v>
      </c>
      <c r="B4628" s="3" t="s">
        <v>4</v>
      </c>
      <c r="C4628" s="2" t="str">
        <f ca="1">IFERROR(__xludf.DUMMYFUNCTION("GOOGLETRANSLATE(A4628,""bn"",""en"")"),"The girl has excelled in her exams")</f>
        <v>The girl has excelled in her exams</v>
      </c>
    </row>
    <row r="4629" spans="1:3" ht="15.75" customHeight="1" x14ac:dyDescent="0.25">
      <c r="A4629" s="2" t="s">
        <v>4631</v>
      </c>
      <c r="B4629" s="3" t="s">
        <v>4</v>
      </c>
      <c r="C4629" s="2" t="str">
        <f ca="1">IFERROR(__xludf.DUMMYFUNCTION("GOOGLETRANSLATE(A4629,""bn"",""en"")"),"The design and comfort of the shoe is perfect")</f>
        <v>The design and comfort of the shoe is perfect</v>
      </c>
    </row>
    <row r="4630" spans="1:3" ht="15.75" customHeight="1" x14ac:dyDescent="0.25">
      <c r="A4630" s="2" t="s">
        <v>4632</v>
      </c>
      <c r="B4630" s="3" t="s">
        <v>2</v>
      </c>
      <c r="C4630" s="2" t="str">
        <f ca="1">IFERROR(__xludf.DUMMYFUNCTION("GOOGLETRANSLATE(A4630,""bn"",""en"")"),"Camera quality is good but review and question section may contain some wrong information")</f>
        <v>Camera quality is good but review and question section may contain some wrong information</v>
      </c>
    </row>
    <row r="4631" spans="1:3" ht="15.75" customHeight="1" x14ac:dyDescent="0.25">
      <c r="A4631" s="2" t="s">
        <v>4633</v>
      </c>
      <c r="B4631" s="3" t="s">
        <v>6</v>
      </c>
      <c r="C4631" s="2" t="str">
        <f ca="1">IFERROR(__xludf.DUMMYFUNCTION("GOOGLETRANSLATE(A4631,""bn"",""en"")"),"The packaged ramen noodles were overly salty and had a weird artificial flavor")</f>
        <v>The packaged ramen noodles were overly salty and had a weird artificial flavor</v>
      </c>
    </row>
    <row r="4632" spans="1:3" ht="15.75" customHeight="1" x14ac:dyDescent="0.25">
      <c r="A4632" s="2" t="s">
        <v>4634</v>
      </c>
      <c r="B4632" s="3" t="s">
        <v>4</v>
      </c>
      <c r="C4632" s="2" t="str">
        <f ca="1">IFERROR(__xludf.DUMMYFUNCTION("GOOGLETRANSLATE(A4632,""bn"",""en"")"),"This body wash improves skin elasticity")</f>
        <v>This body wash improves skin elasticity</v>
      </c>
    </row>
    <row r="4633" spans="1:3" ht="15.75" customHeight="1" x14ac:dyDescent="0.25">
      <c r="A4633" s="2" t="s">
        <v>4635</v>
      </c>
      <c r="B4633" s="3" t="s">
        <v>6</v>
      </c>
      <c r="C4633" s="2" t="str">
        <f ca="1">IFERROR(__xludf.DUMMYFUNCTION("GOOGLETRANSLATE(A4633,""bn"",""en"")"),"The camera's battery life is disappointingly short requiring frequent recharging")</f>
        <v>The camera's battery life is disappointingly short requiring frequent recharging</v>
      </c>
    </row>
    <row r="4634" spans="1:3" ht="15.75" customHeight="1" x14ac:dyDescent="0.25">
      <c r="A4634" s="2" t="s">
        <v>4636</v>
      </c>
      <c r="B4634" s="3" t="s">
        <v>6</v>
      </c>
      <c r="C4634" s="2" t="str">
        <f ca="1">IFERROR(__xludf.DUMMYFUNCTION("GOOGLETRANSLATE(A4634,""bn"",""en"")"),"Solar garden lights are dim lighting")</f>
        <v>Solar garden lights are dim lighting</v>
      </c>
    </row>
    <row r="4635" spans="1:3" ht="15.75" customHeight="1" x14ac:dyDescent="0.25">
      <c r="A4635" s="2" t="s">
        <v>4637</v>
      </c>
      <c r="B4635" s="3" t="s">
        <v>4</v>
      </c>
      <c r="C4635" s="2" t="str">
        <f ca="1">IFERROR(__xludf.DUMMYFUNCTION("GOOGLETRANSLATE(A4635,""bn"",""en"")"),"The desk top is wide enough to multitask")</f>
        <v>The desk top is wide enough to multitask</v>
      </c>
    </row>
    <row r="4636" spans="1:3" ht="15.75" customHeight="1" x14ac:dyDescent="0.25">
      <c r="A4636" s="2" t="s">
        <v>4638</v>
      </c>
      <c r="B4636" s="3" t="s">
        <v>4</v>
      </c>
      <c r="C4636" s="2" t="str">
        <f ca="1">IFERROR(__xludf.DUMMYFUNCTION("GOOGLETRANSLATE(A4636,""bn"",""en"")"),"Beauty soap is suitable for daily use")</f>
        <v>Beauty soap is suitable for daily use</v>
      </c>
    </row>
    <row r="4637" spans="1:3" ht="15.75" customHeight="1" x14ac:dyDescent="0.25">
      <c r="A4637" s="2" t="s">
        <v>4639</v>
      </c>
      <c r="B4637" s="3" t="s">
        <v>4</v>
      </c>
      <c r="C4637" s="2" t="str">
        <f ca="1">IFERROR(__xludf.DUMMYFUNCTION("GOOGLETRANSLATE(A4637,""bn"",""en"")"),"LED lighting inside the bookcase creates a wonderful reading environment")</f>
        <v>LED lighting inside the bookcase creates a wonderful reading environment</v>
      </c>
    </row>
    <row r="4638" spans="1:3" ht="15.75" customHeight="1" x14ac:dyDescent="0.25">
      <c r="A4638" s="2" t="s">
        <v>4640</v>
      </c>
      <c r="B4638" s="3" t="s">
        <v>2</v>
      </c>
      <c r="C4638" s="2" t="str">
        <f ca="1">IFERROR(__xludf.DUMMYFUNCTION("GOOGLETRANSLATE(A4638,""bn"",""en"")"),"A silicone baking mat works but is difficult to clean")</f>
        <v>A silicone baking mat works but is difficult to clean</v>
      </c>
    </row>
    <row r="4639" spans="1:3" ht="15.75" customHeight="1" x14ac:dyDescent="0.25">
      <c r="A4639" s="2" t="s">
        <v>4641</v>
      </c>
      <c r="B4639" s="3" t="s">
        <v>6</v>
      </c>
      <c r="C4639" s="2" t="str">
        <f ca="1">IFERROR(__xludf.DUMMYFUNCTION("GOOGLETRANSLATE(A4639,""bn"",""en"")"),"The smartwatch's touchscreen has become unresponsive, hampering navigation")</f>
        <v>The smartwatch's touchscreen has become unresponsive, hampering navigation</v>
      </c>
    </row>
    <row r="4640" spans="1:3" ht="15.75" customHeight="1" x14ac:dyDescent="0.25">
      <c r="A4640" s="2" t="s">
        <v>4642</v>
      </c>
      <c r="B4640" s="3" t="s">
        <v>4</v>
      </c>
      <c r="C4640" s="2" t="str">
        <f ca="1">IFERROR(__xludf.DUMMYFUNCTION("GOOGLETRANSLATE(A4640,""bn"",""en"")"),"The child is very happy with his new bicycle")</f>
        <v>The child is very happy with his new bicycle</v>
      </c>
    </row>
    <row r="4641" spans="1:3" ht="15.75" customHeight="1" x14ac:dyDescent="0.25">
      <c r="A4641" s="2" t="s">
        <v>4643</v>
      </c>
      <c r="B4641" s="3" t="s">
        <v>2</v>
      </c>
      <c r="C4641" s="2" t="str">
        <f ca="1">IFERROR(__xludf.DUMMYFUNCTION("GOOGLETRANSLATE(A4641,""bn"",""en"")"),"There are tea bags in the packet")</f>
        <v>There are tea bags in the packet</v>
      </c>
    </row>
    <row r="4642" spans="1:3" ht="15.75" customHeight="1" x14ac:dyDescent="0.25">
      <c r="A4642" s="2" t="s">
        <v>4644</v>
      </c>
      <c r="B4642" s="3" t="s">
        <v>6</v>
      </c>
      <c r="C4642" s="2" t="str">
        <f ca="1">IFERROR(__xludf.DUMMYFUNCTION("GOOGLETRANSLATE(A4642,""bn"",""en"")"),"Unsatisfactory experience opening container after arrival")</f>
        <v>Unsatisfactory experience opening container after arrival</v>
      </c>
    </row>
    <row r="4643" spans="1:3" ht="15.75" customHeight="1" x14ac:dyDescent="0.25">
      <c r="A4643" s="2" t="s">
        <v>4645</v>
      </c>
      <c r="B4643" s="3" t="s">
        <v>2</v>
      </c>
      <c r="C4643" s="2" t="str">
        <f ca="1">IFERROR(__xludf.DUMMYFUNCTION("GOOGLETRANSLATE(A4643,""bn"",""en"")"),"What I wanted was somewhat satisfactory")</f>
        <v>What I wanted was somewhat satisfactory</v>
      </c>
    </row>
    <row r="4644" spans="1:3" ht="15.75" customHeight="1" x14ac:dyDescent="0.25">
      <c r="A4644" s="2" t="s">
        <v>4646</v>
      </c>
      <c r="B4644" s="3" t="s">
        <v>6</v>
      </c>
      <c r="C4644" s="2" t="str">
        <f ca="1">IFERROR(__xludf.DUMMYFUNCTION("GOOGLETRANSLATE(A4644,""bn"",""en"")"),"The defect in the heating element of the electric blanket is uneven heating")</f>
        <v>The defect in the heating element of the electric blanket is uneven heating</v>
      </c>
    </row>
    <row r="4645" spans="1:3" ht="15.75" customHeight="1" x14ac:dyDescent="0.25">
      <c r="A4645" s="2" t="s">
        <v>4647</v>
      </c>
      <c r="B4645" s="3" t="s">
        <v>6</v>
      </c>
      <c r="C4645" s="2" t="str">
        <f ca="1">IFERROR(__xludf.DUMMYFUNCTION("GOOGLETRANSLATE(A4645,""bn"",""en"")"),"Don't make unstable and disappointing recommendations")</f>
        <v>Don't make unstable and disappointing recommendations</v>
      </c>
    </row>
    <row r="4646" spans="1:3" ht="15.75" customHeight="1" x14ac:dyDescent="0.25">
      <c r="A4646" s="2" t="s">
        <v>4648</v>
      </c>
      <c r="B4646" s="3" t="s">
        <v>4</v>
      </c>
      <c r="C4646" s="2" t="str">
        <f ca="1">IFERROR(__xludf.DUMMYFUNCTION("GOOGLETRANSLATE(A4646,""bn"",""en"")"),"The wallet is very sturdy and well designed")</f>
        <v>The wallet is very sturdy and well designed</v>
      </c>
    </row>
    <row r="4647" spans="1:3" ht="15.75" customHeight="1" x14ac:dyDescent="0.25">
      <c r="A4647" s="2" t="s">
        <v>4649</v>
      </c>
      <c r="B4647" s="3" t="s">
        <v>4</v>
      </c>
      <c r="C4647" s="2" t="str">
        <f ca="1">IFERROR(__xludf.DUMMYFUNCTION("GOOGLETRANSLATE(A4647,""bn"",""en"")"),"The processor works so fast there is no lag")</f>
        <v>The processor works so fast there is no lag</v>
      </c>
    </row>
    <row r="4648" spans="1:3" ht="15.75" customHeight="1" x14ac:dyDescent="0.25">
      <c r="A4648" s="2" t="s">
        <v>4650</v>
      </c>
      <c r="B4648" s="3" t="s">
        <v>4</v>
      </c>
      <c r="C4648" s="2" t="str">
        <f ca="1">IFERROR(__xludf.DUMMYFUNCTION("GOOGLETRANSLATE(A4648,""bn"",""en"")")," GoPro is absolutely amazing")</f>
        <v xml:space="preserve"> GoPro is absolutely amazing</v>
      </c>
    </row>
    <row r="4649" spans="1:3" ht="15.75" customHeight="1" x14ac:dyDescent="0.25">
      <c r="A4649" s="2" t="s">
        <v>4651</v>
      </c>
      <c r="B4649" s="3" t="s">
        <v>4</v>
      </c>
      <c r="C4649" s="2" t="str">
        <f ca="1">IFERROR(__xludf.DUMMYFUNCTION("GOOGLETRANSLATE(A4649,""bn"",""en"")"),"Fabric quality is acceptable")</f>
        <v>Fabric quality is acceptable</v>
      </c>
    </row>
    <row r="4650" spans="1:3" ht="15.75" customHeight="1" x14ac:dyDescent="0.25">
      <c r="A4650" s="2" t="s">
        <v>4652</v>
      </c>
      <c r="B4650" s="3" t="s">
        <v>2</v>
      </c>
      <c r="C4650" s="2" t="str">
        <f ca="1">IFERROR(__xludf.DUMMYFUNCTION("GOOGLETRANSLATE(A4650,""bn"",""en"")"),"Leak test should be done before use")</f>
        <v>Leak test should be done before use</v>
      </c>
    </row>
    <row r="4651" spans="1:3" ht="15.75" customHeight="1" x14ac:dyDescent="0.25">
      <c r="A4651" s="2" t="s">
        <v>4653</v>
      </c>
      <c r="B4651" s="3" t="s">
        <v>4</v>
      </c>
      <c r="C4651" s="2" t="str">
        <f ca="1">IFERROR(__xludf.DUMMYFUNCTION("GOOGLETRANSLATE(A4651,""bn"",""en"")"),"It works great and I love it")</f>
        <v>It works great and I love it</v>
      </c>
    </row>
    <row r="4652" spans="1:3" ht="15.75" customHeight="1" x14ac:dyDescent="0.25">
      <c r="A4652" s="2" t="s">
        <v>4654</v>
      </c>
      <c r="B4652" s="3" t="s">
        <v>4</v>
      </c>
      <c r="C4652" s="2" t="str">
        <f ca="1">IFERROR(__xludf.DUMMYFUNCTION("GOOGLETRANSLATE(A4652,""bn"",""en"")"),"The watch is available in different sizes")</f>
        <v>The watch is available in different sizes</v>
      </c>
    </row>
    <row r="4653" spans="1:3" ht="15.75" customHeight="1" x14ac:dyDescent="0.25">
      <c r="A4653" s="2" t="s">
        <v>4655</v>
      </c>
      <c r="B4653" s="3" t="s">
        <v>2</v>
      </c>
      <c r="C4653" s="2" t="str">
        <f ca="1">IFERROR(__xludf.DUMMYFUNCTION("GOOGLETRANSLATE(A4653,""bn"",""en"")"),"The antispy detector feature may have some limited functionality")</f>
        <v>The antispy detector feature may have some limited functionality</v>
      </c>
    </row>
    <row r="4654" spans="1:3" ht="15.75" customHeight="1" x14ac:dyDescent="0.25">
      <c r="A4654" s="2" t="s">
        <v>4656</v>
      </c>
      <c r="B4654" s="3" t="s">
        <v>6</v>
      </c>
      <c r="C4654" s="2" t="str">
        <f ca="1">IFERROR(__xludf.DUMMYFUNCTION("GOOGLETRANSLATE(A4654,""bn"",""en"")"),"The smell was so strong and overwhelming that it masked any subtlety")</f>
        <v>The smell was so strong and overwhelming that it masked any subtlety</v>
      </c>
    </row>
    <row r="4655" spans="1:3" ht="15.75" customHeight="1" x14ac:dyDescent="0.25">
      <c r="A4655" s="2" t="s">
        <v>4657</v>
      </c>
      <c r="B4655" s="3" t="s">
        <v>6</v>
      </c>
      <c r="C4655" s="2" t="str">
        <f ca="1">IFERROR(__xludf.DUMMYFUNCTION("GOOGLETRANSLATE(A4655,""bn"",""en"")"),"The packaging was misleading exaggerating the quality and taste of the tea")</f>
        <v>The packaging was misleading exaggerating the quality and taste of the tea</v>
      </c>
    </row>
    <row r="4656" spans="1:3" ht="15.75" customHeight="1" x14ac:dyDescent="0.25">
      <c r="A4656" s="2" t="s">
        <v>4658</v>
      </c>
      <c r="B4656" s="3" t="s">
        <v>6</v>
      </c>
      <c r="C4656" s="2" t="str">
        <f ca="1">IFERROR(__xludf.DUMMYFUNCTION("GOOGLETRANSLATE(A4656,""bn"",""en"")")," Lacks durability Shows signs of wear and tear such as peeling and fading after only a few wears")</f>
        <v xml:space="preserve"> Lacks durability Shows signs of wear and tear such as peeling and fading after only a few wears</v>
      </c>
    </row>
    <row r="4657" spans="1:3" ht="15.75" customHeight="1" x14ac:dyDescent="0.25">
      <c r="A4657" s="2" t="s">
        <v>4659</v>
      </c>
      <c r="B4657" s="3" t="s">
        <v>6</v>
      </c>
      <c r="C4657" s="2" t="str">
        <f ca="1">IFERROR(__xludf.DUMMYFUNCTION("GOOGLETRANSLATE(A4657,""bn"",""en"")"),"Don't make unstable and disappointing recommendations")</f>
        <v>Don't make unstable and disappointing recommendations</v>
      </c>
    </row>
    <row r="4658" spans="1:3" ht="15.75" customHeight="1" x14ac:dyDescent="0.25">
      <c r="A4658" s="2" t="s">
        <v>4660</v>
      </c>
      <c r="B4658" s="3" t="s">
        <v>6</v>
      </c>
      <c r="C4658" s="2" t="str">
        <f ca="1">IFERROR(__xludf.DUMMYFUNCTION("GOOGLETRANSLATE(A4658,""bn"",""en"")"),"  The material is flimsy and light making it feel cheap and unreliable for long-term use")</f>
        <v xml:space="preserve">  The material is flimsy and light making it feel cheap and unreliable for long-term use</v>
      </c>
    </row>
    <row r="4659" spans="1:3" ht="15.75" customHeight="1" x14ac:dyDescent="0.25">
      <c r="A4659" s="2" t="s">
        <v>4661</v>
      </c>
      <c r="B4659" s="3" t="s">
        <v>4</v>
      </c>
      <c r="C4659" s="2" t="str">
        <f ca="1">IFERROR(__xludf.DUMMYFUNCTION("GOOGLETRANSLATE(A4659,""bn"",""en"")"),"Honey helps in weight loss")</f>
        <v>Honey helps in weight loss</v>
      </c>
    </row>
    <row r="4660" spans="1:3" ht="15.75" customHeight="1" x14ac:dyDescent="0.25">
      <c r="A4660" s="2" t="s">
        <v>4662</v>
      </c>
      <c r="B4660" s="3" t="s">
        <v>6</v>
      </c>
      <c r="C4660" s="2" t="str">
        <f ca="1">IFERROR(__xludf.DUMMYFUNCTION("GOOGLETRANSLATE(A4660,""bn"",""en"")"),"Faulty clothing on arrival indicates lack of quality inspection")</f>
        <v>Faulty clothing on arrival indicates lack of quality inspection</v>
      </c>
    </row>
    <row r="4661" spans="1:3" ht="15.75" customHeight="1" x14ac:dyDescent="0.25">
      <c r="A4661" s="2" t="s">
        <v>4663</v>
      </c>
      <c r="B4661" s="3" t="s">
        <v>4</v>
      </c>
      <c r="C4661" s="2" t="str">
        <f ca="1">IFERROR(__xludf.DUMMYFUNCTION("GOOGLETRANSLATE(A4661,""bn"",""en"")"),"Gives new and stylish look")</f>
        <v>Gives new and stylish look</v>
      </c>
    </row>
    <row r="4662" spans="1:3" ht="15.75" customHeight="1" x14ac:dyDescent="0.25">
      <c r="A4662" s="2" t="s">
        <v>4664</v>
      </c>
      <c r="B4662" s="3" t="s">
        <v>2</v>
      </c>
      <c r="C4662" s="2" t="str">
        <f ca="1">IFERROR(__xludf.DUMMYFUNCTION("GOOGLETRANSLATE(A4662,""bn"",""en"")"),"May seem light for heavy duty")</f>
        <v>May seem light for heavy duty</v>
      </c>
    </row>
    <row r="4663" spans="1:3" ht="15.75" customHeight="1" x14ac:dyDescent="0.25">
      <c r="A4663" s="2" t="s">
        <v>4665</v>
      </c>
      <c r="B4663" s="3" t="s">
        <v>6</v>
      </c>
      <c r="C4663" s="2" t="str">
        <f ca="1">IFERROR(__xludf.DUMMYFUNCTION("GOOGLETRANSLATE(A4663,""bn"",""en"")"),"Packaged cookies were overly sweet and had an artificial aftertaste")</f>
        <v>Packaged cookies were overly sweet and had an artificial aftertaste</v>
      </c>
    </row>
    <row r="4664" spans="1:3" ht="15.75" customHeight="1" x14ac:dyDescent="0.25">
      <c r="A4664" s="2" t="s">
        <v>4666</v>
      </c>
      <c r="B4664" s="3" t="s">
        <v>6</v>
      </c>
      <c r="C4664" s="2" t="str">
        <f ca="1">IFERROR(__xludf.DUMMYFUNCTION("GOOGLETRANSLATE(A4664,""bn"",""en"")"),"The charging base of the electric toothbrush failed to charge the toothbrush consistently")</f>
        <v>The charging base of the electric toothbrush failed to charge the toothbrush consistently</v>
      </c>
    </row>
    <row r="4665" spans="1:3" ht="15.75" customHeight="1" x14ac:dyDescent="0.25">
      <c r="A4665" s="2" t="s">
        <v>4667</v>
      </c>
      <c r="B4665" s="3" t="s">
        <v>6</v>
      </c>
      <c r="C4665" s="2" t="str">
        <f ca="1">IFERROR(__xludf.DUMMYFUNCTION("GOOGLETRANSLATE(A4665,""bn"",""en"")"),"The unpleasant chemical smell lingers even after washing which affects the overall experience")</f>
        <v>The unpleasant chemical smell lingers even after washing which affects the overall experience</v>
      </c>
    </row>
    <row r="4666" spans="1:3" ht="15.75" customHeight="1" x14ac:dyDescent="0.25">
      <c r="A4666" s="2" t="s">
        <v>4668</v>
      </c>
      <c r="B4666" s="3" t="s">
        <v>6</v>
      </c>
      <c r="C4666" s="2" t="str">
        <f ca="1">IFERROR(__xludf.DUMMYFUNCTION("GOOGLETRANSLATE(A4666,""bn"",""en"")"),"Inadequate safety features create a risk of burns or scalds")</f>
        <v>Inadequate safety features create a risk of burns or scalds</v>
      </c>
    </row>
    <row r="4667" spans="1:3" ht="15.75" customHeight="1" x14ac:dyDescent="0.25">
      <c r="A4667" s="2" t="s">
        <v>4669</v>
      </c>
      <c r="B4667" s="3" t="s">
        <v>6</v>
      </c>
      <c r="C4667" s="2" t="str">
        <f ca="1">IFERROR(__xludf.DUMMYFUNCTION("GOOGLETRANSLATE(A4667,""bn"",""en"")"),"The fabric is not as expected")</f>
        <v>The fabric is not as expected</v>
      </c>
    </row>
    <row r="4668" spans="1:3" ht="15.75" customHeight="1" x14ac:dyDescent="0.25">
      <c r="A4668" s="2" t="s">
        <v>4670</v>
      </c>
      <c r="B4668" s="3" t="s">
        <v>6</v>
      </c>
      <c r="C4668" s="2" t="str">
        <f ca="1">IFERROR(__xludf.DUMMYFUNCTION("GOOGLETRANSLATE(A4668,""bn"",""en"")"),"UV sanitizers do not effectively kill germs False advertising")</f>
        <v>UV sanitizers do not effectively kill germs False advertising</v>
      </c>
    </row>
    <row r="4669" spans="1:3" ht="15.75" customHeight="1" x14ac:dyDescent="0.25">
      <c r="A4669" s="2" t="s">
        <v>4671</v>
      </c>
      <c r="B4669" s="3" t="s">
        <v>4</v>
      </c>
      <c r="C4669" s="2" t="str">
        <f ca="1">IFERROR(__xludf.DUMMYFUNCTION("GOOGLETRANSLATE(A4669,""bn"",""en"")"),"Powerful little machine")</f>
        <v>Powerful little machine</v>
      </c>
    </row>
    <row r="4670" spans="1:3" ht="15.75" customHeight="1" x14ac:dyDescent="0.25">
      <c r="A4670" s="2" t="s">
        <v>4672</v>
      </c>
      <c r="B4670" s="3" t="s">
        <v>6</v>
      </c>
      <c r="C4670" s="2" t="str">
        <f ca="1">IFERROR(__xludf.DUMMYFUNCTION("GOOGLETRANSLATE(A4670,""bn"",""en"")"),"The cups were too delicate to break easily with minimal pressure")</f>
        <v>The cups were too delicate to break easily with minimal pressure</v>
      </c>
    </row>
    <row r="4671" spans="1:3" ht="15.75" customHeight="1" x14ac:dyDescent="0.25">
      <c r="A4671" s="2" t="s">
        <v>4673</v>
      </c>
      <c r="B4671" s="3" t="s">
        <v>6</v>
      </c>
      <c r="C4671" s="2" t="str">
        <f ca="1">IFERROR(__xludf.DUMMYFUNCTION("GOOGLETRANSLATE(A4671,""bn"",""en"")"),"The phone's app store lacks a wide selection of popular apps, and functionality and usability are limited")</f>
        <v>The phone's app store lacks a wide selection of popular apps, and functionality and usability are limited</v>
      </c>
    </row>
    <row r="4672" spans="1:3" ht="15.75" customHeight="1" x14ac:dyDescent="0.25">
      <c r="A4672" s="2" t="s">
        <v>4674</v>
      </c>
      <c r="B4672" s="3" t="s">
        <v>6</v>
      </c>
      <c r="C4672" s="2" t="str">
        <f ca="1">IFERROR(__xludf.DUMMYFUNCTION("GOOGLETRANSLATE(A4672,""bn"",""en"")"),"Came back very disappointed due to swing")</f>
        <v>Came back very disappointed due to swing</v>
      </c>
    </row>
    <row r="4673" spans="1:3" ht="15.75" customHeight="1" x14ac:dyDescent="0.25">
      <c r="A4673" s="2" t="s">
        <v>4675</v>
      </c>
      <c r="B4673" s="3" t="s">
        <v>6</v>
      </c>
      <c r="C4673" s="2" t="str">
        <f ca="1">IFERROR(__xludf.DUMMYFUNCTION("GOOGLETRANSLATE(A4673,""bn"",""en"")"),"It is very fine work but not worth it")</f>
        <v>It is very fine work but not worth it</v>
      </c>
    </row>
    <row r="4674" spans="1:3" ht="15.75" customHeight="1" x14ac:dyDescent="0.25">
      <c r="A4674" s="2" t="s">
        <v>4676</v>
      </c>
      <c r="B4674" s="3" t="s">
        <v>4</v>
      </c>
      <c r="C4674" s="2" t="str">
        <f ca="1">IFERROR(__xludf.DUMMYFUNCTION("GOOGLETRANSLATE(A4674,""bn"",""en"")"),"This biscuit is really good")</f>
        <v>This biscuit is really good</v>
      </c>
    </row>
    <row r="4675" spans="1:3" ht="15.75" customHeight="1" x14ac:dyDescent="0.25">
      <c r="A4675" s="2" t="s">
        <v>4677</v>
      </c>
      <c r="B4675" s="3" t="s">
        <v>6</v>
      </c>
      <c r="C4675" s="2" t="str">
        <f ca="1">IFERROR(__xludf.DUMMYFUNCTION("GOOGLETRANSLATE(A4675,""bn"",""en"")")," The power cord was too short limiting placement options")</f>
        <v xml:space="preserve"> The power cord was too short limiting placement options</v>
      </c>
    </row>
    <row r="4676" spans="1:3" ht="15.75" customHeight="1" x14ac:dyDescent="0.25">
      <c r="A4676" s="2" t="s">
        <v>4678</v>
      </c>
      <c r="B4676" s="3" t="s">
        <v>6</v>
      </c>
      <c r="C4676" s="2" t="str">
        <f ca="1">IFERROR(__xludf.DUMMYFUNCTION("GOOGLETRANSLATE(A4676,""bn"",""en"")"),"Bed frame slats are very thin and weak causing them to break easily under the weight")</f>
        <v>Bed frame slats are very thin and weak causing them to break easily under the weight</v>
      </c>
    </row>
    <row r="4677" spans="1:3" ht="15.75" customHeight="1" x14ac:dyDescent="0.25">
      <c r="A4677" s="2" t="s">
        <v>4679</v>
      </c>
      <c r="B4677" s="3" t="s">
        <v>4</v>
      </c>
      <c r="C4677" s="2" t="str">
        <f ca="1">IFERROR(__xludf.DUMMYFUNCTION("GOOGLETRANSLATE(A4677,""bn"",""en"")"),"The watch is very light weight")</f>
        <v>The watch is very light weight</v>
      </c>
    </row>
    <row r="4678" spans="1:3" ht="15.75" customHeight="1" x14ac:dyDescent="0.25">
      <c r="A4678" s="2" t="s">
        <v>4680</v>
      </c>
      <c r="B4678" s="3" t="s">
        <v>2</v>
      </c>
      <c r="C4678" s="2" t="str">
        <f ca="1">IFERROR(__xludf.DUMMYFUNCTION("GOOGLETRANSLATE(A4678,""bn"",""en"")"),"Microwave safe but gets hot")</f>
        <v>Microwave safe but gets hot</v>
      </c>
    </row>
    <row r="4679" spans="1:3" ht="15.75" customHeight="1" x14ac:dyDescent="0.25">
      <c r="A4679" s="2" t="s">
        <v>4681</v>
      </c>
      <c r="B4679" s="3" t="s">
        <v>6</v>
      </c>
      <c r="C4679" s="2" t="str">
        <f ca="1">IFERROR(__xludf.DUMMYFUNCTION("GOOGLETRANSLATE(A4679,""bn"",""en"")"),"The dry shampoo left a white cast on my hair that was difficult to brush out")</f>
        <v>The dry shampoo left a white cast on my hair that was difficult to brush out</v>
      </c>
    </row>
    <row r="4680" spans="1:3" ht="15.75" customHeight="1" x14ac:dyDescent="0.25">
      <c r="A4680" s="2" t="s">
        <v>4682</v>
      </c>
      <c r="B4680" s="3" t="s">
        <v>4</v>
      </c>
      <c r="C4680" s="2" t="str">
        <f ca="1">IFERROR(__xludf.DUMMYFUNCTION("GOOGLETRANSLATE(A4680,""bn"",""en"")"),"I'm impressed with the quality these are really long lasting")</f>
        <v>I'm impressed with the quality these are really long lasting</v>
      </c>
    </row>
    <row r="4681" spans="1:3" ht="15.75" customHeight="1" x14ac:dyDescent="0.25">
      <c r="A4681" s="2" t="s">
        <v>4683</v>
      </c>
      <c r="B4681" s="3" t="s">
        <v>6</v>
      </c>
      <c r="C4681" s="2" t="str">
        <f ca="1">IFERROR(__xludf.DUMMYFUNCTION("GOOGLETRANSLATE(A4681,""bn"",""en"")"),"  After the fog there was a strange smell which was unpleasant")</f>
        <v xml:space="preserve">  After the fog there was a strange smell which was unpleasant</v>
      </c>
    </row>
    <row r="4682" spans="1:3" ht="15.75" customHeight="1" x14ac:dyDescent="0.25">
      <c r="A4682" s="2" t="s">
        <v>4684</v>
      </c>
      <c r="B4682" s="3" t="s">
        <v>6</v>
      </c>
      <c r="C4682" s="2" t="str">
        <f ca="1">IFERROR(__xludf.DUMMYFUNCTION("GOOGLETRANSLATE(A4682,""bn"",""en"")"),"Seams begin to fray soon after purchase indicating poor construction")</f>
        <v>Seams begin to fray soon after purchase indicating poor construction</v>
      </c>
    </row>
    <row r="4683" spans="1:3" ht="15.75" customHeight="1" x14ac:dyDescent="0.25">
      <c r="A4683" s="2" t="s">
        <v>4685</v>
      </c>
      <c r="B4683" s="3" t="s">
        <v>2</v>
      </c>
      <c r="C4683" s="2" t="str">
        <f ca="1">IFERROR(__xludf.DUMMYFUNCTION("GOOGLETRANSLATE(A4683,""bn"",""en"")"),"It seems a bit dense")</f>
        <v>It seems a bit dense</v>
      </c>
    </row>
    <row r="4684" spans="1:3" ht="15.75" customHeight="1" x14ac:dyDescent="0.25">
      <c r="A4684" s="2" t="s">
        <v>4686</v>
      </c>
      <c r="B4684" s="3" t="s">
        <v>2</v>
      </c>
      <c r="C4684" s="2" t="str">
        <f ca="1">IFERROR(__xludf.DUMMYFUNCTION("GOOGLETRANSLATE(A4684,""bn"",""en"")"),"Eco mode is supposed to be there")</f>
        <v>Eco mode is supposed to be there</v>
      </c>
    </row>
    <row r="4685" spans="1:3" ht="15.75" customHeight="1" x14ac:dyDescent="0.25">
      <c r="A4685" s="2" t="s">
        <v>4687</v>
      </c>
      <c r="B4685" s="3" t="s">
        <v>4</v>
      </c>
      <c r="C4685" s="2" t="str">
        <f ca="1">IFERROR(__xludf.DUMMYFUNCTION("GOOGLETRANSLATE(A4685,""bn"",""en"")"),"Effectiveness proven in research ")</f>
        <v xml:space="preserve">Effectiveness proven in research </v>
      </c>
    </row>
    <row r="4686" spans="1:3" ht="15.75" customHeight="1" x14ac:dyDescent="0.25">
      <c r="A4686" s="2" t="s">
        <v>4688</v>
      </c>
      <c r="B4686" s="3" t="s">
        <v>4</v>
      </c>
      <c r="C4686" s="2" t="str">
        <f ca="1">IFERROR(__xludf.DUMMYFUNCTION("GOOGLETRANSLATE(A4686,""bn"",""en"")"),"It remains effective even after prolonged use")</f>
        <v>It remains effective even after prolonged use</v>
      </c>
    </row>
    <row r="4687" spans="1:3" ht="15.75" customHeight="1" x14ac:dyDescent="0.25">
      <c r="A4687" s="2" t="s">
        <v>4689</v>
      </c>
      <c r="B4687" s="3" t="s">
        <v>6</v>
      </c>
      <c r="C4687" s="2" t="str">
        <f ca="1">IFERROR(__xludf.DUMMYFUNCTION("GOOGLETRANSLATE(A4687,""bn"",""en"")"),"Hemming shows noticeable irregularity and lacks specificity")</f>
        <v>Hemming shows noticeable irregularity and lacks specificity</v>
      </c>
    </row>
    <row r="4688" spans="1:3" ht="15.75" customHeight="1" x14ac:dyDescent="0.25">
      <c r="A4688" s="2" t="s">
        <v>4690</v>
      </c>
      <c r="B4688" s="3" t="s">
        <v>2</v>
      </c>
      <c r="C4688" s="2" t="str">
        <f ca="1">IFERROR(__xludf.DUMMYFUNCTION("GOOGLETRANSLATE(A4688,""bn"",""en"")"),"Can be hung but the rope is weak")</f>
        <v>Can be hung but the rope is weak</v>
      </c>
    </row>
    <row r="4689" spans="1:3" ht="15.75" customHeight="1" x14ac:dyDescent="0.25">
      <c r="A4689" s="2" t="s">
        <v>4691</v>
      </c>
      <c r="B4689" s="3" t="s">
        <v>6</v>
      </c>
      <c r="C4689" s="2" t="str">
        <f ca="1">IFERROR(__xludf.DUMMYFUNCTION("GOOGLETRANSLATE(A4689,""bn"",""en"")"),"The microwaveable burrito had a soggy texture and tasted like it had been reheated several times")</f>
        <v>The microwaveable burrito had a soggy texture and tasted like it had been reheated several times</v>
      </c>
    </row>
    <row r="4690" spans="1:3" ht="15.75" customHeight="1" x14ac:dyDescent="0.25">
      <c r="A4690" s="2" t="s">
        <v>4692</v>
      </c>
      <c r="B4690" s="3" t="s">
        <v>4</v>
      </c>
      <c r="C4690" s="2" t="str">
        <f ca="1">IFERROR(__xludf.DUMMYFUNCTION("GOOGLETRANSLATE(A4690,""bn"",""en"")"),"Elegant and nice look")</f>
        <v>Elegant and nice look</v>
      </c>
    </row>
    <row r="4691" spans="1:3" ht="15.75" customHeight="1" x14ac:dyDescent="0.25">
      <c r="A4691" s="2" t="s">
        <v>4693</v>
      </c>
      <c r="B4691" s="3" t="s">
        <v>2</v>
      </c>
      <c r="C4691" s="2" t="str">
        <f ca="1">IFERROR(__xludf.DUMMYFUNCTION("GOOGLETRANSLATE(A4691,""bn"",""en"")"),"Wrong size but good color")</f>
        <v>Wrong size but good color</v>
      </c>
    </row>
    <row r="4692" spans="1:3" ht="15.75" customHeight="1" x14ac:dyDescent="0.25">
      <c r="A4692" s="2" t="s">
        <v>4694</v>
      </c>
      <c r="B4692" s="3" t="s">
        <v>6</v>
      </c>
      <c r="C4692" s="2" t="str">
        <f ca="1">IFERROR(__xludf.DUMMYFUNCTION("GOOGLETRANSLATE(A4692,""bn"",""en"")"),"The texture of the body scrub was too rough which caused irritation")</f>
        <v>The texture of the body scrub was too rough which caused irritation</v>
      </c>
    </row>
    <row r="4693" spans="1:3" ht="15.75" customHeight="1" x14ac:dyDescent="0.25">
      <c r="A4693" s="2" t="s">
        <v>4695</v>
      </c>
      <c r="B4693" s="3" t="s">
        <v>2</v>
      </c>
      <c r="C4693" s="2" t="str">
        <f ca="1">IFERROR(__xludf.DUMMYFUNCTION("GOOGLETRANSLATE(A4693,""bn"",""en"")"),"Prisma isn't great for pencils it works very well")</f>
        <v>Prisma isn't great for pencils it works very well</v>
      </c>
    </row>
    <row r="4694" spans="1:3" ht="15.75" customHeight="1" x14ac:dyDescent="0.25">
      <c r="A4694" s="2" t="s">
        <v>4696</v>
      </c>
      <c r="B4694" s="3" t="s">
        <v>6</v>
      </c>
      <c r="C4694" s="2" t="str">
        <f ca="1">IFERROR(__xludf.DUMMYFUNCTION("GOOGLETRANSLATE(A4694,""bn"",""en"")"),"The unstable connection problem is frustrating")</f>
        <v>The unstable connection problem is frustrating</v>
      </c>
    </row>
    <row r="4695" spans="1:3" ht="15.75" customHeight="1" x14ac:dyDescent="0.25">
      <c r="A4695" s="2" t="s">
        <v>4697</v>
      </c>
      <c r="B4695" s="3" t="s">
        <v>6</v>
      </c>
      <c r="C4695" s="2" t="str">
        <f ca="1">IFERROR(__xludf.DUMMYFUNCTION("GOOGLETRANSLATE(A4695,""bn"",""en"")"),"The camera's electronic viewfinder suffers from ghosting and motion blur that affects compositional accuracy")</f>
        <v>The camera's electronic viewfinder suffers from ghosting and motion blur that affects compositional accuracy</v>
      </c>
    </row>
    <row r="4696" spans="1:3" ht="15.75" customHeight="1" x14ac:dyDescent="0.25">
      <c r="A4696" s="2" t="s">
        <v>4698</v>
      </c>
      <c r="B4696" s="3" t="s">
        <v>6</v>
      </c>
      <c r="C4696" s="2" t="str">
        <f ca="1">IFERROR(__xludf.DUMMYFUNCTION("GOOGLETRANSLATE(A4696,""bn"",""en"")")," The serum was very thick and didn't absorb at all")</f>
        <v xml:space="preserve"> The serum was very thick and didn't absorb at all</v>
      </c>
    </row>
    <row r="4697" spans="1:3" ht="15.75" customHeight="1" x14ac:dyDescent="0.25">
      <c r="A4697" s="2" t="s">
        <v>4699</v>
      </c>
      <c r="B4697" s="3" t="s">
        <v>2</v>
      </c>
      <c r="C4697" s="2" t="str">
        <f ca="1">IFERROR(__xludf.DUMMYFUNCTION("GOOGLETRANSLATE(A4697,""bn"",""en"")"),"The design can be simple")</f>
        <v>The design can be simple</v>
      </c>
    </row>
    <row r="4698" spans="1:3" ht="15.75" customHeight="1" x14ac:dyDescent="0.25">
      <c r="A4698" s="2" t="s">
        <v>4700</v>
      </c>
      <c r="B4698" s="3" t="s">
        <v>6</v>
      </c>
      <c r="C4698" s="2" t="str">
        <f ca="1">IFERROR(__xludf.DUMMYFUNCTION("GOOGLETRANSLATE(A4698,""bn"",""en"")"),"The constant cleaning problem is frustrating")</f>
        <v>The constant cleaning problem is frustrating</v>
      </c>
    </row>
    <row r="4699" spans="1:3" ht="15.75" customHeight="1" x14ac:dyDescent="0.25">
      <c r="A4699" s="2" t="s">
        <v>4701</v>
      </c>
      <c r="B4699" s="3" t="s">
        <v>2</v>
      </c>
      <c r="C4699" s="2" t="str">
        <f ca="1">IFERROR(__xludf.DUMMYFUNCTION("GOOGLETRANSLATE(A4699,""bn"",""en"")"),"It is not overly heavy")</f>
        <v>It is not overly heavy</v>
      </c>
    </row>
    <row r="4700" spans="1:3" ht="15.75" customHeight="1" x14ac:dyDescent="0.25">
      <c r="A4700" s="2" t="s">
        <v>4702</v>
      </c>
      <c r="B4700" s="3" t="s">
        <v>2</v>
      </c>
      <c r="C4700" s="2" t="str">
        <f ca="1">IFERROR(__xludf.DUMMYFUNCTION("GOOGLETRANSLATE(A4700,""bn"",""en"")"),"The tea is ok but the price is a bit high")</f>
        <v>The tea is ok but the price is a bit high</v>
      </c>
    </row>
    <row r="4701" spans="1:3" ht="15.75" customHeight="1" x14ac:dyDescent="0.25">
      <c r="A4701" s="2" t="s">
        <v>4703</v>
      </c>
      <c r="B4701" s="3" t="s">
        <v>2</v>
      </c>
      <c r="C4701" s="2" t="str">
        <f ca="1">IFERROR(__xludf.DUMMYFUNCTION("GOOGLETRANSLATE(A4701,""bn"",""en"")"),"The wine opener works but is a bit cumbersome to use")</f>
        <v>The wine opener works but is a bit cumbersome to use</v>
      </c>
    </row>
    <row r="4702" spans="1:3" ht="15.75" customHeight="1" x14ac:dyDescent="0.25">
      <c r="A4702" s="2" t="s">
        <v>4704</v>
      </c>
      <c r="B4702" s="3" t="s">
        <v>4</v>
      </c>
      <c r="C4702" s="2" t="str">
        <f ca="1">IFERROR(__xludf.DUMMYFUNCTION("GOOGLETRANSLATE(A4702,""bn"",""en"")"),"The girl helped her friend all day")</f>
        <v>The girl helped her friend all day</v>
      </c>
    </row>
    <row r="4703" spans="1:3" ht="15.75" customHeight="1" x14ac:dyDescent="0.25">
      <c r="A4703" s="2" t="s">
        <v>4705</v>
      </c>
      <c r="B4703" s="3" t="s">
        <v>6</v>
      </c>
      <c r="C4703" s="2" t="str">
        <f ca="1">IFERROR(__xludf.DUMMYFUNCTION("GOOGLETRANSLATE(A4703,""bn"",""en"")"),"The color of the product was inconsistent and streaky")</f>
        <v>The color of the product was inconsistent and streaky</v>
      </c>
    </row>
    <row r="4704" spans="1:3" ht="15.75" customHeight="1" x14ac:dyDescent="0.25">
      <c r="A4704" s="2" t="s">
        <v>4706</v>
      </c>
      <c r="B4704" s="3" t="s">
        <v>2</v>
      </c>
      <c r="C4704" s="2" t="str">
        <f ca="1">IFERROR(__xludf.DUMMYFUNCTION("GOOGLETRANSLATE(A4704,""bn"",""en"")"),"It has electronic display")</f>
        <v>It has electronic display</v>
      </c>
    </row>
    <row r="4705" spans="1:3" ht="15.75" customHeight="1" x14ac:dyDescent="0.25">
      <c r="A4705" s="2" t="s">
        <v>4707</v>
      </c>
      <c r="B4705" s="3" t="s">
        <v>6</v>
      </c>
      <c r="C4705" s="2" t="str">
        <f ca="1">IFERROR(__xludf.DUMMYFUNCTION("GOOGLETRANSLATE(A4705,""bn"",""en"")"),"Doors create misaligned gaps and make it difficult to open and close smoothly")</f>
        <v>Doors create misaligned gaps and make it difficult to open and close smoothly</v>
      </c>
    </row>
    <row r="4706" spans="1:3" ht="15.75" customHeight="1" x14ac:dyDescent="0.25">
      <c r="A4706" s="2" t="s">
        <v>4708</v>
      </c>
      <c r="B4706" s="3" t="s">
        <v>2</v>
      </c>
      <c r="C4706" s="2" t="str">
        <f ca="1">IFERROR(__xludf.DUMMYFUNCTION("GOOGLETRANSLATE(A4706,""bn"",""en"")"),"The smart gas sensor detects gas leaks but the sensitivity is low")</f>
        <v>The smart gas sensor detects gas leaks but the sensitivity is low</v>
      </c>
    </row>
    <row r="4707" spans="1:3" ht="15.75" customHeight="1" x14ac:dyDescent="0.25">
      <c r="A4707" s="2" t="s">
        <v>4709</v>
      </c>
      <c r="B4707" s="3" t="s">
        <v>2</v>
      </c>
      <c r="C4707" s="2" t="str">
        <f ca="1">IFERROR(__xludf.DUMMYFUNCTION("GOOGLETRANSLATE(A4707,""bn"",""en"")"),"Keeps warm but nothing special compared to other comforters")</f>
        <v>Keeps warm but nothing special compared to other comforters</v>
      </c>
    </row>
    <row r="4708" spans="1:3" ht="15.75" customHeight="1" x14ac:dyDescent="0.25">
      <c r="A4708" s="2" t="s">
        <v>4710</v>
      </c>
      <c r="B4708" s="3" t="s">
        <v>4</v>
      </c>
      <c r="C4708" s="2" t="str">
        <f ca="1">IFERROR(__xludf.DUMMYFUNCTION("GOOGLETRANSLATE(A4708,""bn"",""en"")"),"The quality of its leaves is just right, beautiful color and fragrance")</f>
        <v>The quality of its leaves is just right, beautiful color and fragrance</v>
      </c>
    </row>
    <row r="4709" spans="1:3" ht="15.75" customHeight="1" x14ac:dyDescent="0.25">
      <c r="A4709" s="2" t="s">
        <v>4711</v>
      </c>
      <c r="B4709" s="3" t="s">
        <v>2</v>
      </c>
      <c r="C4709" s="2" t="str">
        <f ca="1">IFERROR(__xludf.DUMMYFUNCTION("GOOGLETRANSLATE(A4709,""bn"",""en"")"),"Size is ok nothing special")</f>
        <v>Size is ok nothing special</v>
      </c>
    </row>
    <row r="4710" spans="1:3" ht="15.75" customHeight="1" x14ac:dyDescent="0.25">
      <c r="A4710" s="2" t="s">
        <v>4712</v>
      </c>
      <c r="B4710" s="3" t="s">
        <v>4</v>
      </c>
      <c r="C4710" s="2" t="str">
        <f ca="1">IFERROR(__xludf.DUMMYFUNCTION("GOOGLETRANSLATE(A4710,""bn"",""en"")"),"I am giving a review after using it for a few days. Alhamdulillah it is right according to the price ")</f>
        <v xml:space="preserve">I am giving a review after using it for a few days. Alhamdulillah it is right according to the price </v>
      </c>
    </row>
    <row r="4711" spans="1:3" ht="15.75" customHeight="1" x14ac:dyDescent="0.25">
      <c r="A4711" s="2" t="s">
        <v>4713</v>
      </c>
      <c r="B4711" s="3" t="s">
        <v>2</v>
      </c>
      <c r="C4711" s="2" t="str">
        <f ca="1">IFERROR(__xludf.DUMMYFUNCTION("GOOGLETRANSLATE(A4711,""bn"",""en"")"),"Update Troubleshooting Great product and custom service but not without initial issues")</f>
        <v>Update Troubleshooting Great product and custom service but not without initial issues</v>
      </c>
    </row>
    <row r="4712" spans="1:3" ht="15.75" customHeight="1" x14ac:dyDescent="0.25">
      <c r="A4712" s="2" t="s">
        <v>4714</v>
      </c>
      <c r="B4712" s="3" t="s">
        <v>4</v>
      </c>
      <c r="C4712" s="2" t="str">
        <f ca="1">IFERROR(__xludf.DUMMYFUNCTION("GOOGLETRANSLATE(A4712,""bn"",""en"")"),"The strength of the coffee is just the way I like it")</f>
        <v>The strength of the coffee is just the way I like it</v>
      </c>
    </row>
    <row r="4713" spans="1:3" ht="15.75" customHeight="1" x14ac:dyDescent="0.25">
      <c r="A4713" s="2" t="s">
        <v>4715</v>
      </c>
      <c r="B4713" s="3" t="s">
        <v>6</v>
      </c>
      <c r="C4713" s="2" t="str">
        <f ca="1">IFERROR(__xludf.DUMMYFUNCTION("GOOGLETRANSLATE(A4713,""bn"",""en"")"),"Lack of purchasing stability is unfortunate")</f>
        <v>Lack of purchasing stability is unfortunate</v>
      </c>
    </row>
    <row r="4714" spans="1:3" ht="15.75" customHeight="1" x14ac:dyDescent="0.25">
      <c r="A4714" s="2" t="s">
        <v>4716</v>
      </c>
      <c r="B4714" s="3" t="s">
        <v>6</v>
      </c>
      <c r="C4714" s="2" t="str">
        <f ca="1">IFERROR(__xludf.DUMMYFUNCTION("GOOGLETRANSLATE(A4714,""bn"",""en"")"),"The bubbles in the bubble bath quickly disappeared leaving the water flat")</f>
        <v>The bubbles in the bubble bath quickly disappeared leaving the water flat</v>
      </c>
    </row>
    <row r="4715" spans="1:3" ht="15.75" customHeight="1" x14ac:dyDescent="0.25">
      <c r="A4715" s="2" t="s">
        <v>4717</v>
      </c>
      <c r="B4715" s="3" t="s">
        <v>4</v>
      </c>
      <c r="C4715" s="2" t="str">
        <f ca="1">IFERROR(__xludf.DUMMYFUNCTION("GOOGLETRANSLATE(A4715,""bn"",""en"")")," Charged per minute ")</f>
        <v xml:space="preserve"> Charged per minute </v>
      </c>
    </row>
    <row r="4716" spans="1:3" ht="15.75" customHeight="1" x14ac:dyDescent="0.25">
      <c r="A4716" s="2" t="s">
        <v>4718</v>
      </c>
      <c r="B4716" s="3" t="s">
        <v>4</v>
      </c>
      <c r="C4716" s="2" t="str">
        <f ca="1">IFERROR(__xludf.DUMMYFUNCTION("GOOGLETRANSLATE(A4716,""bn"",""en"")"),"Airtags are great for retention ")</f>
        <v xml:space="preserve">Airtags are great for retention </v>
      </c>
    </row>
    <row r="4717" spans="1:3" ht="15.75" customHeight="1" x14ac:dyDescent="0.25">
      <c r="A4717" s="2" t="s">
        <v>4719</v>
      </c>
      <c r="B4717" s="3" t="s">
        <v>4</v>
      </c>
      <c r="C4717" s="2" t="str">
        <f ca="1">IFERROR(__xludf.DUMMYFUNCTION("GOOGLETRANSLATE(A4717,""bn"",""en"")"),"Great option to modernize and remind your garage")</f>
        <v>Great option to modernize and remind your garage</v>
      </c>
    </row>
    <row r="4718" spans="1:3" ht="15.75" customHeight="1" x14ac:dyDescent="0.25">
      <c r="A4718" s="2" t="s">
        <v>4720</v>
      </c>
      <c r="B4718" s="3" t="s">
        <v>6</v>
      </c>
      <c r="C4718" s="2" t="str">
        <f ca="1">IFERROR(__xludf.DUMMYFUNCTION("GOOGLETRANSLATE(A4718,""bn"",""en"")"),"Although advertised as machine washable, the fabric shrinks after the first wash and changes the shape and fit of the fabric.")</f>
        <v>Although advertised as machine washable, the fabric shrinks after the first wash and changes the shape and fit of the fabric.</v>
      </c>
    </row>
    <row r="4719" spans="1:3" ht="15.75" customHeight="1" x14ac:dyDescent="0.25">
      <c r="A4719" s="2" t="s">
        <v>4721</v>
      </c>
      <c r="B4719" s="3" t="s">
        <v>2</v>
      </c>
      <c r="C4719" s="2" t="str">
        <f ca="1">IFERROR(__xludf.DUMMYFUNCTION("GOOGLETRANSLATE(A4719,""bn"",""en"")"),"The color is neutral but nothing special")</f>
        <v>The color is neutral but nothing special</v>
      </c>
    </row>
    <row r="4720" spans="1:3" ht="15.75" customHeight="1" x14ac:dyDescent="0.25">
      <c r="A4720" s="2" t="s">
        <v>4722</v>
      </c>
      <c r="B4720" s="3" t="s">
        <v>6</v>
      </c>
      <c r="C4720" s="2" t="str">
        <f ca="1">IFERROR(__xludf.DUMMYFUNCTION("GOOGLETRANSLATE(A4720,""bn"",""en"")"),"Mold growth develops in hard-to-reach cracks")</f>
        <v>Mold growth develops in hard-to-reach cracks</v>
      </c>
    </row>
    <row r="4721" spans="1:3" ht="15.75" customHeight="1" x14ac:dyDescent="0.25">
      <c r="A4721" s="2" t="s">
        <v>4723</v>
      </c>
      <c r="B4721" s="3" t="s">
        <v>2</v>
      </c>
      <c r="C4721" s="2" t="str">
        <f ca="1">IFERROR(__xludf.DUMMYFUNCTION("GOOGLETRANSLATE(A4721,""bn"",""en"")"),"A steam iron irons clothes but drains water")</f>
        <v>A steam iron irons clothes but drains water</v>
      </c>
    </row>
    <row r="4722" spans="1:3" ht="15.75" customHeight="1" x14ac:dyDescent="0.25">
      <c r="A4722" s="2" t="s">
        <v>4724</v>
      </c>
      <c r="B4722" s="3" t="s">
        <v>4</v>
      </c>
      <c r="C4722" s="2" t="str">
        <f ca="1">IFERROR(__xludf.DUMMYFUNCTION("GOOGLETRANSLATE(A4722,""bn"",""en"")"),"Bookends are provided with bookshelves")</f>
        <v>Bookends are provided with bookshelves</v>
      </c>
    </row>
    <row r="4723" spans="1:3" ht="15.75" customHeight="1" x14ac:dyDescent="0.25">
      <c r="A4723" s="2" t="s">
        <v>4725</v>
      </c>
      <c r="B4723" s="3" t="s">
        <v>2</v>
      </c>
      <c r="C4723" s="2" t="str">
        <f ca="1">IFERROR(__xludf.DUMMYFUNCTION("GOOGLETRANSLATE(A4723,""bn"",""en"")"),"Warranty lasts for one year")</f>
        <v>Warranty lasts for one year</v>
      </c>
    </row>
    <row r="4724" spans="1:3" ht="15.75" customHeight="1" x14ac:dyDescent="0.25">
      <c r="A4724" s="2" t="s">
        <v>4726</v>
      </c>
      <c r="B4724" s="3" t="s">
        <v>6</v>
      </c>
      <c r="C4724" s="2" t="str">
        <f ca="1">IFERROR(__xludf.DUMMYFUNCTION("GOOGLETRANSLATE(A4724,""bn"",""en"")"),"The packaging did not provide adequate protection from light and moisture resulting in spoilage")</f>
        <v>The packaging did not provide adequate protection from light and moisture resulting in spoilage</v>
      </c>
    </row>
    <row r="4725" spans="1:3" ht="15.75" customHeight="1" x14ac:dyDescent="0.25">
      <c r="A4725" s="2" t="s">
        <v>4727</v>
      </c>
      <c r="B4725" s="3" t="s">
        <v>4</v>
      </c>
      <c r="C4725" s="2" t="str">
        <f ca="1">IFERROR(__xludf.DUMMYFUNCTION("GOOGLETRANSLATE(A4725,""bn"",""en"")"),"The instruction booklet that comes with the set has great tips for making the best use of the pillows")</f>
        <v>The instruction booklet that comes with the set has great tips for making the best use of the pillows</v>
      </c>
    </row>
    <row r="4726" spans="1:3" ht="15.75" customHeight="1" x14ac:dyDescent="0.25">
      <c r="A4726" s="2" t="s">
        <v>4728</v>
      </c>
      <c r="B4726" s="3" t="s">
        <v>6</v>
      </c>
      <c r="C4726" s="2" t="str">
        <f ca="1">IFERROR(__xludf.DUMMYFUNCTION("GOOGLETRANSLATE(A4726,""bn"",""en"")"),"Wardrobe doors are heavy and difficult to maneuver especially for children and the elderly")</f>
        <v>Wardrobe doors are heavy and difficult to maneuver especially for children and the elderly</v>
      </c>
    </row>
    <row r="4727" spans="1:3" ht="15.75" customHeight="1" x14ac:dyDescent="0.25">
      <c r="A4727" s="2" t="s">
        <v>4729</v>
      </c>
      <c r="B4727" s="3" t="s">
        <v>4</v>
      </c>
      <c r="C4727" s="2" t="str">
        <f ca="1">IFERROR(__xludf.DUMMYFUNCTION("GOOGLETRANSLATE(A4727,""bn"",""en"")"),"Many new books have arrived in the school library")</f>
        <v>Many new books have arrived in the school library</v>
      </c>
    </row>
    <row r="4728" spans="1:3" ht="15.75" customHeight="1" x14ac:dyDescent="0.25">
      <c r="A4728" s="2" t="s">
        <v>4730</v>
      </c>
      <c r="B4728" s="3" t="s">
        <v>4</v>
      </c>
      <c r="C4728" s="2" t="str">
        <f ca="1">IFERROR(__xludf.DUMMYFUNCTION("GOOGLETRANSLATE(A4728,""bn"",""en"")"),"It is very suitable as a special gift")</f>
        <v>It is very suitable as a special gift</v>
      </c>
    </row>
    <row r="4729" spans="1:3" ht="15.75" customHeight="1" x14ac:dyDescent="0.25">
      <c r="A4729" s="2" t="s">
        <v>4731</v>
      </c>
      <c r="B4729" s="3" t="s">
        <v>2</v>
      </c>
      <c r="C4729" s="2" t="str">
        <f ca="1">IFERROR(__xludf.DUMMYFUNCTION("GOOGLETRANSLATE(A4729,""bn"",""en"")"),"The dress is comfortable but the design is not that attractive")</f>
        <v>The dress is comfortable but the design is not that attractive</v>
      </c>
    </row>
    <row r="4730" spans="1:3" ht="15.75" customHeight="1" x14ac:dyDescent="0.25">
      <c r="A4730" s="2" t="s">
        <v>4732</v>
      </c>
      <c r="B4730" s="3" t="s">
        <v>2</v>
      </c>
      <c r="C4730" s="2" t="str">
        <f ca="1">IFERROR(__xludf.DUMMYFUNCTION("GOOGLETRANSLATE(A4730,""bn"",""en"")"),"Good product with some limitations")</f>
        <v>Good product with some limitations</v>
      </c>
    </row>
    <row r="4731" spans="1:3" ht="15.75" customHeight="1" x14ac:dyDescent="0.25">
      <c r="A4731" s="2" t="s">
        <v>4733</v>
      </c>
      <c r="B4731" s="3" t="s">
        <v>6</v>
      </c>
      <c r="C4731" s="2" t="str">
        <f ca="1">IFERROR(__xludf.DUMMYFUNCTION("GOOGLETRANSLATE(A4731,""bn"",""en"")"),"The remote control was not responsive and had to press multiple buttons to change channels")</f>
        <v>The remote control was not responsive and had to press multiple buttons to change channels</v>
      </c>
    </row>
    <row r="4732" spans="1:3" ht="15.75" customHeight="1" x14ac:dyDescent="0.25">
      <c r="A4732" s="2" t="s">
        <v>4734</v>
      </c>
      <c r="B4732" s="3" t="s">
        <v>6</v>
      </c>
      <c r="C4732" s="2" t="str">
        <f ca="1">IFERROR(__xludf.DUMMYFUNCTION("GOOGLETRANSLATE(A4732,""bn"",""en"")"),"The styling gel dried out my hair and made it feel brittle")</f>
        <v>The styling gel dried out my hair and made it feel brittle</v>
      </c>
    </row>
    <row r="4733" spans="1:3" ht="15.75" customHeight="1" x14ac:dyDescent="0.25">
      <c r="A4733" s="2" t="s">
        <v>4735</v>
      </c>
      <c r="B4733" s="3" t="s">
        <v>2</v>
      </c>
      <c r="C4733" s="2" t="str">
        <f ca="1">IFERROR(__xludf.DUMMYFUNCTION("GOOGLETRANSLATE(A4733,""bn"",""en"")"),"A dehumidifier reduces humidity but it makes some noise")</f>
        <v>A dehumidifier reduces humidity but it makes some noise</v>
      </c>
    </row>
    <row r="4734" spans="1:3" ht="15.75" customHeight="1" x14ac:dyDescent="0.25">
      <c r="A4734" s="2" t="s">
        <v>4736</v>
      </c>
      <c r="B4734" s="3" t="s">
        <v>6</v>
      </c>
      <c r="C4734" s="2" t="str">
        <f ca="1">IFERROR(__xludf.DUMMYFUNCTION("GOOGLETRANSLATE(A4734,""bn"",""en"")"),"The shower cap tears easily at the seams")</f>
        <v>The shower cap tears easily at the seams</v>
      </c>
    </row>
    <row r="4735" spans="1:3" ht="15.75" customHeight="1" x14ac:dyDescent="0.25">
      <c r="A4735" s="2" t="s">
        <v>4737</v>
      </c>
      <c r="B4735" s="3" t="s">
        <v>6</v>
      </c>
      <c r="C4735" s="2" t="str">
        <f ca="1">IFERROR(__xludf.DUMMYFUNCTION("GOOGLETRANSLATE(A4735,""bn"",""en"")"),"  Butter feels greasy and doesn't absorb well")</f>
        <v xml:space="preserve">  Butter feels greasy and doesn't absorb well</v>
      </c>
    </row>
    <row r="4736" spans="1:3" ht="15.75" customHeight="1" x14ac:dyDescent="0.25">
      <c r="A4736" s="2" t="s">
        <v>4738</v>
      </c>
      <c r="B4736" s="3" t="s">
        <v>2</v>
      </c>
      <c r="C4736" s="2" t="str">
        <f ca="1">IFERROR(__xludf.DUMMYFUNCTION("GOOGLETRANSLATE(A4736,""bn"",""en"")"),"Usable but not satisfactory")</f>
        <v>Usable but not satisfactory</v>
      </c>
    </row>
    <row r="4737" spans="1:3" ht="15.75" customHeight="1" x14ac:dyDescent="0.25">
      <c r="A4737" s="2" t="s">
        <v>4739</v>
      </c>
      <c r="B4737" s="3" t="s">
        <v>4</v>
      </c>
      <c r="C4737" s="2" t="str">
        <f ca="1">IFERROR(__xludf.DUMMYFUNCTION("GOOGLETRANSLATE(A4737,""bn"",""en"")"),"Ideal for travel")</f>
        <v>Ideal for travel</v>
      </c>
    </row>
    <row r="4738" spans="1:3" ht="15.75" customHeight="1" x14ac:dyDescent="0.25">
      <c r="A4738" s="2" t="s">
        <v>4740</v>
      </c>
      <c r="B4738" s="3" t="s">
        <v>2</v>
      </c>
      <c r="C4738" s="2" t="str">
        <f ca="1">IFERROR(__xludf.DUMMYFUNCTION("GOOGLETRANSLATE(A4738,""bn"",""en"")"),"Sweetness was ok but felt bad as quantity was less")</f>
        <v>Sweetness was ok but felt bad as quantity was less</v>
      </c>
    </row>
    <row r="4739" spans="1:3" ht="15.75" customHeight="1" x14ac:dyDescent="0.25">
      <c r="A4739" s="2" t="s">
        <v>4741</v>
      </c>
      <c r="B4739" s="3" t="s">
        <v>2</v>
      </c>
      <c r="C4739" s="2" t="str">
        <f ca="1">IFERROR(__xludf.DUMMYFUNCTION("GOOGLETRANSLATE(A4739,""bn"",""en"")"),"It is convenient to use but satisfaction level is moderate")</f>
        <v>It is convenient to use but satisfaction level is moderate</v>
      </c>
    </row>
    <row r="4740" spans="1:3" ht="15.75" customHeight="1" x14ac:dyDescent="0.25">
      <c r="A4740" s="2" t="s">
        <v>4742</v>
      </c>
      <c r="B4740" s="3" t="s">
        <v>2</v>
      </c>
      <c r="C4740" s="2" t="str">
        <f ca="1">IFERROR(__xludf.DUMMYFUNCTION("GOOGLETRANSLATE(A4740,""bn"",""en"")"),"Should not be used in the same place for a long time")</f>
        <v>Should not be used in the same place for a long time</v>
      </c>
    </row>
    <row r="4741" spans="1:3" ht="15.75" customHeight="1" x14ac:dyDescent="0.25">
      <c r="A4741" s="2" t="s">
        <v>4743</v>
      </c>
      <c r="B4741" s="3" t="s">
        <v>6</v>
      </c>
      <c r="C4741" s="2" t="str">
        <f ca="1">IFERROR(__xludf.DUMMYFUNCTION("GOOGLETRANSLATE(A4741,""bn"",""en"")"),"The handle of the teapot was too short making it difficult to hold")</f>
        <v>The handle of the teapot was too short making it difficult to hold</v>
      </c>
    </row>
    <row r="4742" spans="1:3" ht="15.75" customHeight="1" x14ac:dyDescent="0.25">
      <c r="A4742" s="2" t="s">
        <v>4744</v>
      </c>
      <c r="B4742" s="3" t="s">
        <v>6</v>
      </c>
      <c r="C4742" s="2" t="str">
        <f ca="1">IFERROR(__xludf.DUMMYFUNCTION("GOOGLETRANSLATE(A4742,""bn"",""en"")")," The bezels were prone to fingerprints and smudges that required regular cleaning")</f>
        <v xml:space="preserve"> The bezels were prone to fingerprints and smudges that required regular cleaning</v>
      </c>
    </row>
    <row r="4743" spans="1:3" ht="15.75" customHeight="1" x14ac:dyDescent="0.25">
      <c r="A4743" s="2" t="s">
        <v>4745</v>
      </c>
      <c r="B4743" s="3" t="s">
        <v>4</v>
      </c>
      <c r="C4743" s="2" t="str">
        <f ca="1">IFERROR(__xludf.DUMMYFUNCTION("GOOGLETRANSLATE(A4743,""bn"",""en"")"),"The additional drawers at the bottom of the cupboard are very useful")</f>
        <v>The additional drawers at the bottom of the cupboard are very useful</v>
      </c>
    </row>
    <row r="4744" spans="1:3" ht="15.75" customHeight="1" x14ac:dyDescent="0.25">
      <c r="A4744" s="2" t="s">
        <v>4746</v>
      </c>
      <c r="B4744" s="3" t="s">
        <v>4</v>
      </c>
      <c r="C4744" s="2" t="str">
        <f ca="1">IFERROR(__xludf.DUMMYFUNCTION("GOOGLETRANSLATE(A4744,""bn"",""en"")"),"The foam of the beauty soap is very smooth")</f>
        <v>The foam of the beauty soap is very smooth</v>
      </c>
    </row>
    <row r="4745" spans="1:3" ht="15.75" customHeight="1" x14ac:dyDescent="0.25">
      <c r="A4745" s="2" t="s">
        <v>4747</v>
      </c>
      <c r="B4745" s="3" t="s">
        <v>4</v>
      </c>
      <c r="C4745" s="2" t="str">
        <f ca="1">IFERROR(__xludf.DUMMYFUNCTION("GOOGLETRANSLATE(A4745,""bn"",""en"")"),"The finishing of the shoe is very beautiful and durable")</f>
        <v>The finishing of the shoe is very beautiful and durable</v>
      </c>
    </row>
    <row r="4746" spans="1:3" ht="15.75" customHeight="1" x14ac:dyDescent="0.25">
      <c r="A4746" s="2" t="s">
        <v>4748</v>
      </c>
      <c r="B4746" s="3" t="s">
        <v>2</v>
      </c>
      <c r="C4746" s="2" t="str">
        <f ca="1">IFERROR(__xludf.DUMMYFUNCTION("GOOGLETRANSLATE(A4746,""bn"",""en"")"),"They have specific uses and are not highly adaptable")</f>
        <v>They have specific uses and are not highly adaptable</v>
      </c>
    </row>
    <row r="4747" spans="1:3" ht="15.75" customHeight="1" x14ac:dyDescent="0.25">
      <c r="A4747" s="2" t="s">
        <v>4749</v>
      </c>
      <c r="B4747" s="3" t="s">
        <v>4</v>
      </c>
      <c r="C4747" s="2" t="str">
        <f ca="1">IFERROR(__xludf.DUMMYFUNCTION("GOOGLETRANSLATE(A4747,""bn"",""en"")"),"I really like the flavor of the toothpaste")</f>
        <v>I really like the flavor of the toothpaste</v>
      </c>
    </row>
    <row r="4748" spans="1:3" ht="15.75" customHeight="1" x14ac:dyDescent="0.25">
      <c r="A4748" s="2" t="s">
        <v>4750</v>
      </c>
      <c r="B4748" s="3" t="s">
        <v>2</v>
      </c>
      <c r="C4748" s="2" t="str">
        <f ca="1">IFERROR(__xludf.DUMMYFUNCTION("GOOGLETRANSLATE(A4748,""bn"",""en"")"),"It can be strong and expandable as advertised but not in all situations")</f>
        <v>It can be strong and expandable as advertised but not in all situations</v>
      </c>
    </row>
    <row r="4749" spans="1:3" ht="15.75" customHeight="1" x14ac:dyDescent="0.25">
      <c r="A4749" s="2" t="s">
        <v>4751</v>
      </c>
      <c r="B4749" s="3" t="s">
        <v>2</v>
      </c>
      <c r="C4749" s="2" t="str">
        <f ca="1">IFERROR(__xludf.DUMMYFUNCTION("GOOGLETRANSLATE(A4749,""bn"",""en"")"),"I like the stuff but it's too expensive")</f>
        <v>I like the stuff but it's too expensive</v>
      </c>
    </row>
    <row r="4750" spans="1:3" ht="15.75" customHeight="1" x14ac:dyDescent="0.25">
      <c r="A4750" s="2" t="s">
        <v>4752</v>
      </c>
      <c r="B4750" s="3" t="s">
        <v>6</v>
      </c>
      <c r="C4750" s="2" t="str">
        <f ca="1">IFERROR(__xludf.DUMMYFUNCTION("GOOGLETRANSLATE(A4750,""bn"",""en"")"),"Unacceptable conditions require thorough inspection")</f>
        <v>Unacceptable conditions require thorough inspection</v>
      </c>
    </row>
    <row r="4751" spans="1:3" ht="15.75" customHeight="1" x14ac:dyDescent="0.25">
      <c r="A4751" s="2" t="s">
        <v>4753</v>
      </c>
      <c r="B4751" s="3" t="s">
        <v>4</v>
      </c>
      <c r="C4751" s="2" t="str">
        <f ca="1">IFERROR(__xludf.DUMMYFUNCTION("GOOGLETRANSLATE(A4751,""bn"",""en"")"),"The makeup kit is suitable for daily use")</f>
        <v>The makeup kit is suitable for daily use</v>
      </c>
    </row>
    <row r="4752" spans="1:3" ht="15.75" customHeight="1" x14ac:dyDescent="0.25">
      <c r="A4752" s="2" t="s">
        <v>4754</v>
      </c>
      <c r="B4752" s="3" t="s">
        <v>6</v>
      </c>
      <c r="C4752" s="2" t="str">
        <f ca="1">IFERROR(__xludf.DUMMYFUNCTION("GOOGLETRANSLATE(A4752,""bn"",""en"")"),"The sealing strip of the vacuum sealer tears compromising the airtight seal")</f>
        <v>The sealing strip of the vacuum sealer tears compromising the airtight seal</v>
      </c>
    </row>
    <row r="4753" spans="1:3" ht="15.75" customHeight="1" x14ac:dyDescent="0.25">
      <c r="A4753" s="2" t="s">
        <v>4755</v>
      </c>
      <c r="B4753" s="3" t="s">
        <v>2</v>
      </c>
      <c r="C4753" s="2" t="str">
        <f ca="1">IFERROR(__xludf.DUMMYFUNCTION("GOOGLETRANSLATE(A4753,""bn"",""en"")"),"It works within certain limitations")</f>
        <v>It works within certain limitations</v>
      </c>
    </row>
    <row r="4754" spans="1:3" ht="15.75" customHeight="1" x14ac:dyDescent="0.25">
      <c r="A4754" s="2" t="s">
        <v>4756</v>
      </c>
      <c r="B4754" s="3" t="s">
        <v>4</v>
      </c>
      <c r="C4754" s="2" t="str">
        <f ca="1">IFERROR(__xludf.DUMMYFUNCTION("GOOGLETRANSLATE(A4754,""bn"",""en"")"),"Its taste reminds me of England's tea time")</f>
        <v>Its taste reminds me of England's tea time</v>
      </c>
    </row>
    <row r="4755" spans="1:3" ht="15.75" customHeight="1" x14ac:dyDescent="0.25">
      <c r="A4755" s="2" t="s">
        <v>4757</v>
      </c>
      <c r="B4755" s="3" t="s">
        <v>4</v>
      </c>
      <c r="C4755" s="2" t="str">
        <f ca="1">IFERROR(__xludf.DUMMYFUNCTION("GOOGLETRANSLATE(A4755,""bn"",""en"")"),"The connectivity options of the device are very advanced")</f>
        <v>The connectivity options of the device are very advanced</v>
      </c>
    </row>
    <row r="4756" spans="1:3" ht="15.75" customHeight="1" x14ac:dyDescent="0.25">
      <c r="A4756" s="2" t="s">
        <v>4758</v>
      </c>
      <c r="B4756" s="3" t="s">
        <v>2</v>
      </c>
      <c r="C4756" s="2" t="str">
        <f ca="1">IFERROR(__xludf.DUMMYFUNCTION("GOOGLETRANSLATE(A4756,""bn"",""en"")"),"The digital fish feeder feeds the fish but the food can get stuck")</f>
        <v>The digital fish feeder feeds the fish but the food can get stuck</v>
      </c>
    </row>
    <row r="4757" spans="1:3" ht="15.75" customHeight="1" x14ac:dyDescent="0.25">
      <c r="A4757" s="2" t="s">
        <v>4759</v>
      </c>
      <c r="B4757" s="3" t="s">
        <v>2</v>
      </c>
      <c r="C4757" s="2" t="str">
        <f ca="1">IFERROR(__xludf.DUMMYFUNCTION("GOOGLETRANSLATE(A4757,""bn"",""en"")"),"The all-in-one solution seemed like a convenient option")</f>
        <v>The all-in-one solution seemed like a convenient option</v>
      </c>
    </row>
    <row r="4758" spans="1:3" ht="15.75" customHeight="1" x14ac:dyDescent="0.25">
      <c r="A4758" s="2" t="s">
        <v>4760</v>
      </c>
      <c r="B4758" s="3" t="s">
        <v>4</v>
      </c>
      <c r="C4758" s="2" t="str">
        <f ca="1">IFERROR(__xludf.DUMMYFUNCTION("GOOGLETRANSLATE(A4758,""bn"",""en"")"),"The build quality of the mobile is very good")</f>
        <v>The build quality of the mobile is very good</v>
      </c>
    </row>
    <row r="4759" spans="1:3" ht="15.75" customHeight="1" x14ac:dyDescent="0.25">
      <c r="A4759" s="2" t="s">
        <v>4761</v>
      </c>
      <c r="B4759" s="3" t="s">
        <v>6</v>
      </c>
      <c r="C4759" s="2" t="str">
        <f ca="1">IFERROR(__xludf.DUMMYFUNCTION("GOOGLETRANSLATE(A4759,""bn"",""en"")"),"  The scrub had a weird smell and didn't exfoliate properly")</f>
        <v xml:space="preserve">  The scrub had a weird smell and didn't exfoliate properly</v>
      </c>
    </row>
    <row r="4760" spans="1:3" ht="15.75" customHeight="1" x14ac:dyDescent="0.25">
      <c r="A4760" s="2" t="s">
        <v>4762</v>
      </c>
      <c r="B4760" s="3" t="s">
        <v>4</v>
      </c>
      <c r="C4760" s="2" t="str">
        <f ca="1">IFERROR(__xludf.DUMMYFUNCTION("GOOGLETRANSLATE(A4760,""bn"",""en"")"),"I noticed that these pillows don't store heat and my head is cold even on hot nights")</f>
        <v>I noticed that these pillows don't store heat and my head is cold even on hot nights</v>
      </c>
    </row>
    <row r="4761" spans="1:3" ht="15.75" customHeight="1" x14ac:dyDescent="0.25">
      <c r="A4761" s="2" t="s">
        <v>4763</v>
      </c>
      <c r="B4761" s="3" t="s">
        <v>4</v>
      </c>
      <c r="C4761" s="2" t="str">
        <f ca="1">IFERROR(__xludf.DUMMYFUNCTION("GOOGLETRANSLATE(A4761,""bn"",""en"")")," Good for charging")</f>
        <v xml:space="preserve"> Good for charging</v>
      </c>
    </row>
    <row r="4762" spans="1:3" ht="15.75" customHeight="1" x14ac:dyDescent="0.25">
      <c r="A4762" s="2" t="s">
        <v>4764</v>
      </c>
      <c r="B4762" s="3" t="s">
        <v>6</v>
      </c>
      <c r="C4762" s="2" t="str">
        <f ca="1">IFERROR(__xludf.DUMMYFUNCTION("GOOGLETRANSLATE(A4762,""bn"",""en"")"),"The interface is complex and the stability of the system is questionable")</f>
        <v>The interface is complex and the stability of the system is questionable</v>
      </c>
    </row>
    <row r="4763" spans="1:3" ht="15.75" customHeight="1" x14ac:dyDescent="0.25">
      <c r="A4763" s="2" t="s">
        <v>4765</v>
      </c>
      <c r="B4763" s="3" t="s">
        <v>2</v>
      </c>
      <c r="C4763" s="2" t="str">
        <f ca="1">IFERROR(__xludf.DUMMYFUNCTION("GOOGLETRANSLATE(A4763,""bn"",""en"")"),"Repaired and running better than before Can have occasional glitches")</f>
        <v>Repaired and running better than before Can have occasional glitches</v>
      </c>
    </row>
    <row r="4764" spans="1:3" ht="15.75" customHeight="1" x14ac:dyDescent="0.25">
      <c r="A4764" s="2" t="s">
        <v>4766</v>
      </c>
      <c r="B4764" s="3" t="s">
        <v>4</v>
      </c>
      <c r="C4764" s="2" t="str">
        <f ca="1">IFERROR(__xludf.DUMMYFUNCTION("GOOGLETRANSLATE(A4764,""bn"",""en"")"),"Very satisfactory performance")</f>
        <v>Very satisfactory performance</v>
      </c>
    </row>
    <row r="4765" spans="1:3" ht="15.75" customHeight="1" x14ac:dyDescent="0.25">
      <c r="A4765" s="2" t="s">
        <v>4767</v>
      </c>
      <c r="B4765" s="3" t="s">
        <v>4</v>
      </c>
      <c r="C4765" s="2" t="str">
        <f ca="1">IFERROR(__xludf.DUMMYFUNCTION("GOOGLETRANSLATE(A4765,""bn"",""en"")"),"The video recording quality of the device is excellent")</f>
        <v>The video recording quality of the device is excellent</v>
      </c>
    </row>
    <row r="4766" spans="1:3" ht="15.75" customHeight="1" x14ac:dyDescent="0.25">
      <c r="A4766" s="2" t="s">
        <v>4768</v>
      </c>
      <c r="B4766" s="3" t="s">
        <v>4</v>
      </c>
      <c r="C4766" s="2" t="str">
        <f ca="1">IFERROR(__xludf.DUMMYFUNCTION("GOOGLETRANSLATE(A4766,""bn"",""en"")"),"The picture on the new TV screen is very clear and bright")</f>
        <v>The picture on the new TV screen is very clear and bright</v>
      </c>
    </row>
    <row r="4767" spans="1:3" ht="15.75" customHeight="1" x14ac:dyDescent="0.25">
      <c r="A4767" s="2" t="s">
        <v>4769</v>
      </c>
      <c r="B4767" s="3" t="s">
        <v>6</v>
      </c>
      <c r="C4767" s="2" t="str">
        <f ca="1">IFERROR(__xludf.DUMMYFUNCTION("GOOGLETRANSLATE(A4767,""bn"",""en"")"),"Regret buying two sets")</f>
        <v>Regret buying two sets</v>
      </c>
    </row>
    <row r="4768" spans="1:3" ht="15.75" customHeight="1" x14ac:dyDescent="0.25">
      <c r="A4768" s="2" t="s">
        <v>4770</v>
      </c>
      <c r="B4768" s="3" t="s">
        <v>2</v>
      </c>
      <c r="C4768" s="2" t="str">
        <f ca="1">IFERROR(__xludf.DUMMYFUNCTION("GOOGLETRANSLATE(A4768,""bn"",""en"")"),"The size of the plates is not suitable for medium to large amounts of food")</f>
        <v>The size of the plates is not suitable for medium to large amounts of food</v>
      </c>
    </row>
    <row r="4769" spans="1:3" ht="15.75" customHeight="1" x14ac:dyDescent="0.25">
      <c r="A4769" s="2" t="s">
        <v>4771</v>
      </c>
      <c r="B4769" s="3" t="s">
        <v>6</v>
      </c>
      <c r="C4769" s="2" t="str">
        <f ca="1">IFERROR(__xludf.DUMMYFUNCTION("GOOGLETRANSLATE(A4769,""bn"",""en"")"),"An unbearable plastic smell pollutes the water even after multiple cleanings")</f>
        <v>An unbearable plastic smell pollutes the water even after multiple cleanings</v>
      </c>
    </row>
    <row r="4770" spans="1:3" ht="15.75" customHeight="1" x14ac:dyDescent="0.25">
      <c r="A4770" s="2" t="s">
        <v>4772</v>
      </c>
      <c r="B4770" s="3" t="s">
        <v>4</v>
      </c>
      <c r="C4770" s="2" t="str">
        <f ca="1">IFERROR(__xludf.DUMMYFUNCTION("GOOGLETRANSLATE(A4770,""bn"",""en"")"),"The top of the handle is comfortable to hold")</f>
        <v>The top of the handle is comfortable to hold</v>
      </c>
    </row>
    <row r="4771" spans="1:3" ht="15.75" customHeight="1" x14ac:dyDescent="0.25">
      <c r="A4771" s="2" t="s">
        <v>4773</v>
      </c>
      <c r="B4771" s="3" t="s">
        <v>4</v>
      </c>
      <c r="C4771" s="2" t="str">
        <f ca="1">IFERROR(__xludf.DUMMYFUNCTION("GOOGLETRANSLATE(A4771,""bn"",""en"")"),"The camera of this phone is the best for taking pictures")</f>
        <v>The camera of this phone is the best for taking pictures</v>
      </c>
    </row>
    <row r="4772" spans="1:3" ht="15.75" customHeight="1" x14ac:dyDescent="0.25">
      <c r="A4772" s="2" t="s">
        <v>4774</v>
      </c>
      <c r="B4772" s="3" t="s">
        <v>4</v>
      </c>
      <c r="C4772" s="2" t="str">
        <f ca="1">IFERROR(__xludf.DUMMYFUNCTION("GOOGLETRANSLATE(A4772,""bn"",""en"")"),"It is very easy and convenient to use")</f>
        <v>It is very easy and convenient to use</v>
      </c>
    </row>
    <row r="4773" spans="1:3" ht="15.75" customHeight="1" x14ac:dyDescent="0.25">
      <c r="A4773" s="2" t="s">
        <v>4775</v>
      </c>
      <c r="B4773" s="3" t="s">
        <v>4</v>
      </c>
      <c r="C4773" s="2" t="str">
        <f ca="1">IFERROR(__xludf.DUMMYFUNCTION("GOOGLETRANSLATE(A4773,""bn"",""en"")"),"The ticking sound of the clock is very low")</f>
        <v>The ticking sound of the clock is very low</v>
      </c>
    </row>
    <row r="4774" spans="1:3" ht="15.75" customHeight="1" x14ac:dyDescent="0.25">
      <c r="A4774" s="2" t="s">
        <v>4776</v>
      </c>
      <c r="B4774" s="3" t="s">
        <v>6</v>
      </c>
      <c r="C4774" s="2" t="str">
        <f ca="1">IFERROR(__xludf.DUMMYFUNCTION("GOOGLETRANSLATE(A4774,""bn"",""en"")"),"The material of the toy was too stiff and lacked flexibility")</f>
        <v>The material of the toy was too stiff and lacked flexibility</v>
      </c>
    </row>
    <row r="4775" spans="1:3" ht="15.75" customHeight="1" x14ac:dyDescent="0.25">
      <c r="A4775" s="2" t="s">
        <v>4777</v>
      </c>
      <c r="B4775" s="3" t="s">
        <v>6</v>
      </c>
      <c r="C4775" s="2" t="str">
        <f ca="1">IFERROR(__xludf.DUMMYFUNCTION("GOOGLETRANSLATE(A4775,""bn"",""en"")"),"Useless gadget")</f>
        <v>Useless gadget</v>
      </c>
    </row>
    <row r="4776" spans="1:3" ht="15.75" customHeight="1" x14ac:dyDescent="0.25">
      <c r="A4776" s="2" t="s">
        <v>4778</v>
      </c>
      <c r="B4776" s="3" t="s">
        <v>6</v>
      </c>
      <c r="C4776" s="2" t="str">
        <f ca="1">IFERROR(__xludf.DUMMYFUNCTION("GOOGLETRANSLATE(A4776,""bn"",""en"")"),"The reservoir of the automatic water dispenser is too small to refill frequently")</f>
        <v>The reservoir of the automatic water dispenser is too small to refill frequently</v>
      </c>
    </row>
    <row r="4777" spans="1:3" ht="15.75" customHeight="1" x14ac:dyDescent="0.25">
      <c r="A4777" s="2" t="s">
        <v>4779</v>
      </c>
      <c r="B4777" s="3" t="s">
        <v>6</v>
      </c>
      <c r="C4777" s="2" t="str">
        <f ca="1">IFERROR(__xludf.DUMMYFUNCTION("GOOGLETRANSLATE(A4777,""bn"",""en"")"),"Overwhelmed by unprepared presentations")</f>
        <v>Overwhelmed by unprepared presentations</v>
      </c>
    </row>
    <row r="4778" spans="1:3" ht="15.75" customHeight="1" x14ac:dyDescent="0.25">
      <c r="A4778" s="2" t="s">
        <v>4780</v>
      </c>
      <c r="B4778" s="3" t="s">
        <v>4</v>
      </c>
      <c r="C4778" s="2" t="str">
        <f ca="1">IFERROR(__xludf.DUMMYFUNCTION("GOOGLETRANSLATE(A4778,""bn"",""en"")"),"The colors are easy to mix and it's fun to create new shades")</f>
        <v>The colors are easy to mix and it's fun to create new shades</v>
      </c>
    </row>
    <row r="4779" spans="1:3" ht="15.75" customHeight="1" x14ac:dyDescent="0.25">
      <c r="A4779" s="2" t="s">
        <v>4781</v>
      </c>
      <c r="B4779" s="3" t="s">
        <v>4</v>
      </c>
      <c r="C4779" s="2" t="str">
        <f ca="1">IFERROR(__xludf.DUMMYFUNCTION("GOOGLETRANSLATE(A4779,""bn"",""en"")"),"The fit of the pants is perfect")</f>
        <v>The fit of the pants is perfect</v>
      </c>
    </row>
    <row r="4780" spans="1:3" ht="15.75" customHeight="1" x14ac:dyDescent="0.25">
      <c r="A4780" s="2" t="s">
        <v>4782</v>
      </c>
      <c r="B4780" s="3" t="s">
        <v>4</v>
      </c>
      <c r="C4780" s="2" t="str">
        <f ca="1">IFERROR(__xludf.DUMMYFUNCTION("GOOGLETRANSLATE(A4780,""bn"",""en"")"),"The wood is decent and suitable for making bracelets")</f>
        <v>The wood is decent and suitable for making bracelets</v>
      </c>
    </row>
    <row r="4781" spans="1:3" ht="15.75" customHeight="1" x14ac:dyDescent="0.25">
      <c r="A4781" s="2" t="s">
        <v>4783</v>
      </c>
      <c r="B4781" s="3" t="s">
        <v>2</v>
      </c>
      <c r="C4781" s="2" t="str">
        <f ca="1">IFERROR(__xludf.DUMMYFUNCTION("GOOGLETRANSLATE(A4781,""bn"",""en"")"),"Was a little disappointed with its yield but was good for the soil")</f>
        <v>Was a little disappointed with its yield but was good for the soil</v>
      </c>
    </row>
    <row r="4782" spans="1:3" ht="15.75" customHeight="1" x14ac:dyDescent="0.25">
      <c r="A4782" s="2" t="s">
        <v>4784</v>
      </c>
      <c r="B4782" s="3" t="s">
        <v>6</v>
      </c>
      <c r="C4782" s="2" t="str">
        <f ca="1">IFERROR(__xludf.DUMMYFUNCTION("GOOGLETRANSLATE(A4782,""bn"",""en"")"),"The beans were roasted unevenly resulting in an uneven brew")</f>
        <v>The beans were roasted unevenly resulting in an uneven brew</v>
      </c>
    </row>
    <row r="4783" spans="1:3" ht="15.75" customHeight="1" x14ac:dyDescent="0.25">
      <c r="A4783" s="2" t="s">
        <v>4785</v>
      </c>
      <c r="B4783" s="3" t="s">
        <v>2</v>
      </c>
      <c r="C4783" s="2" t="str">
        <f ca="1">IFERROR(__xludf.DUMMYFUNCTION("GOOGLETRANSLATE(A4783,""bn"",""en"")"),"The smart doorbell shows visitors but the WiFi connection is unstable")</f>
        <v>The smart doorbell shows visitors but the WiFi connection is unstable</v>
      </c>
    </row>
    <row r="4784" spans="1:3" ht="15.75" customHeight="1" x14ac:dyDescent="0.25">
      <c r="A4784" s="2" t="s">
        <v>4786</v>
      </c>
      <c r="B4784" s="3" t="s">
        <v>2</v>
      </c>
      <c r="C4784" s="2" t="str">
        <f ca="1">IFERROR(__xludf.DUMMYFUNCTION("GOOGLETRANSLATE(A4784,""bn"",""en"")"),"Yes it is not worth it for everyone")</f>
        <v>Yes it is not worth it for everyone</v>
      </c>
    </row>
    <row r="4785" spans="1:3" ht="15.75" customHeight="1" x14ac:dyDescent="0.25">
      <c r="A4785" s="2" t="s">
        <v>4787</v>
      </c>
      <c r="B4785" s="3" t="s">
        <v>2</v>
      </c>
      <c r="C4785" s="2" t="str">
        <f ca="1">IFERROR(__xludf.DUMMYFUNCTION("GOOGLETRANSLATE(A4785,""bn"",""en"")"),"The bottle is small and compact")</f>
        <v>The bottle is small and compact</v>
      </c>
    </row>
    <row r="4786" spans="1:3" ht="15.75" customHeight="1" x14ac:dyDescent="0.25">
      <c r="A4786" s="2" t="s">
        <v>4788</v>
      </c>
      <c r="B4786" s="3" t="s">
        <v>2</v>
      </c>
      <c r="C4786" s="2" t="str">
        <f ca="1">IFERROR(__xludf.DUMMYFUNCTION("GOOGLETRANSLATE(A4786,""bn"",""en"")"),"It lives up to the promotional claims but lacks uniqueness")</f>
        <v>It lives up to the promotional claims but lacks uniqueness</v>
      </c>
    </row>
    <row r="4787" spans="1:3" ht="15.75" customHeight="1" x14ac:dyDescent="0.25">
      <c r="A4787" s="2" t="s">
        <v>4789</v>
      </c>
      <c r="B4787" s="3" t="s">
        <v>4</v>
      </c>
      <c r="C4787" s="2" t="str">
        <f ca="1">IFERROR(__xludf.DUMMYFUNCTION("GOOGLETRANSLATE(A4787,""bn"",""en"")"),"This carpet is a perfect fit for the room")</f>
        <v>This carpet is a perfect fit for the room</v>
      </c>
    </row>
    <row r="4788" spans="1:3" ht="15.75" customHeight="1" x14ac:dyDescent="0.25">
      <c r="A4788" s="2" t="s">
        <v>4790</v>
      </c>
      <c r="B4788" s="3" t="s">
        <v>2</v>
      </c>
      <c r="C4788" s="2" t="str">
        <f ca="1">IFERROR(__xludf.DUMMYFUNCTION("GOOGLETRANSLATE(A4788,""bn"",""en"")"),"The mop is designed to take less physical strain while working")</f>
        <v>The mop is designed to take less physical strain while working</v>
      </c>
    </row>
    <row r="4789" spans="1:3" ht="15.75" customHeight="1" x14ac:dyDescent="0.25">
      <c r="A4789" s="2" t="s">
        <v>4791</v>
      </c>
      <c r="B4789" s="3" t="s">
        <v>2</v>
      </c>
      <c r="C4789" s="2" t="str">
        <f ca="1">IFERROR(__xludf.DUMMYFUNCTION("GOOGLETRANSLATE(A4789,""bn"",""en"")"),"The color can be modern")</f>
        <v>The color can be modern</v>
      </c>
    </row>
    <row r="4790" spans="1:3" ht="15.75" customHeight="1" x14ac:dyDescent="0.25">
      <c r="A4790" s="2" t="s">
        <v>4792</v>
      </c>
      <c r="B4790" s="3" t="s">
        <v>2</v>
      </c>
      <c r="C4790" s="2" t="str">
        <f ca="1">IFERROR(__xludf.DUMMYFUNCTION("GOOGLETRANSLATE(A4790,""bn"",""en"")"),"Although the fertilizer was somewhat effective, the quantity yield was not as expected")</f>
        <v>Although the fertilizer was somewhat effective, the quantity yield was not as expected</v>
      </c>
    </row>
    <row r="4791" spans="1:3" ht="15.75" customHeight="1" x14ac:dyDescent="0.25">
      <c r="A4791" s="2" t="s">
        <v>4793</v>
      </c>
      <c r="B4791" s="3" t="s">
        <v>6</v>
      </c>
      <c r="C4791" s="2" t="str">
        <f ca="1">IFERROR(__xludf.DUMMYFUNCTION("GOOGLETRANSLATE(A4791,""bn"",""en"")"),"   Lacks structure and looks shapeless")</f>
        <v xml:space="preserve">   Lacks structure and looks shapeless</v>
      </c>
    </row>
    <row r="4792" spans="1:3" ht="15.75" customHeight="1" x14ac:dyDescent="0.25">
      <c r="A4792" s="2" t="s">
        <v>4794</v>
      </c>
      <c r="B4792" s="3" t="s">
        <v>4</v>
      </c>
      <c r="C4792" s="2" t="str">
        <f ca="1">IFERROR(__xludf.DUMMYFUNCTION("GOOGLETRANSLATE(A4792,""bn"",""en"")"),"Its taste and quality are different from other biscuits")</f>
        <v>Its taste and quality are different from other biscuits</v>
      </c>
    </row>
    <row r="4793" spans="1:3" ht="15.75" customHeight="1" x14ac:dyDescent="0.25">
      <c r="A4793" s="2" t="s">
        <v>4795</v>
      </c>
      <c r="B4793" s="3" t="s">
        <v>6</v>
      </c>
      <c r="C4793" s="2" t="str">
        <f ca="1">IFERROR(__xludf.DUMMYFUNCTION("GOOGLETRANSLATE(A4793,""bn"",""en"")"),"Mascara smudges under the eyes and gives the appearance of dark circles")</f>
        <v>Mascara smudges under the eyes and gives the appearance of dark circles</v>
      </c>
    </row>
    <row r="4794" spans="1:3" ht="15.75" customHeight="1" x14ac:dyDescent="0.25">
      <c r="A4794" s="2" t="s">
        <v>4796</v>
      </c>
      <c r="B4794" s="3" t="s">
        <v>2</v>
      </c>
      <c r="C4794" s="2" t="str">
        <f ca="1">IFERROR(__xludf.DUMMYFUNCTION("GOOGLETRANSLATE(A4794,""bn"",""en"")"),"Fabric quality is fair but can tear easily")</f>
        <v>Fabric quality is fair but can tear easily</v>
      </c>
    </row>
    <row r="4795" spans="1:3" ht="15.75" customHeight="1" x14ac:dyDescent="0.25">
      <c r="A4795" s="2" t="s">
        <v>4797</v>
      </c>
      <c r="B4795" s="3" t="s">
        <v>4</v>
      </c>
      <c r="C4795" s="2" t="str">
        <f ca="1">IFERROR(__xludf.DUMMYFUNCTION("GOOGLETRANSLATE(A4795,""bn"",""en"")"),"The bookshelf is durable and easy to maintain")</f>
        <v>The bookshelf is durable and easy to maintain</v>
      </c>
    </row>
    <row r="4796" spans="1:3" ht="15.75" customHeight="1" x14ac:dyDescent="0.25">
      <c r="A4796" s="2" t="s">
        <v>4798</v>
      </c>
      <c r="B4796" s="3" t="s">
        <v>4</v>
      </c>
      <c r="C4796" s="2" t="str">
        <f ca="1">IFERROR(__xludf.DUMMYFUNCTION("GOOGLETRANSLATE(A4796,""bn"",""en"")"),"I bought the Anker USBC charger cable based on the positive reviews")</f>
        <v>I bought the Anker USBC charger cable based on the positive reviews</v>
      </c>
    </row>
    <row r="4797" spans="1:3" ht="15.75" customHeight="1" x14ac:dyDescent="0.25">
      <c r="A4797" s="2" t="s">
        <v>4799</v>
      </c>
      <c r="B4797" s="3" t="s">
        <v>4</v>
      </c>
      <c r="C4797" s="2" t="str">
        <f ca="1">IFERROR(__xludf.DUMMYFUNCTION("GOOGLETRANSLATE(A4797,""bn"",""en"")"),"The charging capacity is very good, the charging time does not take much time, convenient and the price is right")</f>
        <v>The charging capacity is very good, the charging time does not take much time, convenient and the price is right</v>
      </c>
    </row>
    <row r="4798" spans="1:3" ht="15.75" customHeight="1" x14ac:dyDescent="0.25">
      <c r="A4798" s="2" t="s">
        <v>4800</v>
      </c>
      <c r="B4798" s="3" t="s">
        <v>4</v>
      </c>
      <c r="C4798" s="2" t="str">
        <f ca="1">IFERROR(__xludf.DUMMYFUNCTION("GOOGLETRANSLATE(A4798,""bn"",""en"")"),"This coffee has become part of my daily life")</f>
        <v>This coffee has become part of my daily life</v>
      </c>
    </row>
    <row r="4799" spans="1:3" ht="15.75" customHeight="1" x14ac:dyDescent="0.25">
      <c r="A4799" s="2" t="s">
        <v>4801</v>
      </c>
      <c r="B4799" s="3" t="s">
        <v>6</v>
      </c>
      <c r="C4799" s="2" t="str">
        <f ca="1">IFERROR(__xludf.DUMMYFUNCTION("GOOGLETRANSLATE(A4799,""bn"",""en"")"),"Irregularities suspected in Amazon purchases")</f>
        <v>Irregularities suspected in Amazon purchases</v>
      </c>
    </row>
    <row r="4800" spans="1:3" ht="15.75" customHeight="1" x14ac:dyDescent="0.25">
      <c r="A4800" s="2" t="s">
        <v>4802</v>
      </c>
      <c r="B4800" s="3" t="s">
        <v>6</v>
      </c>
      <c r="C4800" s="2" t="str">
        <f ca="1">IFERROR(__xludf.DUMMYFUNCTION("GOOGLETRANSLATE(A4800,""bn"",""en"")"),"Exfoliants irritate my sensitive skin")</f>
        <v>Exfoliants irritate my sensitive skin</v>
      </c>
    </row>
    <row r="4801" spans="1:3" ht="15.75" customHeight="1" x14ac:dyDescent="0.25">
      <c r="A4801" s="2" t="s">
        <v>4803</v>
      </c>
      <c r="B4801" s="3" t="s">
        <v>4</v>
      </c>
      <c r="C4801" s="2" t="str">
        <f ca="1">IFERROR(__xludf.DUMMYFUNCTION("GOOGLETRANSLATE(A4801,""bn"",""en"")"),"It gives both volume and length without the need to buy two separate products")</f>
        <v>It gives both volume and length without the need to buy two separate products</v>
      </c>
    </row>
    <row r="4802" spans="1:3" ht="15.75" customHeight="1" x14ac:dyDescent="0.25">
      <c r="A4802" s="2" t="s">
        <v>4804</v>
      </c>
      <c r="B4802" s="3" t="s">
        <v>6</v>
      </c>
      <c r="C4802" s="2" t="str">
        <f ca="1">IFERROR(__xludf.DUMMYFUNCTION("GOOGLETRANSLATE(A4802,""bn"",""en"")"),"Unsatisfactory reliability error proneness")</f>
        <v>Unsatisfactory reliability error proneness</v>
      </c>
    </row>
    <row r="4803" spans="1:3" ht="15.75" customHeight="1" x14ac:dyDescent="0.25">
      <c r="A4803" s="2" t="s">
        <v>4805</v>
      </c>
      <c r="B4803" s="3" t="s">
        <v>4</v>
      </c>
      <c r="C4803" s="2" t="str">
        <f ca="1">IFERROR(__xludf.DUMMYFUNCTION("GOOGLETRANSLATE(A4803,""bn"",""en"")"),"Each character's background is very well described")</f>
        <v>Each character's background is very well described</v>
      </c>
    </row>
    <row r="4804" spans="1:3" ht="15.75" customHeight="1" x14ac:dyDescent="0.25">
      <c r="A4804" s="2" t="s">
        <v>4806</v>
      </c>
      <c r="B4804" s="3" t="s">
        <v>6</v>
      </c>
      <c r="C4804" s="2" t="str">
        <f ca="1">IFERROR(__xludf.DUMMYFUNCTION("GOOGLETRANSLATE(A4804,""bn"",""en"")")," The door glass broke unexpectedly creating a safety hazard from sharp edges")</f>
        <v xml:space="preserve"> The door glass broke unexpectedly creating a safety hazard from sharp edges</v>
      </c>
    </row>
    <row r="4805" spans="1:3" ht="15.75" customHeight="1" x14ac:dyDescent="0.25">
      <c r="A4805" s="2" t="s">
        <v>4807</v>
      </c>
      <c r="B4805" s="3" t="s">
        <v>4</v>
      </c>
      <c r="C4805" s="2" t="str">
        <f ca="1">IFERROR(__xludf.DUMMYFUNCTION("GOOGLETRANSLATE(A4805,""bn"",""en"")"),"A consistent theme is maintained throughout the set")</f>
        <v>A consistent theme is maintained throughout the set</v>
      </c>
    </row>
    <row r="4806" spans="1:3" ht="15.75" customHeight="1" x14ac:dyDescent="0.25">
      <c r="A4806" s="2" t="s">
        <v>4808</v>
      </c>
      <c r="B4806" s="3" t="s">
        <v>6</v>
      </c>
      <c r="C4806" s="2" t="str">
        <f ca="1">IFERROR(__xludf.DUMMYFUNCTION("GOOGLETRANSLATE(A4806,""bn"",""en"")"),"The color of the lipstick fades quickly requiring frequent reapplication")</f>
        <v>The color of the lipstick fades quickly requiring frequent reapplication</v>
      </c>
    </row>
    <row r="4807" spans="1:3" ht="15.75" customHeight="1" x14ac:dyDescent="0.25">
      <c r="A4807" s="2" t="s">
        <v>4809</v>
      </c>
      <c r="B4807" s="3" t="s">
        <v>6</v>
      </c>
      <c r="C4807" s="2" t="str">
        <f ca="1">IFERROR(__xludf.DUMMYFUNCTION("GOOGLETRANSLATE(A4807,""bn"",""en"")"),"Item performance was inconsistent and unpredictable")</f>
        <v>Item performance was inconsistent and unpredictable</v>
      </c>
    </row>
    <row r="4808" spans="1:3" ht="15.75" customHeight="1" x14ac:dyDescent="0.25">
      <c r="A4808" s="2" t="s">
        <v>4810</v>
      </c>
      <c r="B4808" s="3" t="s">
        <v>6</v>
      </c>
      <c r="C4808" s="2" t="str">
        <f ca="1">IFERROR(__xludf.DUMMYFUNCTION("GOOGLETRANSLATE(A4808,""bn"",""en"")"),"The lack of elasticity in the fabric makes the garment difficult to put on and take off, especially over the head and shoulders")</f>
        <v>The lack of elasticity in the fabric makes the garment difficult to put on and take off, especially over the head and shoulders</v>
      </c>
    </row>
    <row r="4809" spans="1:3" ht="15.75" customHeight="1" x14ac:dyDescent="0.25">
      <c r="A4809" s="2" t="s">
        <v>4811</v>
      </c>
      <c r="B4809" s="3" t="s">
        <v>2</v>
      </c>
      <c r="C4809" s="2" t="str">
        <f ca="1">IFERROR(__xludf.DUMMYFUNCTION("GOOGLETRANSLATE(A4809,""bn"",""en"")"),"The fridge keeps cold properly but is a bit noisy")</f>
        <v>The fridge keeps cold properly but is a bit noisy</v>
      </c>
    </row>
    <row r="4810" spans="1:3" ht="15.75" customHeight="1" x14ac:dyDescent="0.25">
      <c r="A4810" s="2" t="s">
        <v>4812</v>
      </c>
      <c r="B4810" s="3" t="s">
        <v>6</v>
      </c>
      <c r="C4810" s="2" t="str">
        <f ca="1">IFERROR(__xludf.DUMMYFUNCTION("GOOGLETRANSLATE(A4810,""bn"",""en"")")," Control panel buttons are not clearly labeled which causes confusion during operation")</f>
        <v xml:space="preserve"> Control panel buttons are not clearly labeled which causes confusion during operation</v>
      </c>
    </row>
    <row r="4811" spans="1:3" ht="15.75" customHeight="1" x14ac:dyDescent="0.25">
      <c r="A4811" s="2" t="s">
        <v>4813</v>
      </c>
      <c r="B4811" s="3" t="s">
        <v>6</v>
      </c>
      <c r="C4811" s="2" t="str">
        <f ca="1">IFERROR(__xludf.DUMMYFUNCTION("GOOGLETRANSLATE(A4811,""bn"",""en"")"),"Below average ring adjuster")</f>
        <v>Below average ring adjuster</v>
      </c>
    </row>
    <row r="4812" spans="1:3" ht="15.75" customHeight="1" x14ac:dyDescent="0.25">
      <c r="A4812" s="2" t="s">
        <v>4814</v>
      </c>
      <c r="B4812" s="3" t="s">
        <v>6</v>
      </c>
      <c r="C4812" s="2" t="str">
        <f ca="1">IFERROR(__xludf.DUMMYFUNCTION("GOOGLETRANSLATE(A4812,""bn"",""en"")"),"The tea was overpriced for the quality and not worth the investment")</f>
        <v>The tea was overpriced for the quality and not worth the investment</v>
      </c>
    </row>
    <row r="4813" spans="1:3" ht="15.75" customHeight="1" x14ac:dyDescent="0.25">
      <c r="A4813" s="2" t="s">
        <v>4815</v>
      </c>
      <c r="B4813" s="3" t="s">
        <v>6</v>
      </c>
      <c r="C4813" s="2" t="str">
        <f ca="1">IFERROR(__xludf.DUMMYFUNCTION("GOOGLETRANSLATE(A4813,""bn"",""en"")"),"The design is old nothing new")</f>
        <v>The design is old nothing new</v>
      </c>
    </row>
    <row r="4814" spans="1:3" ht="15.75" customHeight="1" x14ac:dyDescent="0.25">
      <c r="A4814" s="2" t="s">
        <v>4816</v>
      </c>
      <c r="B4814" s="3" t="s">
        <v>2</v>
      </c>
      <c r="C4814" s="2" t="str">
        <f ca="1">IFERROR(__xludf.DUMMYFUNCTION("GOOGLETRANSLATE(A4814,""bn"",""en"")"),"The quality and value is fairly good")</f>
        <v>The quality and value is fairly good</v>
      </c>
    </row>
    <row r="4815" spans="1:3" ht="15.75" customHeight="1" x14ac:dyDescent="0.25">
      <c r="A4815" s="2" t="s">
        <v>4817</v>
      </c>
      <c r="B4815" s="3" t="s">
        <v>6</v>
      </c>
      <c r="C4815" s="2" t="str">
        <f ca="1">IFERROR(__xludf.DUMMYFUNCTION("GOOGLETRANSLATE(A4815,""bn"",""en"")"),"Over time the texture of the lipstick becomes harsh which affects the application")</f>
        <v>Over time the texture of the lipstick becomes harsh which affects the application</v>
      </c>
    </row>
    <row r="4816" spans="1:3" ht="15.75" customHeight="1" x14ac:dyDescent="0.25">
      <c r="A4816" s="2" t="s">
        <v>4818</v>
      </c>
      <c r="B4816" s="3" t="s">
        <v>6</v>
      </c>
      <c r="C4816" s="2" t="str">
        <f ca="1">IFERROR(__xludf.DUMMYFUNCTION("GOOGLETRANSLATE(A4816,""bn"",""en"")"),"Color bleeds during washing")</f>
        <v>Color bleeds during washing</v>
      </c>
    </row>
    <row r="4817" spans="1:3" ht="15.75" customHeight="1" x14ac:dyDescent="0.25">
      <c r="A4817" s="2" t="s">
        <v>4819</v>
      </c>
      <c r="B4817" s="3" t="s">
        <v>6</v>
      </c>
      <c r="C4817" s="2" t="str">
        <f ca="1">IFERROR(__xludf.DUMMYFUNCTION("GOOGLETRANSLATE(A4817,""bn"",""en"")"),"It is not comfortable to use for a long time")</f>
        <v>It is not comfortable to use for a long time</v>
      </c>
    </row>
    <row r="4818" spans="1:3" ht="15.75" customHeight="1" x14ac:dyDescent="0.25">
      <c r="A4818" s="2" t="s">
        <v>4820</v>
      </c>
      <c r="B4818" s="3" t="s">
        <v>4</v>
      </c>
      <c r="C4818" s="2" t="str">
        <f ca="1">IFERROR(__xludf.DUMMYFUNCTION("GOOGLETRANSLATE(A4818,""bn"",""en"")"),"The flower helps keep the air in my house clean")</f>
        <v>The flower helps keep the air in my house clean</v>
      </c>
    </row>
    <row r="4819" spans="1:3" ht="15.75" customHeight="1" x14ac:dyDescent="0.25">
      <c r="A4819" s="2" t="s">
        <v>4821</v>
      </c>
      <c r="B4819" s="3" t="s">
        <v>2</v>
      </c>
      <c r="C4819" s="2" t="str">
        <f ca="1">IFERROR(__xludf.DUMMYFUNCTION("GOOGLETRANSLATE(A4819,""bn"",""en"")"),"Weight is ok but a little heavier would have been better")</f>
        <v>Weight is ok but a little heavier would have been better</v>
      </c>
    </row>
    <row r="4820" spans="1:3" ht="15.75" customHeight="1" x14ac:dyDescent="0.25">
      <c r="A4820" s="2" t="s">
        <v>4822</v>
      </c>
      <c r="B4820" s="3" t="s">
        <v>4</v>
      </c>
      <c r="C4820" s="2" t="str">
        <f ca="1">IFERROR(__xludf.DUMMYFUNCTION("GOOGLETRANSLATE(A4820,""bn"",""en"")"),"Waterproof but not overly tough can be easily removed")</f>
        <v>Waterproof but not overly tough can be easily removed</v>
      </c>
    </row>
    <row r="4821" spans="1:3" ht="15.75" customHeight="1" x14ac:dyDescent="0.25">
      <c r="A4821" s="2" t="s">
        <v>4823</v>
      </c>
      <c r="B4821" s="3" t="s">
        <v>2</v>
      </c>
      <c r="C4821" s="2" t="str">
        <f ca="1">IFERROR(__xludf.DUMMYFUNCTION("GOOGLETRANSLATE(A4821,""bn"",""en"")"),"Makes the house attractive but not eye-catching")</f>
        <v>Makes the house attractive but not eye-catching</v>
      </c>
    </row>
    <row r="4822" spans="1:3" ht="15.75" customHeight="1" x14ac:dyDescent="0.25">
      <c r="A4822" s="2" t="s">
        <v>4824</v>
      </c>
      <c r="B4822" s="3" t="s">
        <v>4</v>
      </c>
      <c r="C4822" s="2" t="str">
        <f ca="1">IFERROR(__xludf.DUMMYFUNCTION("GOOGLETRANSLATE(A4822,""bn"",""en"")"),"The pencil does not break easily and is long lasting")</f>
        <v>The pencil does not break easily and is long lasting</v>
      </c>
    </row>
    <row r="4823" spans="1:3" ht="15.75" customHeight="1" x14ac:dyDescent="0.25">
      <c r="A4823" s="2" t="s">
        <v>4825</v>
      </c>
      <c r="B4823" s="3" t="s">
        <v>4</v>
      </c>
      <c r="C4823" s="2" t="str">
        <f ca="1">IFERROR(__xludf.DUMMYFUNCTION("GOOGLETRANSLATE(A4823,""bn"",""en"")"),"The design of the wall clock is very modern and attractive")</f>
        <v>The design of the wall clock is very modern and attractive</v>
      </c>
    </row>
    <row r="4824" spans="1:3" ht="15.75" customHeight="1" x14ac:dyDescent="0.25">
      <c r="A4824" s="2" t="s">
        <v>4826</v>
      </c>
      <c r="B4824" s="3" t="s">
        <v>6</v>
      </c>
      <c r="C4824" s="2" t="str">
        <f ca="1">IFERROR(__xludf.DUMMYFUNCTION("GOOGLETRANSLATE(A4824,""bn"",""en"")"),"The design of the item poses a risk of entrapment for children's fingers")</f>
        <v>The design of the item poses a risk of entrapment for children's fingers</v>
      </c>
    </row>
    <row r="4825" spans="1:3" ht="15.75" customHeight="1" x14ac:dyDescent="0.25">
      <c r="A4825" s="2" t="s">
        <v>4827</v>
      </c>
      <c r="B4825" s="3" t="s">
        <v>4</v>
      </c>
      <c r="C4825" s="2" t="str">
        <f ca="1">IFERROR(__xludf.DUMMYFUNCTION("GOOGLETRANSLATE(A4825,""bn"",""en"")"),"It enhances the subtlety of makeup")</f>
        <v>It enhances the subtlety of makeup</v>
      </c>
    </row>
    <row r="4826" spans="1:3" ht="15.75" customHeight="1" x14ac:dyDescent="0.25">
      <c r="A4826" s="2" t="s">
        <v>4828</v>
      </c>
      <c r="B4826" s="3" t="s">
        <v>6</v>
      </c>
      <c r="C4826" s="2" t="str">
        <f ca="1">IFERROR(__xludf.DUMMYFUNCTION("GOOGLETRANSLATE(A4826,""bn"",""en"")"),"Contains some harmful chemicals")</f>
        <v>Contains some harmful chemicals</v>
      </c>
    </row>
    <row r="4827" spans="1:3" ht="15.75" customHeight="1" x14ac:dyDescent="0.25">
      <c r="A4827" s="2" t="s">
        <v>4829</v>
      </c>
      <c r="B4827" s="3" t="s">
        <v>6</v>
      </c>
      <c r="C4827" s="2" t="str">
        <f ca="1">IFERROR(__xludf.DUMMYFUNCTION("GOOGLETRANSLATE(A4827,""bn"",""en"")"),"The height is too low for comfortable use resulting in strain on the back and shoulders while sitting")</f>
        <v>The height is too low for comfortable use resulting in strain on the back and shoulders while sitting</v>
      </c>
    </row>
    <row r="4828" spans="1:3" ht="15.75" customHeight="1" x14ac:dyDescent="0.25">
      <c r="A4828" s="2" t="s">
        <v>4830</v>
      </c>
      <c r="B4828" s="3" t="s">
        <v>6</v>
      </c>
      <c r="C4828" s="2" t="str">
        <f ca="1">IFERROR(__xludf.DUMMYFUNCTION("GOOGLETRANSLATE(A4828,""bn"",""en"")"),"The thinness of the fabric compromises modesty and coverage")</f>
        <v>The thinness of the fabric compromises modesty and coverage</v>
      </c>
    </row>
    <row r="4829" spans="1:3" ht="15.75" customHeight="1" x14ac:dyDescent="0.25">
      <c r="A4829" s="2" t="s">
        <v>4831</v>
      </c>
      <c r="B4829" s="3" t="s">
        <v>4</v>
      </c>
      <c r="C4829" s="2" t="str">
        <f ca="1">IFERROR(__xludf.DUMMYFUNCTION("GOOGLETRANSLATE(A4829,""bn"",""en"")"),"Compatible with different colored walls")</f>
        <v>Compatible with different colored walls</v>
      </c>
    </row>
    <row r="4830" spans="1:3" ht="15.75" customHeight="1" x14ac:dyDescent="0.25">
      <c r="A4830" s="2" t="s">
        <v>4832</v>
      </c>
      <c r="B4830" s="3" t="s">
        <v>2</v>
      </c>
      <c r="C4830" s="2" t="str">
        <f ca="1">IFERROR(__xludf.DUMMYFUNCTION("GOOGLETRANSLATE(A4830,""bn"",""en"")"),"Easy to wash but takes a long time to dry")</f>
        <v>Easy to wash but takes a long time to dry</v>
      </c>
    </row>
    <row r="4831" spans="1:3" ht="15.75" customHeight="1" x14ac:dyDescent="0.25">
      <c r="A4831" s="2" t="s">
        <v>4833</v>
      </c>
      <c r="B4831" s="3" t="s">
        <v>2</v>
      </c>
      <c r="C4831" s="2" t="str">
        <f ca="1">IFERROR(__xludf.DUMMYFUNCTION("GOOGLETRANSLATE(A4831,""bn"",""en"")"),"Some plants did well but other ingredients with the fertilizer were lacking")</f>
        <v>Some plants did well but other ingredients with the fertilizer were lacking</v>
      </c>
    </row>
    <row r="4832" spans="1:3" ht="15.75" customHeight="1" x14ac:dyDescent="0.25">
      <c r="A4832" s="2" t="s">
        <v>4834</v>
      </c>
      <c r="B4832" s="3" t="s">
        <v>2</v>
      </c>
      <c r="C4832" s="2" t="str">
        <f ca="1">IFERROR(__xludf.DUMMYFUNCTION("GOOGLETRANSLATE(A4832,""bn"",""en"")"),"Easy to grip but slips")</f>
        <v>Easy to grip but slips</v>
      </c>
    </row>
    <row r="4833" spans="1:3" ht="15.75" customHeight="1" x14ac:dyDescent="0.25">
      <c r="A4833" s="2" t="s">
        <v>4835</v>
      </c>
      <c r="B4833" s="3" t="s">
        <v>4</v>
      </c>
      <c r="C4833" s="2" t="str">
        <f ca="1">IFERROR(__xludf.DUMMYFUNCTION("GOOGLETRANSLATE(A4833,""bn"",""en"")"),"The dressing table mirror is very clean and high quality")</f>
        <v>The dressing table mirror is very clean and high quality</v>
      </c>
    </row>
    <row r="4834" spans="1:3" ht="15.75" customHeight="1" x14ac:dyDescent="0.25">
      <c r="A4834" s="2" t="s">
        <v>4836</v>
      </c>
      <c r="B4834" s="3" t="s">
        <v>4</v>
      </c>
      <c r="C4834" s="2" t="str">
        <f ca="1">IFERROR(__xludf.DUMMYFUNCTION("GOOGLETRANSLATE(A4834,""bn"",""en"")"),"Dryness of hair is removed by using this shampoo")</f>
        <v>Dryness of hair is removed by using this shampoo</v>
      </c>
    </row>
    <row r="4835" spans="1:3" ht="15.75" customHeight="1" x14ac:dyDescent="0.25">
      <c r="A4835" s="2" t="s">
        <v>4837</v>
      </c>
      <c r="B4835" s="3" t="s">
        <v>2</v>
      </c>
      <c r="C4835" s="2" t="str">
        <f ca="1">IFERROR(__xludf.DUMMYFUNCTION("GOOGLETRANSLATE(A4835,""bn"",""en"")"),"The smartphone case fits properly though it may not be very attractive")</f>
        <v>The smartphone case fits properly though it may not be very attractive</v>
      </c>
    </row>
    <row r="4836" spans="1:3" ht="15.75" customHeight="1" x14ac:dyDescent="0.25">
      <c r="A4836" s="2" t="s">
        <v>4838</v>
      </c>
      <c r="B4836" s="3" t="s">
        <v>6</v>
      </c>
      <c r="C4836" s="2" t="str">
        <f ca="1">IFERROR(__xludf.DUMMYFUNCTION("GOOGLETRANSLATE(A4836,""bn"",""en"")"),"Smart door lock app drains phone battery power quickly")</f>
        <v>Smart door lock app drains phone battery power quickly</v>
      </c>
    </row>
    <row r="4837" spans="1:3" ht="15.75" customHeight="1" x14ac:dyDescent="0.25">
      <c r="A4837" s="2" t="s">
        <v>4839</v>
      </c>
      <c r="B4837" s="3" t="s">
        <v>6</v>
      </c>
      <c r="C4837" s="2" t="str">
        <f ca="1">IFERROR(__xludf.DUMMYFUNCTION("GOOGLETRANSLATE(A4837,""bn"",""en"")"),"The folding bike is damaged and unable to ride")</f>
        <v>The folding bike is damaged and unable to ride</v>
      </c>
    </row>
    <row r="4838" spans="1:3" ht="15.75" customHeight="1" x14ac:dyDescent="0.25">
      <c r="A4838" s="2" t="s">
        <v>4840</v>
      </c>
      <c r="B4838" s="3" t="s">
        <v>4</v>
      </c>
      <c r="C4838" s="2" t="str">
        <f ca="1">IFERROR(__xludf.DUMMYFUNCTION("GOOGLETRANSLATE(A4838,""bn"",""en"")"),"The remote control feature is great as I can keep the house cool before I get home from the office")</f>
        <v>The remote control feature is great as I can keep the house cool before I get home from the office</v>
      </c>
    </row>
    <row r="4839" spans="1:3" ht="15.75" customHeight="1" x14ac:dyDescent="0.25">
      <c r="A4839" s="2" t="s">
        <v>4841</v>
      </c>
      <c r="B4839" s="3" t="s">
        <v>4</v>
      </c>
      <c r="C4839" s="2" t="str">
        <f ca="1">IFERROR(__xludf.DUMMYFUNCTION("GOOGLETRANSLATE(A4839,""bn"",""en"")"),"Goes well with other home decorations")</f>
        <v>Goes well with other home decorations</v>
      </c>
    </row>
    <row r="4840" spans="1:3" ht="15.75" customHeight="1" x14ac:dyDescent="0.25">
      <c r="A4840" s="2" t="s">
        <v>4842</v>
      </c>
      <c r="B4840" s="3" t="s">
        <v>4</v>
      </c>
      <c r="C4840" s="2" t="str">
        <f ca="1">IFERROR(__xludf.DUMMYFUNCTION("GOOGLETRANSLATE(A4840,""bn"",""en"")"),"It maintains the evenness of the makeup")</f>
        <v>It maintains the evenness of the makeup</v>
      </c>
    </row>
    <row r="4841" spans="1:3" ht="15.75" customHeight="1" x14ac:dyDescent="0.25">
      <c r="A4841" s="2" t="s">
        <v>4843</v>
      </c>
      <c r="B4841" s="3" t="s">
        <v>2</v>
      </c>
      <c r="C4841" s="2" t="str">
        <f ca="1">IFERROR(__xludf.DUMMYFUNCTION("GOOGLETRANSLATE(A4841,""bn"",""en"")"),"The color is suitable for all seasons")</f>
        <v>The color is suitable for all seasons</v>
      </c>
    </row>
    <row r="4842" spans="1:3" ht="15.75" customHeight="1" x14ac:dyDescent="0.25">
      <c r="A4842" s="2" t="s">
        <v>4844</v>
      </c>
      <c r="B4842" s="3" t="s">
        <v>4</v>
      </c>
      <c r="C4842" s="2" t="str">
        <f ca="1">IFERROR(__xludf.DUMMYFUNCTION("GOOGLETRANSLATE(A4842,""bn"",""en"")"),"Can charge phones tablets and other devices")</f>
        <v>Can charge phones tablets and other devices</v>
      </c>
    </row>
    <row r="4843" spans="1:3" ht="15.75" customHeight="1" x14ac:dyDescent="0.25">
      <c r="A4843" s="2" t="s">
        <v>4845</v>
      </c>
      <c r="B4843" s="3" t="s">
        <v>4</v>
      </c>
      <c r="C4843" s="2" t="str">
        <f ca="1">IFERROR(__xludf.DUMMYFUNCTION("GOOGLETRANSLATE(A4843,""bn"",""en"")"),"Drinking this coffee fills my mind with peace")</f>
        <v>Drinking this coffee fills my mind with peace</v>
      </c>
    </row>
    <row r="4844" spans="1:3" ht="15.75" customHeight="1" x14ac:dyDescent="0.25">
      <c r="A4844" s="2" t="s">
        <v>4846</v>
      </c>
      <c r="B4844" s="3" t="s">
        <v>4</v>
      </c>
      <c r="C4844" s="2" t="str">
        <f ca="1">IFERROR(__xludf.DUMMYFUNCTION("GOOGLETRANSLATE(A4844,""bn"",""en"")"),"It is very lucky to get such a good product at a low price. The product is perfect for the price")</f>
        <v>It is very lucky to get such a good product at a low price. The product is perfect for the price</v>
      </c>
    </row>
    <row r="4845" spans="1:3" ht="15.75" customHeight="1" x14ac:dyDescent="0.25">
      <c r="A4845" s="2" t="s">
        <v>4847</v>
      </c>
      <c r="B4845" s="3" t="s">
        <v>6</v>
      </c>
      <c r="C4845" s="2" t="str">
        <f ca="1">IFERROR(__xludf.DUMMYFUNCTION("GOOGLETRANSLATE(A4845,""bn"",""en"")"),"The hand sanitizer has a strong alcohol smell that lingers after application making it unpleasant to use.")</f>
        <v>The hand sanitizer has a strong alcohol smell that lingers after application making it unpleasant to use.</v>
      </c>
    </row>
    <row r="4846" spans="1:3" ht="15.75" customHeight="1" x14ac:dyDescent="0.25">
      <c r="A4846" s="2" t="s">
        <v>4848</v>
      </c>
      <c r="B4846" s="3" t="s">
        <v>6</v>
      </c>
      <c r="C4846" s="2" t="str">
        <f ca="1">IFERROR(__xludf.DUMMYFUNCTION("GOOGLETRANSLATE(A4846,""bn"",""en"")"),"The sheerness of the fabric is unexpected and inappropriate")</f>
        <v>The sheerness of the fabric is unexpected and inappropriate</v>
      </c>
    </row>
    <row r="4847" spans="1:3" ht="15.75" customHeight="1" x14ac:dyDescent="0.25">
      <c r="A4847" s="2" t="s">
        <v>4849</v>
      </c>
      <c r="B4847" s="3" t="s">
        <v>4</v>
      </c>
      <c r="C4847" s="2" t="str">
        <f ca="1">IFERROR(__xludf.DUMMYFUNCTION("GOOGLETRANSLATE(A4847,""bn"",""en"")"),"The comforter is very comfortable and soft")</f>
        <v>The comforter is very comfortable and soft</v>
      </c>
    </row>
    <row r="4848" spans="1:3" ht="15.75" customHeight="1" x14ac:dyDescent="0.25">
      <c r="A4848" s="2" t="s">
        <v>4850</v>
      </c>
      <c r="B4848" s="3" t="s">
        <v>4</v>
      </c>
      <c r="C4848" s="2" t="str">
        <f ca="1">IFERROR(__xludf.DUMMYFUNCTION("GOOGLETRANSLATE(A4848,""bn"",""en"")"),"The value pack is excellent ")</f>
        <v xml:space="preserve">The value pack is excellent </v>
      </c>
    </row>
    <row r="4849" spans="1:3" ht="15.75" customHeight="1" x14ac:dyDescent="0.25">
      <c r="A4849" s="2" t="s">
        <v>4851</v>
      </c>
      <c r="B4849" s="3" t="s">
        <v>6</v>
      </c>
      <c r="C4849" s="2" t="str">
        <f ca="1">IFERROR(__xludf.DUMMYFUNCTION("GOOGLETRANSLATE(A4849,""bn"",""en"")"),"The flavor was very astringent leaving a dry sensation in the mouth")</f>
        <v>The flavor was very astringent leaving a dry sensation in the mouth</v>
      </c>
    </row>
    <row r="4850" spans="1:3" ht="15.75" customHeight="1" x14ac:dyDescent="0.25">
      <c r="A4850" s="2" t="s">
        <v>4852</v>
      </c>
      <c r="B4850" s="3" t="s">
        <v>4</v>
      </c>
      <c r="C4850" s="2" t="str">
        <f ca="1">IFERROR(__xludf.DUMMYFUNCTION("GOOGLETRANSLATE(A4850,""bn"",""en"")"),"Well done Ryder must say thank you it was good to use")</f>
        <v>Well done Ryder must say thank you it was good to use</v>
      </c>
    </row>
    <row r="4851" spans="1:3" ht="15.75" customHeight="1" x14ac:dyDescent="0.25">
      <c r="A4851" s="2" t="s">
        <v>4853</v>
      </c>
      <c r="B4851" s="3" t="s">
        <v>4</v>
      </c>
      <c r="C4851" s="2" t="str">
        <f ca="1">IFERROR(__xludf.DUMMYFUNCTION("GOOGLETRANSLATE(A4851,""bn"",""en"")"),"Beauty soap reduces skin roughness")</f>
        <v>Beauty soap reduces skin roughness</v>
      </c>
    </row>
    <row r="4852" spans="1:3" ht="15.75" customHeight="1" x14ac:dyDescent="0.25">
      <c r="A4852" s="2" t="s">
        <v>4854</v>
      </c>
      <c r="B4852" s="3" t="s">
        <v>6</v>
      </c>
      <c r="C4852" s="2" t="str">
        <f ca="1">IFERROR(__xludf.DUMMYFUNCTION("GOOGLETRANSLATE(A4852,""bn"",""en"")")," The fan is loud and disruptive especially when run for extended periods of time")</f>
        <v xml:space="preserve"> The fan is loud and disruptive especially when run for extended periods of time</v>
      </c>
    </row>
    <row r="4853" spans="1:3" ht="15.75" customHeight="1" x14ac:dyDescent="0.25">
      <c r="A4853" s="2" t="s">
        <v>4855</v>
      </c>
      <c r="B4853" s="3" t="s">
        <v>4</v>
      </c>
      <c r="C4853" s="2" t="str">
        <f ca="1">IFERROR(__xludf.DUMMYFUNCTION("GOOGLETRANSLATE(A4853,""bn"",""en"")"),"The product is very nice and good I think the product is missing the estimate and almost bad not quite good")</f>
        <v>The product is very nice and good I think the product is missing the estimate and almost bad not quite good</v>
      </c>
    </row>
    <row r="4854" spans="1:3" ht="15.75" customHeight="1" x14ac:dyDescent="0.25">
      <c r="A4854" s="2" t="s">
        <v>4856</v>
      </c>
      <c r="B4854" s="3" t="s">
        <v>6</v>
      </c>
      <c r="C4854" s="2" t="str">
        <f ca="1">IFERROR(__xludf.DUMMYFUNCTION("GOOGLETRANSLATE(A4854,""bn"",""en"")"),"Overwhelmed with dissatisfaction with purchase")</f>
        <v>Overwhelmed with dissatisfaction with purchase</v>
      </c>
    </row>
    <row r="4855" spans="1:3" ht="15.75" customHeight="1" x14ac:dyDescent="0.25">
      <c r="A4855" s="2" t="s">
        <v>4857</v>
      </c>
      <c r="B4855" s="3" t="s">
        <v>2</v>
      </c>
      <c r="C4855" s="2" t="str">
        <f ca="1">IFERROR(__xludf.DUMMYFUNCTION("GOOGLETRANSLATE(A4855,""bn"",""en"")"),"The toilet brush is good but can get sticky after some use")</f>
        <v>The toilet brush is good but can get sticky after some use</v>
      </c>
    </row>
    <row r="4856" spans="1:3" ht="15.75" customHeight="1" x14ac:dyDescent="0.25">
      <c r="A4856" s="2" t="s">
        <v>4858</v>
      </c>
      <c r="B4856" s="3" t="s">
        <v>6</v>
      </c>
      <c r="C4856" s="2" t="str">
        <f ca="1">IFERROR(__xludf.DUMMYFUNCTION("GOOGLETRANSLATE(A4856,""bn"",""en"")"),"  There was a scratchy lining that caused irritation and discomfort against the skin")</f>
        <v xml:space="preserve">  There was a scratchy lining that caused irritation and discomfort against the skin</v>
      </c>
    </row>
    <row r="4857" spans="1:3" ht="15.75" customHeight="1" x14ac:dyDescent="0.25">
      <c r="A4857" s="2" t="s">
        <v>4859</v>
      </c>
      <c r="B4857" s="3" t="s">
        <v>2</v>
      </c>
      <c r="C4857" s="2" t="str">
        <f ca="1">IFERROR(__xludf.DUMMYFUNCTION("GOOGLETRANSLATE(A4857,""bn"",""en"")"),"The product does not work very well and is of average quality")</f>
        <v>The product does not work very well and is of average quality</v>
      </c>
    </row>
    <row r="4858" spans="1:3" ht="15.75" customHeight="1" x14ac:dyDescent="0.25">
      <c r="A4858" s="2" t="s">
        <v>4860</v>
      </c>
      <c r="B4858" s="3" t="s">
        <v>4</v>
      </c>
      <c r="C4858" s="2" t="str">
        <f ca="1">IFERROR(__xludf.DUMMYFUNCTION("GOOGLETRANSLATE(A4858,""bn"",""en"")"),"The plot twists were very interesting")</f>
        <v>The plot twists were very interesting</v>
      </c>
    </row>
    <row r="4859" spans="1:3" ht="15.75" customHeight="1" x14ac:dyDescent="0.25">
      <c r="A4859" s="2" t="s">
        <v>4861</v>
      </c>
      <c r="B4859" s="3" t="s">
        <v>6</v>
      </c>
      <c r="C4859" s="2" t="str">
        <f ca="1">IFERROR(__xludf.DUMMYFUNCTION("GOOGLETRANSLATE(A4859,""bn"",""en"")"),"The lip gloss has a sticky texture that makes hair stick to lips on windy days")</f>
        <v>The lip gloss has a sticky texture that makes hair stick to lips on windy days</v>
      </c>
    </row>
    <row r="4860" spans="1:3" ht="15.75" customHeight="1" x14ac:dyDescent="0.25">
      <c r="A4860" s="2" t="s">
        <v>4862</v>
      </c>
      <c r="B4860" s="3" t="s">
        <v>2</v>
      </c>
      <c r="C4860" s="2" t="str">
        <f ca="1">IFERROR(__xludf.DUMMYFUNCTION("GOOGLETRANSLATE(A4860,""bn"",""en"")"),"Suitable for use at night")</f>
        <v>Suitable for use at night</v>
      </c>
    </row>
    <row r="4861" spans="1:3" ht="15.75" customHeight="1" x14ac:dyDescent="0.25">
      <c r="A4861" s="2" t="s">
        <v>4863</v>
      </c>
      <c r="B4861" s="3" t="s">
        <v>6</v>
      </c>
      <c r="C4861" s="2" t="str">
        <f ca="1">IFERROR(__xludf.DUMMYFUNCTION("GOOGLETRANSLATE(A4861,""bn"",""en"")"),"The packaging of baby wipes does not seal properly resulting in dry wipes")</f>
        <v>The packaging of baby wipes does not seal properly resulting in dry wipes</v>
      </c>
    </row>
    <row r="4862" spans="1:3" ht="15.75" customHeight="1" x14ac:dyDescent="0.25">
      <c r="A4862" s="2" t="s">
        <v>4864</v>
      </c>
      <c r="B4862" s="3" t="s">
        <v>6</v>
      </c>
      <c r="C4862" s="2" t="str">
        <f ca="1">IFERROR(__xludf.DUMMYFUNCTION("GOOGLETRANSLATE(A4862,""bn"",""en"")"),"Prone to tipping over poses a burn risk")</f>
        <v>Prone to tipping over poses a burn risk</v>
      </c>
    </row>
    <row r="4863" spans="1:3" ht="15.75" customHeight="1" x14ac:dyDescent="0.25">
      <c r="A4863" s="2" t="s">
        <v>4865</v>
      </c>
      <c r="B4863" s="3" t="s">
        <v>4</v>
      </c>
      <c r="C4863" s="2" t="str">
        <f ca="1">IFERROR(__xludf.DUMMYFUNCTION("GOOGLETRANSLATE(A4863,""bn"",""en"")"),"The beauty soap is very affordable")</f>
        <v>The beauty soap is very affordable</v>
      </c>
    </row>
    <row r="4864" spans="1:3" ht="15.75" customHeight="1" x14ac:dyDescent="0.25">
      <c r="A4864" s="2" t="s">
        <v>4866</v>
      </c>
      <c r="B4864" s="3" t="s">
        <v>6</v>
      </c>
      <c r="C4864" s="2" t="str">
        <f ca="1">IFERROR(__xludf.DUMMYFUNCTION("GOOGLETRANSLATE(A4864,""bn"",""en"")"),"Deceptive packaging has led to confusion when buying shampoo and conditioner sets")</f>
        <v>Deceptive packaging has led to confusion when buying shampoo and conditioner sets</v>
      </c>
    </row>
    <row r="4865" spans="1:3" ht="15.75" customHeight="1" x14ac:dyDescent="0.25">
      <c r="A4865" s="2" t="s">
        <v>4867</v>
      </c>
      <c r="B4865" s="3" t="s">
        <v>6</v>
      </c>
      <c r="C4865" s="2" t="str">
        <f ca="1">IFERROR(__xludf.DUMMYFUNCTION("GOOGLETRANSLATE(A4865,""bn"",""en"")"),"Bath sponges harbor bacteria and produce a musty odor")</f>
        <v>Bath sponges harbor bacteria and produce a musty odor</v>
      </c>
    </row>
    <row r="4866" spans="1:3" ht="15.75" customHeight="1" x14ac:dyDescent="0.25">
      <c r="A4866" s="2" t="s">
        <v>4868</v>
      </c>
      <c r="B4866" s="3" t="s">
        <v>2</v>
      </c>
      <c r="C4866" s="2" t="str">
        <f ca="1">IFERROR(__xludf.DUMMYFUNCTION("GOOGLETRANSLATE(A4866,""bn"",""en"")"),"I think they are strong enough but can't hold up to heavy use")</f>
        <v>I think they are strong enough but can't hold up to heavy use</v>
      </c>
    </row>
    <row r="4867" spans="1:3" ht="15.75" customHeight="1" x14ac:dyDescent="0.25">
      <c r="A4867" s="2" t="s">
        <v>4869</v>
      </c>
      <c r="B4867" s="3" t="s">
        <v>2</v>
      </c>
      <c r="C4867" s="2" t="str">
        <f ca="1">IFERROR(__xludf.DUMMYFUNCTION("GOOGLETRANSLATE(A4867,""bn"",""en"")"),"Good for fashion but finishing needs improvement")</f>
        <v>Good for fashion but finishing needs improvement</v>
      </c>
    </row>
    <row r="4868" spans="1:3" ht="15.75" customHeight="1" x14ac:dyDescent="0.25">
      <c r="A4868" s="2" t="s">
        <v>4870</v>
      </c>
      <c r="B4868" s="3" t="s">
        <v>4</v>
      </c>
      <c r="C4868" s="2" t="str">
        <f ca="1">IFERROR(__xludf.DUMMYFUNCTION("GOOGLETRANSLATE(A4868,""bn"",""en"")"),"The fabric of the garment is very durable")</f>
        <v>The fabric of the garment is very durable</v>
      </c>
    </row>
    <row r="4869" spans="1:3" ht="15.75" customHeight="1" x14ac:dyDescent="0.25">
      <c r="A4869" s="2" t="s">
        <v>4871</v>
      </c>
      <c r="B4869" s="3" t="s">
        <v>2</v>
      </c>
      <c r="C4869" s="2" t="str">
        <f ca="1">IFERROR(__xludf.DUMMYFUNCTION("GOOGLETRANSLATE(A4869,""bn"",""en"")"),"Overall, this is a fairly good laptop charger, although not very high quality, the performance is satisfactory for its price")</f>
        <v>Overall, this is a fairly good laptop charger, although not very high quality, the performance is satisfactory for its price</v>
      </c>
    </row>
    <row r="4870" spans="1:3" ht="15.75" customHeight="1" x14ac:dyDescent="0.25">
      <c r="A4870" s="2" t="s">
        <v>4872</v>
      </c>
      <c r="B4870" s="3" t="s">
        <v>2</v>
      </c>
      <c r="C4870" s="2" t="str">
        <f ca="1">IFERROR(__xludf.DUMMYFUNCTION("GOOGLETRANSLATE(A4870,""bn"",""en"")"),"Although there was some yield increase, the effect of the fertilizer was not so permanent")</f>
        <v>Although there was some yield increase, the effect of the fertilizer was not so permanent</v>
      </c>
    </row>
    <row r="4871" spans="1:3" ht="15.75" customHeight="1" x14ac:dyDescent="0.25">
      <c r="A4871" s="2" t="s">
        <v>4873</v>
      </c>
      <c r="B4871" s="3" t="s">
        <v>2</v>
      </c>
      <c r="C4871" s="2" t="str">
        <f ca="1">IFERROR(__xludf.DUMMYFUNCTION("GOOGLETRANSLATE(A4871,""bn"",""en"")"),"There is no option for multiroom control")</f>
        <v>There is no option for multiroom control</v>
      </c>
    </row>
    <row r="4872" spans="1:3" ht="15.75" customHeight="1" x14ac:dyDescent="0.25">
      <c r="A4872" s="2" t="s">
        <v>4874</v>
      </c>
      <c r="B4872" s="3" t="s">
        <v>6</v>
      </c>
      <c r="C4872" s="2" t="str">
        <f ca="1">IFERROR(__xludf.DUMMYFUNCTION("GOOGLETRANSLATE(A4872,""bn"",""en"")"),"I regret buying these pens they have a weird chemical smell that gives me a headache")</f>
        <v>I regret buying these pens they have a weird chemical smell that gives me a headache</v>
      </c>
    </row>
    <row r="4873" spans="1:3" ht="15.75" customHeight="1" x14ac:dyDescent="0.25">
      <c r="A4873" s="2" t="s">
        <v>4875</v>
      </c>
      <c r="B4873" s="3" t="s">
        <v>6</v>
      </c>
      <c r="C4873" s="2" t="str">
        <f ca="1">IFERROR(__xludf.DUMMYFUNCTION("GOOGLETRANSLATE(A4873,""bn"",""en"")"),"Unreliable charging is a frustrating experience")</f>
        <v>Unreliable charging is a frustrating experience</v>
      </c>
    </row>
    <row r="4874" spans="1:3" ht="15.75" customHeight="1" x14ac:dyDescent="0.25">
      <c r="A4874" s="2" t="s">
        <v>4876</v>
      </c>
      <c r="B4874" s="3" t="s">
        <v>2</v>
      </c>
      <c r="C4874" s="2" t="str">
        <f ca="1">IFERROR(__xludf.DUMMYFUNCTION("GOOGLETRANSLATE(A4874,""bn"",""en"")"),"The packet is easy to open")</f>
        <v>The packet is easy to open</v>
      </c>
    </row>
    <row r="4875" spans="1:3" ht="15.75" customHeight="1" x14ac:dyDescent="0.25">
      <c r="A4875" s="2" t="s">
        <v>4877</v>
      </c>
      <c r="B4875" s="3" t="s">
        <v>2</v>
      </c>
      <c r="C4875" s="2" t="str">
        <f ca="1">IFERROR(__xludf.DUMMYFUNCTION("GOOGLETRANSLATE(A4875,""bn"",""en"")"),"Works fairly well for cold brew")</f>
        <v>Works fairly well for cold brew</v>
      </c>
    </row>
    <row r="4876" spans="1:3" ht="15.75" customHeight="1" x14ac:dyDescent="0.25">
      <c r="A4876" s="2" t="s">
        <v>4878</v>
      </c>
      <c r="B4876" s="3" t="s">
        <v>6</v>
      </c>
      <c r="C4876" s="2" t="str">
        <f ca="1">IFERROR(__xludf.DUMMYFUNCTION("GOOGLETRANSLATE(A4876,""bn"",""en"")"),"The charger plug wobbles at the outlet which indicates poor manufacturing quality")</f>
        <v>The charger plug wobbles at the outlet which indicates poor manufacturing quality</v>
      </c>
    </row>
    <row r="4877" spans="1:3" ht="15.75" customHeight="1" x14ac:dyDescent="0.25">
      <c r="A4877" s="2" t="s">
        <v>4879</v>
      </c>
      <c r="B4877" s="3" t="s">
        <v>2</v>
      </c>
      <c r="C4877" s="2" t="str">
        <f ca="1">IFERROR(__xludf.DUMMYFUNCTION("GOOGLETRANSLATE(A4877,""bn"",""en"")"),"It's fine even if some pieces are missing")</f>
        <v>It's fine even if some pieces are missing</v>
      </c>
    </row>
    <row r="4878" spans="1:3" ht="15.75" customHeight="1" x14ac:dyDescent="0.25">
      <c r="A4878" s="2" t="s">
        <v>4880</v>
      </c>
      <c r="B4878" s="3" t="s">
        <v>2</v>
      </c>
      <c r="C4878" s="2" t="str">
        <f ca="1">IFERROR(__xludf.DUMMYFUNCTION("GOOGLETRANSLATE(A4878,""bn"",""en"")"),"Improves the child's problem solving skills but the problems are very simple")</f>
        <v>Improves the child's problem solving skills but the problems are very simple</v>
      </c>
    </row>
    <row r="4879" spans="1:3" ht="15.75" customHeight="1" x14ac:dyDescent="0.25">
      <c r="A4879" s="2" t="s">
        <v>4881</v>
      </c>
      <c r="B4879" s="3" t="s">
        <v>6</v>
      </c>
      <c r="C4879" s="2" t="str">
        <f ca="1">IFERROR(__xludf.DUMMYFUNCTION("GOOGLETRANSLATE(A4879,""bn"",""en"")"),"Ice maker frequently freezes requiring manual defrosting to restore functionality")</f>
        <v>Ice maker frequently freezes requiring manual defrosting to restore functionality</v>
      </c>
    </row>
    <row r="4880" spans="1:3" ht="15.75" customHeight="1" x14ac:dyDescent="0.25">
      <c r="A4880" s="2" t="s">
        <v>4882</v>
      </c>
      <c r="B4880" s="3" t="s">
        <v>2</v>
      </c>
      <c r="C4880" s="2" t="str">
        <f ca="1">IFERROR(__xludf.DUMMYFUNCTION("GOOGLETRANSLATE(A4880,""bn"",""en"")"),"It arrived a bit late")</f>
        <v>It arrived a bit late</v>
      </c>
    </row>
    <row r="4881" spans="1:3" ht="15.75" customHeight="1" x14ac:dyDescent="0.25">
      <c r="A4881" s="2" t="s">
        <v>4883</v>
      </c>
      <c r="B4881" s="3" t="s">
        <v>2</v>
      </c>
      <c r="C4881" s="2" t="str">
        <f ca="1">IFERROR(__xludf.DUMMYFUNCTION("GOOGLETRANSLATE(A4881,""bn"",""en"")"),"Mop cloth does not tear easily but gets dirty")</f>
        <v>Mop cloth does not tear easily but gets dirty</v>
      </c>
    </row>
    <row r="4882" spans="1:3" ht="15.75" customHeight="1" x14ac:dyDescent="0.25">
      <c r="A4882" s="2" t="s">
        <v>4884</v>
      </c>
      <c r="B4882" s="3" t="s">
        <v>2</v>
      </c>
      <c r="C4882" s="2" t="str">
        <f ca="1">IFERROR(__xludf.DUMMYFUNCTION("GOOGLETRANSLATE(A4882,""bn"",""en"")"),"The fabric feels cheap and tacky")</f>
        <v>The fabric feels cheap and tacky</v>
      </c>
    </row>
    <row r="4883" spans="1:3" ht="15.75" customHeight="1" x14ac:dyDescent="0.25">
      <c r="A4883" s="2" t="s">
        <v>4885</v>
      </c>
      <c r="B4883" s="3" t="s">
        <v>6</v>
      </c>
      <c r="C4883" s="2" t="str">
        <f ca="1">IFERROR(__xludf.DUMMYFUNCTION("GOOGLETRANSLATE(A4883,""bn"",""en"")"),"Great variety of charms but some are damaged")</f>
        <v>Great variety of charms but some are damaged</v>
      </c>
    </row>
    <row r="4884" spans="1:3" ht="15.75" customHeight="1" x14ac:dyDescent="0.25">
      <c r="A4884" s="2" t="s">
        <v>4886</v>
      </c>
      <c r="B4884" s="3" t="s">
        <v>2</v>
      </c>
      <c r="C4884" s="2" t="str">
        <f ca="1">IFERROR(__xludf.DUMMYFUNCTION("GOOGLETRANSLATE(A4884,""bn"",""en"")"),"Can be relatively good")</f>
        <v>Can be relatively good</v>
      </c>
    </row>
    <row r="4885" spans="1:3" ht="15.75" customHeight="1" x14ac:dyDescent="0.25">
      <c r="A4885" s="2" t="s">
        <v>4887</v>
      </c>
      <c r="B4885" s="3" t="s">
        <v>6</v>
      </c>
      <c r="C4885" s="2" t="str">
        <f ca="1">IFERROR(__xludf.DUMMYFUNCTION("GOOGLETRANSLATE(A4885,""bn"",""en"")"),"  The fabric wrinkle easily and was difficult to iron requiring frequent maintenance")</f>
        <v xml:space="preserve">  The fabric wrinkle easily and was difficult to iron requiring frequent maintenance</v>
      </c>
    </row>
    <row r="4886" spans="1:3" ht="15.75" customHeight="1" x14ac:dyDescent="0.25">
      <c r="A4886" s="2" t="s">
        <v>4888</v>
      </c>
      <c r="B4886" s="3" t="s">
        <v>6</v>
      </c>
      <c r="C4886" s="2" t="str">
        <f ca="1">IFERROR(__xludf.DUMMYFUNCTION("GOOGLETRANSLATE(A4886,""bn"",""en"")")," Limited Bluetooth codec support results in poor audio quality or compatibility issues with certain devices")</f>
        <v xml:space="preserve"> Limited Bluetooth codec support results in poor audio quality or compatibility issues with certain devices</v>
      </c>
    </row>
    <row r="4887" spans="1:3" ht="15.75" customHeight="1" x14ac:dyDescent="0.25">
      <c r="A4887" s="2" t="s">
        <v>4889</v>
      </c>
      <c r="B4887" s="3" t="s">
        <v>4</v>
      </c>
      <c r="C4887" s="2" t="str">
        <f ca="1">IFERROR(__xludf.DUMMYFUNCTION("GOOGLETRANSLATE(A4887,""bn"",""en"")"),"Real flowers add a touch of color without the hassle")</f>
        <v>Real flowers add a touch of color without the hassle</v>
      </c>
    </row>
    <row r="4888" spans="1:3" ht="15.75" customHeight="1" x14ac:dyDescent="0.25">
      <c r="A4888" s="2" t="s">
        <v>4890</v>
      </c>
      <c r="B4888" s="3" t="s">
        <v>2</v>
      </c>
      <c r="C4888" s="2" t="str">
        <f ca="1">IFERROR(__xludf.DUMMYFUNCTION("GOOGLETRANSLATE(A4888,""bn"",""en"")"),"The handles of the cups are small")</f>
        <v>The handles of the cups are small</v>
      </c>
    </row>
    <row r="4889" spans="1:3" ht="15.75" customHeight="1" x14ac:dyDescent="0.25">
      <c r="A4889" s="2" t="s">
        <v>4891</v>
      </c>
      <c r="B4889" s="3" t="s">
        <v>6</v>
      </c>
      <c r="C4889" s="2" t="str">
        <f ca="1">IFERROR(__xludf.DUMMYFUNCTION("GOOGLETRANSLATE(A4889,""bn"",""en"")"),"The camera's autofocus system struggles in low-light conditions, resulting in focus misses and blurry images")</f>
        <v>The camera's autofocus system struggles in low-light conditions, resulting in focus misses and blurry images</v>
      </c>
    </row>
    <row r="4890" spans="1:3" ht="15.75" customHeight="1" x14ac:dyDescent="0.25">
      <c r="A4890" s="2" t="s">
        <v>4892</v>
      </c>
      <c r="B4890" s="3" t="s">
        <v>2</v>
      </c>
      <c r="C4890" s="2" t="str">
        <f ca="1">IFERROR(__xludf.DUMMYFUNCTION("GOOGLETRANSLATE(A4890,""bn"",""en"")"),"Not great, just normal")</f>
        <v>Not great, just normal</v>
      </c>
    </row>
    <row r="4891" spans="1:3" ht="15.75" customHeight="1" x14ac:dyDescent="0.25">
      <c r="A4891" s="2" t="s">
        <v>4893</v>
      </c>
      <c r="B4891" s="3" t="s">
        <v>2</v>
      </c>
      <c r="C4891" s="2" t="str">
        <f ca="1">IFERROR(__xludf.DUMMYFUNCTION("GOOGLETRANSLATE(A4891,""bn"",""en"")"),"Nice design but there may be some question about durability")</f>
        <v>Nice design but there may be some question about durability</v>
      </c>
    </row>
    <row r="4892" spans="1:3" ht="15.75" customHeight="1" x14ac:dyDescent="0.25">
      <c r="A4892" s="2" t="s">
        <v>4894</v>
      </c>
      <c r="B4892" s="3" t="s">
        <v>2</v>
      </c>
      <c r="C4892" s="2" t="str">
        <f ca="1">IFERROR(__xludf.DUMMYFUNCTION("GOOGLETRANSLATE(A4892,""bn"",""en"")"),"Plant health increased but yields were not as good for the fertilizer")</f>
        <v>Plant health increased but yields were not as good for the fertilizer</v>
      </c>
    </row>
    <row r="4893" spans="1:3" ht="15.75" customHeight="1" x14ac:dyDescent="0.25">
      <c r="A4893" s="2" t="s">
        <v>4895</v>
      </c>
      <c r="B4893" s="3" t="s">
        <v>6</v>
      </c>
      <c r="C4893" s="2" t="str">
        <f ca="1">IFERROR(__xludf.DUMMYFUNCTION("GOOGLETRANSLATE(A4893,""bn"",""en"")")," The battery indicator shows inaccurate battery levels and shuts down unexpectedly during use")</f>
        <v xml:space="preserve"> The battery indicator shows inaccurate battery levels and shuts down unexpectedly during use</v>
      </c>
    </row>
    <row r="4894" spans="1:3" ht="15.75" customHeight="1" x14ac:dyDescent="0.25">
      <c r="A4894" s="2" t="s">
        <v>4896</v>
      </c>
      <c r="B4894" s="3" t="s">
        <v>4</v>
      </c>
      <c r="C4894" s="2" t="str">
        <f ca="1">IFERROR(__xludf.DUMMYFUNCTION("GOOGLETRANSLATE(A4894,""bn"",""en"")"),"Beautiful and full of quality an amazing cover at this price and a very pleasant experience thanks Daraz")</f>
        <v>Beautiful and full of quality an amazing cover at this price and a very pleasant experience thanks Daraz</v>
      </c>
    </row>
    <row r="4895" spans="1:3" ht="15.75" customHeight="1" x14ac:dyDescent="0.25">
      <c r="A4895" s="2" t="s">
        <v>4897</v>
      </c>
      <c r="B4895" s="3" t="s">
        <v>4</v>
      </c>
      <c r="C4895" s="2" t="str">
        <f ca="1">IFERROR(__xludf.DUMMYFUNCTION("GOOGLETRANSLATE(A4895,""bn"",""en"")"),"The pad is very light weight so there is no discomfort while wearing it")</f>
        <v>The pad is very light weight so there is no discomfort while wearing it</v>
      </c>
    </row>
    <row r="4896" spans="1:3" ht="15.75" customHeight="1" x14ac:dyDescent="0.25">
      <c r="A4896" s="2" t="s">
        <v>4898</v>
      </c>
      <c r="B4896" s="3" t="s">
        <v>2</v>
      </c>
      <c r="C4896" s="2" t="str">
        <f ca="1">IFERROR(__xludf.DUMMYFUNCTION("GOOGLETRANSLATE(A4896,""bn"",""en"")"),"The color of the pad is neutral")</f>
        <v>The color of the pad is neutral</v>
      </c>
    </row>
    <row r="4897" spans="1:3" ht="15.75" customHeight="1" x14ac:dyDescent="0.25">
      <c r="A4897" s="2" t="s">
        <v>4899</v>
      </c>
      <c r="B4897" s="3" t="s">
        <v>4</v>
      </c>
      <c r="C4897" s="2" t="str">
        <f ca="1">IFERROR(__xludf.DUMMYFUNCTION("GOOGLETRANSLATE(A4897,""bn"",""en"")"),"It remains beautiful even after prolonged use")</f>
        <v>It remains beautiful even after prolonged use</v>
      </c>
    </row>
    <row r="4898" spans="1:3" ht="15.75" customHeight="1" x14ac:dyDescent="0.25">
      <c r="A4898" s="2" t="s">
        <v>4900</v>
      </c>
      <c r="B4898" s="3" t="s">
        <v>6</v>
      </c>
      <c r="C4898" s="2" t="str">
        <f ca="1">IFERROR(__xludf.DUMMYFUNCTION("GOOGLETRANSLATE(A4898,""bn"",""en"")"),"Digital alarm clock randomly resets to incredible wake ups")</f>
        <v>Digital alarm clock randomly resets to incredible wake ups</v>
      </c>
    </row>
    <row r="4899" spans="1:3" ht="15.75" customHeight="1" x14ac:dyDescent="0.25">
      <c r="A4899" s="2" t="s">
        <v>4901</v>
      </c>
      <c r="B4899" s="3" t="s">
        <v>4</v>
      </c>
      <c r="C4899" s="2" t="str">
        <f ca="1">IFERROR(__xludf.DUMMYFUNCTION("GOOGLETRANSLATE(A4899,""bn"",""en"")"),"Using shampoo makes the hair shiny and smooth")</f>
        <v>Using shampoo makes the hair shiny and smooth</v>
      </c>
    </row>
    <row r="4900" spans="1:3" ht="15.75" customHeight="1" x14ac:dyDescent="0.25">
      <c r="A4900" s="2" t="s">
        <v>4902</v>
      </c>
      <c r="B4900" s="3" t="s">
        <v>2</v>
      </c>
      <c r="C4900" s="2" t="str">
        <f ca="1">IFERROR(__xludf.DUMMYFUNCTION("GOOGLETRANSLATE(A4900,""bn"",""en"")"),"Nice size but not perfect")</f>
        <v>Nice size but not perfect</v>
      </c>
    </row>
    <row r="4901" spans="1:3" ht="15.75" customHeight="1" x14ac:dyDescent="0.25">
      <c r="A4901" s="2" t="s">
        <v>4903</v>
      </c>
      <c r="B4901" s="3" t="s">
        <v>6</v>
      </c>
      <c r="C4901" s="2" t="str">
        <f ca="1">IFERROR(__xludf.DUMMYFUNCTION("GOOGLETRANSLATE(A4901,""bn"",""en"")"),"Limited availability of replacement parts makes repairs difficult")</f>
        <v>Limited availability of replacement parts makes repairs difficult</v>
      </c>
    </row>
    <row r="4902" spans="1:3" ht="15.75" customHeight="1" x14ac:dyDescent="0.25">
      <c r="A4902" s="2" t="s">
        <v>4904</v>
      </c>
      <c r="B4902" s="3" t="s">
        <v>4</v>
      </c>
      <c r="C4902" s="2" t="str">
        <f ca="1">IFERROR(__xludf.DUMMYFUNCTION("GOOGLETRANSLATE(A4902,""bn"",""en"")"),"Each product in the kit is made of eco-friendly materials")</f>
        <v>Each product in the kit is made of eco-friendly materials</v>
      </c>
    </row>
    <row r="4903" spans="1:3" ht="15.75" customHeight="1" x14ac:dyDescent="0.25">
      <c r="A4903" s="2" t="s">
        <v>4905</v>
      </c>
      <c r="B4903" s="3" t="s">
        <v>2</v>
      </c>
      <c r="C4903" s="2" t="str">
        <f ca="1">IFERROR(__xludf.DUMMYFUNCTION("GOOGLETRANSLATE(A4903,""bn"",""en"")"),"Neighbors didn't particularly react")</f>
        <v>Neighbors didn't particularly react</v>
      </c>
    </row>
    <row r="4904" spans="1:3" ht="15.75" customHeight="1" x14ac:dyDescent="0.25">
      <c r="A4904" s="2" t="s">
        <v>4906</v>
      </c>
      <c r="B4904" s="3" t="s">
        <v>6</v>
      </c>
      <c r="C4904" s="2" t="str">
        <f ca="1">IFERROR(__xludf.DUMMYFUNCTION("GOOGLETRANSLATE(A4904,""bn"",""en"")"),"The drain plug in the baby bathtub leaks causing water to spill onto the floor")</f>
        <v>The drain plug in the baby bathtub leaks causing water to spill onto the floor</v>
      </c>
    </row>
    <row r="4905" spans="1:3" ht="15.75" customHeight="1" x14ac:dyDescent="0.25">
      <c r="A4905" s="2" t="s">
        <v>4907</v>
      </c>
      <c r="B4905" s="3" t="s">
        <v>4</v>
      </c>
      <c r="C4905" s="2" t="str">
        <f ca="1">IFERROR(__xludf.DUMMYFUNCTION("GOOGLETRANSLATE(A4905,""bn"",""en"")"),"The battery life of the remote has been long for almost a year and yet the battery has not been replaced")</f>
        <v>The battery life of the remote has been long for almost a year and yet the battery has not been replaced</v>
      </c>
    </row>
    <row r="4906" spans="1:3" ht="15.75" customHeight="1" x14ac:dyDescent="0.25">
      <c r="A4906" s="2" t="s">
        <v>4908</v>
      </c>
      <c r="B4906" s="3" t="s">
        <v>6</v>
      </c>
      <c r="C4906" s="2" t="str">
        <f ca="1">IFERROR(__xludf.DUMMYFUNCTION("GOOGLETRANSLATE(A4906,""bn"",""en"")")," The wall mounting brackets were flimsy and bent under the weight of the set")</f>
        <v xml:space="preserve"> The wall mounting brackets were flimsy and bent under the weight of the set</v>
      </c>
    </row>
    <row r="4907" spans="1:3" ht="15.75" customHeight="1" x14ac:dyDescent="0.25">
      <c r="A4907" s="2" t="s">
        <v>4909</v>
      </c>
      <c r="B4907" s="3" t="s">
        <v>6</v>
      </c>
      <c r="C4907" s="2" t="str">
        <f ca="1">IFERROR(__xludf.DUMMYFUNCTION("GOOGLETRANSLATE(A4907,""bn"",""en"")"),"The setting spray has a strong scent that lingers on the skin causing discomfort")</f>
        <v>The setting spray has a strong scent that lingers on the skin causing discomfort</v>
      </c>
    </row>
    <row r="4908" spans="1:3" ht="15.75" customHeight="1" x14ac:dyDescent="0.25">
      <c r="A4908" s="2" t="s">
        <v>4910</v>
      </c>
      <c r="B4908" s="3" t="s">
        <v>4</v>
      </c>
      <c r="C4908" s="2" t="str">
        <f ca="1">IFERROR(__xludf.DUMMYFUNCTION("GOOGLETRANSLATE(A4908,""bn"",""en"")"),"The colors are so vibrant and blended that it's mind blowing")</f>
        <v>The colors are so vibrant and blended that it's mind blowing</v>
      </c>
    </row>
    <row r="4909" spans="1:3" ht="15.75" customHeight="1" x14ac:dyDescent="0.25">
      <c r="A4909" s="2" t="s">
        <v>4911</v>
      </c>
      <c r="B4909" s="3" t="s">
        <v>6</v>
      </c>
      <c r="C4909" s="2" t="str">
        <f ca="1">IFERROR(__xludf.DUMMYFUNCTION("GOOGLETRANSLATE(A4909,""bn"",""en"")"),"Unreliable performance with frequent glitches")</f>
        <v>Unreliable performance with frequent glitches</v>
      </c>
    </row>
    <row r="4910" spans="1:3" ht="15.75" customHeight="1" x14ac:dyDescent="0.25">
      <c r="A4910" s="2" t="s">
        <v>4912</v>
      </c>
      <c r="B4910" s="3" t="s">
        <v>6</v>
      </c>
      <c r="C4910" s="2" t="str">
        <f ca="1">IFERROR(__xludf.DUMMYFUNCTION("GOOGLETRANSLATE(A4910,""bn"",""en"")"),"The wooden slats of the bed are unevenly spaced leading to an unstable sleeping surface and potential discomfort")</f>
        <v>The wooden slats of the bed are unevenly spaced leading to an unstable sleeping surface and potential discomfort</v>
      </c>
    </row>
    <row r="4911" spans="1:3" ht="15.75" customHeight="1" x14ac:dyDescent="0.25">
      <c r="A4911" s="2" t="s">
        <v>4913</v>
      </c>
      <c r="B4911" s="3" t="s">
        <v>4</v>
      </c>
      <c r="C4911" s="2" t="str">
        <f ca="1">IFERROR(__xludf.DUMMYFUNCTION("GOOGLETRANSLATE(A4911,""bn"",""en"")"),"The bookshelf is easily movable and portable")</f>
        <v>The bookshelf is easily movable and portable</v>
      </c>
    </row>
    <row r="4912" spans="1:3" ht="15.75" customHeight="1" x14ac:dyDescent="0.25">
      <c r="A4912" s="2" t="s">
        <v>4914</v>
      </c>
      <c r="B4912" s="3" t="s">
        <v>4</v>
      </c>
      <c r="C4912" s="2" t="str">
        <f ca="1">IFERROR(__xludf.DUMMYFUNCTION("GOOGLETRANSLATE(A4912,""bn"",""en"")"),"I love the eco-friendly material of this pillow set and I feel responsible by using it")</f>
        <v>I love the eco-friendly material of this pillow set and I feel responsible by using it</v>
      </c>
    </row>
    <row r="4913" spans="1:3" ht="15.75" customHeight="1" x14ac:dyDescent="0.25">
      <c r="A4913" s="2" t="s">
        <v>4915</v>
      </c>
      <c r="B4913" s="3" t="s">
        <v>6</v>
      </c>
      <c r="C4913" s="2" t="str">
        <f ca="1">IFERROR(__xludf.DUMMYFUNCTION("GOOGLETRANSLATE(A4913,""bn"",""en"")"),"The glaze on the tea set was uneven and the streakers looked unprofessional")</f>
        <v>The glaze on the tea set was uneven and the streakers looked unprofessional</v>
      </c>
    </row>
    <row r="4914" spans="1:3" ht="15.75" customHeight="1" x14ac:dyDescent="0.25">
      <c r="A4914" s="2" t="s">
        <v>4916</v>
      </c>
      <c r="B4914" s="3" t="s">
        <v>6</v>
      </c>
      <c r="C4914" s="2" t="str">
        <f ca="1">IFERROR(__xludf.DUMMYFUNCTION("GOOGLETRANSLATE(A4914,""bn"",""en"")"),"The fabric feels scratchy against the skin causing irritation and discomfort throughout the day")</f>
        <v>The fabric feels scratchy against the skin causing irritation and discomfort throughout the day</v>
      </c>
    </row>
    <row r="4915" spans="1:3" ht="15.75" customHeight="1" x14ac:dyDescent="0.25">
      <c r="A4915" s="2" t="s">
        <v>4917</v>
      </c>
      <c r="B4915" s="3" t="s">
        <v>4</v>
      </c>
      <c r="C4915" s="2" t="str">
        <f ca="1">IFERROR(__xludf.DUMMYFUNCTION("GOOGLETRANSLATE(A4915,""bn"",""en"")"),"Installing and configuring the best bios for gaming is very easy")</f>
        <v>Installing and configuring the best bios for gaming is very easy</v>
      </c>
    </row>
    <row r="4916" spans="1:3" ht="15.75" customHeight="1" x14ac:dyDescent="0.25">
      <c r="A4916" s="2" t="s">
        <v>4918</v>
      </c>
      <c r="B4916" s="3" t="s">
        <v>2</v>
      </c>
      <c r="C4916" s="2" t="str">
        <f ca="1">IFERROR(__xludf.DUMMYFUNCTION("GOOGLETRANSLATE(A4916,""bn"",""en"")"),"Some features should be improved")</f>
        <v>Some features should be improved</v>
      </c>
    </row>
    <row r="4917" spans="1:3" ht="15.75" customHeight="1" x14ac:dyDescent="0.25">
      <c r="A4917" s="2" t="s">
        <v>4919</v>
      </c>
      <c r="B4917" s="3" t="s">
        <v>4</v>
      </c>
      <c r="C4917" s="2" t="str">
        <f ca="1">IFERROR(__xludf.DUMMYFUNCTION("GOOGLETRANSLATE(A4917,""bn"",""en"")"),"good price")</f>
        <v>good price</v>
      </c>
    </row>
    <row r="4918" spans="1:3" ht="15.75" customHeight="1" x14ac:dyDescent="0.25">
      <c r="A4918" s="2" t="s">
        <v>4920</v>
      </c>
      <c r="B4918" s="3" t="s">
        <v>4</v>
      </c>
      <c r="C4918" s="2" t="str">
        <f ca="1">IFERROR(__xludf.DUMMYFUNCTION("GOOGLETRANSLATE(A4918,""bn"",""en"")"),"This is a very long serving fan")</f>
        <v>This is a very long serving fan</v>
      </c>
    </row>
    <row r="4919" spans="1:3" ht="15.75" customHeight="1" x14ac:dyDescent="0.25">
      <c r="A4919" s="2" t="s">
        <v>4921</v>
      </c>
      <c r="B4919" s="3" t="s">
        <v>4</v>
      </c>
      <c r="C4919" s="2" t="str">
        <f ca="1">IFERROR(__xludf.DUMMYFUNCTION("GOOGLETRANSLATE(A4919,""bn"",""en"")"),"Even if you see it every day, it doesn't bother you, it always gives you pleasure")</f>
        <v>Even if you see it every day, it doesn't bother you, it always gives you pleasure</v>
      </c>
    </row>
    <row r="4920" spans="1:3" ht="15.75" customHeight="1" x14ac:dyDescent="0.25">
      <c r="A4920" s="2" t="s">
        <v>4922</v>
      </c>
      <c r="B4920" s="3" t="s">
        <v>6</v>
      </c>
      <c r="C4920" s="2" t="str">
        <f ca="1">IFERROR(__xludf.DUMMYFUNCTION("GOOGLETRANSLATE(A4920,""bn"",""en"")"),"Not exactly what I ordered, uncomfortable and lower quality than most earrings")</f>
        <v>Not exactly what I ordered, uncomfortable and lower quality than most earrings</v>
      </c>
    </row>
    <row r="4921" spans="1:3" ht="15.75" customHeight="1" x14ac:dyDescent="0.25">
      <c r="A4921" s="2" t="s">
        <v>4923</v>
      </c>
      <c r="B4921" s="3" t="s">
        <v>4</v>
      </c>
      <c r="C4921" s="2" t="str">
        <f ca="1">IFERROR(__xludf.DUMMYFUNCTION("GOOGLETRANSLATE(A4921,""bn"",""en"")"),"The pendants were my birthday present and have become my favorite piece of jewelry")</f>
        <v>The pendants were my birthday present and have become my favorite piece of jewelry</v>
      </c>
    </row>
    <row r="4922" spans="1:3" ht="15.75" customHeight="1" x14ac:dyDescent="0.25">
      <c r="A4922" s="2" t="s">
        <v>4924</v>
      </c>
      <c r="B4922" s="3" t="s">
        <v>2</v>
      </c>
      <c r="C4922" s="2" t="str">
        <f ca="1">IFERROR(__xludf.DUMMYFUNCTION("GOOGLETRANSLATE(A4922,""bn"",""en"")"),"There is no chemical smell")</f>
        <v>There is no chemical smell</v>
      </c>
    </row>
    <row r="4923" spans="1:3" ht="15.75" customHeight="1" x14ac:dyDescent="0.25">
      <c r="A4923" s="2" t="s">
        <v>4925</v>
      </c>
      <c r="B4923" s="3" t="s">
        <v>2</v>
      </c>
      <c r="C4923" s="2" t="str">
        <f ca="1">IFERROR(__xludf.DUMMYFUNCTION("GOOGLETRANSLATE(A4923,""bn"",""en"")"),"The plug can fit into a standard outlet easily")</f>
        <v>The plug can fit into a standard outlet easily</v>
      </c>
    </row>
    <row r="4924" spans="1:3" ht="15.75" customHeight="1" x14ac:dyDescent="0.25">
      <c r="A4924" s="2" t="s">
        <v>4926</v>
      </c>
      <c r="B4924" s="3" t="s">
        <v>4</v>
      </c>
      <c r="C4924" s="2" t="str">
        <f ca="1">IFERROR(__xludf.DUMMYFUNCTION("GOOGLETRANSLATE(A4924,""bn"",""en"")"),"Great monitor great price very nice")</f>
        <v>Great monitor great price very nice</v>
      </c>
    </row>
    <row r="4925" spans="1:3" ht="15.75" customHeight="1" x14ac:dyDescent="0.25">
      <c r="A4925" s="2" t="s">
        <v>4927</v>
      </c>
      <c r="B4925" s="3" t="s">
        <v>4</v>
      </c>
      <c r="C4925" s="2" t="str">
        <f ca="1">IFERROR(__xludf.DUMMYFUNCTION("GOOGLETRANSLATE(A4925,""bn"",""en"")"),"It is very useful for daily use")</f>
        <v>It is very useful for daily use</v>
      </c>
    </row>
    <row r="4926" spans="1:3" ht="15.75" customHeight="1" x14ac:dyDescent="0.25">
      <c r="A4926" s="2" t="s">
        <v>4928</v>
      </c>
      <c r="B4926" s="3" t="s">
        <v>4</v>
      </c>
      <c r="C4926" s="2" t="str">
        <f ca="1">IFERROR(__xludf.DUMMYFUNCTION("GOOGLETRANSLATE(A4926,""bn"",""en"")"),"I don't know how to express it, in a word, it's an amazing product")</f>
        <v>I don't know how to express it, in a word, it's an amazing product</v>
      </c>
    </row>
    <row r="4927" spans="1:3" ht="15.75" customHeight="1" x14ac:dyDescent="0.25">
      <c r="A4927" s="2" t="s">
        <v>4929</v>
      </c>
      <c r="B4927" s="3" t="s">
        <v>2</v>
      </c>
      <c r="C4927" s="2" t="str">
        <f ca="1">IFERROR(__xludf.DUMMYFUNCTION("GOOGLETRANSLATE(A4927,""bn"",""en"")"),"I have mixed feelings about using this toothpaste and brush")</f>
        <v>I have mixed feelings about using this toothpaste and brush</v>
      </c>
    </row>
    <row r="4928" spans="1:3" ht="15.75" customHeight="1" x14ac:dyDescent="0.25">
      <c r="A4928" s="2" t="s">
        <v>4930</v>
      </c>
      <c r="B4928" s="3" t="s">
        <v>6</v>
      </c>
      <c r="C4928" s="2" t="str">
        <f ca="1">IFERROR(__xludf.DUMMYFUNCTION("GOOGLETRANSLATE(A4928,""bn"",""en"")"),"Mascara clumps easily giving lashes a spidery and unnatural look")</f>
        <v>Mascara clumps easily giving lashes a spidery and unnatural look</v>
      </c>
    </row>
    <row r="4929" spans="1:3" ht="15.75" customHeight="1" x14ac:dyDescent="0.25">
      <c r="A4929" s="2" t="s">
        <v>4931</v>
      </c>
      <c r="B4929" s="3" t="s">
        <v>2</v>
      </c>
      <c r="C4929" s="2" t="str">
        <f ca="1">IFERROR(__xludf.DUMMYFUNCTION("GOOGLETRANSLATE(A4929,""bn"",""en"")"),"The torch light switch is a bit stiff")</f>
        <v>The torch light switch is a bit stiff</v>
      </c>
    </row>
    <row r="4930" spans="1:3" ht="15.75" customHeight="1" x14ac:dyDescent="0.25">
      <c r="A4930" s="2" t="s">
        <v>4932</v>
      </c>
      <c r="B4930" s="3" t="s">
        <v>6</v>
      </c>
      <c r="C4930" s="2" t="str">
        <f ca="1">IFERROR(__xludf.DUMMYFUNCTION("GOOGLETRANSLATE(A4930,""bn"",""en"")"),"Loved these but not everyone liked them")</f>
        <v>Loved these but not everyone liked them</v>
      </c>
    </row>
    <row r="4931" spans="1:3" ht="15.75" customHeight="1" x14ac:dyDescent="0.25">
      <c r="A4931" s="2" t="s">
        <v>4933</v>
      </c>
      <c r="B4931" s="3" t="s">
        <v>6</v>
      </c>
      <c r="C4931" s="2" t="str">
        <f ca="1">IFERROR(__xludf.DUMMYFUNCTION("GOOGLETRANSLATE(A4931,""bn"",""en"")"),"Inadequate insulation leads to heat loss over time")</f>
        <v>Inadequate insulation leads to heat loss over time</v>
      </c>
    </row>
    <row r="4932" spans="1:3" ht="15.75" customHeight="1" x14ac:dyDescent="0.25">
      <c r="A4932" s="2" t="s">
        <v>4934</v>
      </c>
      <c r="B4932" s="3" t="s">
        <v>6</v>
      </c>
      <c r="C4932" s="2" t="str">
        <f ca="1">IFERROR(__xludf.DUMMYFUNCTION("GOOGLETRANSLATE(A4932,""bn"",""en"")"),"  An odd fit was with the sleeves too tight and the torso too loose")</f>
        <v xml:space="preserve">  An odd fit was with the sleeves too tight and the torso too loose</v>
      </c>
    </row>
    <row r="4933" spans="1:3" ht="15.75" customHeight="1" x14ac:dyDescent="0.25">
      <c r="A4933" s="2" t="s">
        <v>4935</v>
      </c>
      <c r="B4933" s="3" t="s">
        <v>4</v>
      </c>
      <c r="C4933" s="2" t="str">
        <f ca="1">IFERROR(__xludf.DUMMYFUNCTION("GOOGLETRANSLATE(A4933,""bn"",""en"")"),"The design of the entire set is a beautiful blend of contemporary and timeless style")</f>
        <v>The design of the entire set is a beautiful blend of contemporary and timeless style</v>
      </c>
    </row>
    <row r="4934" spans="1:3" ht="15.75" customHeight="1" x14ac:dyDescent="0.25">
      <c r="A4934" s="2" t="s">
        <v>4936</v>
      </c>
      <c r="B4934" s="3" t="s">
        <v>2</v>
      </c>
      <c r="C4934" s="2" t="str">
        <f ca="1">IFERROR(__xludf.DUMMYFUNCTION("GOOGLETRANSLATE(A4934,""bn"",""en"")"),"pretty much right")</f>
        <v>pretty much right</v>
      </c>
    </row>
    <row r="4935" spans="1:3" ht="15.75" customHeight="1" x14ac:dyDescent="0.25">
      <c r="A4935" s="2" t="s">
        <v>4937</v>
      </c>
      <c r="B4935" s="3" t="s">
        <v>4</v>
      </c>
      <c r="C4935" s="2" t="str">
        <f ca="1">IFERROR(__xludf.DUMMYFUNCTION("GOOGLETRANSLATE(A4935,""bn"",""en"")"),"The display resolution of the mobile is very high")</f>
        <v>The display resolution of the mobile is very high</v>
      </c>
    </row>
    <row r="4936" spans="1:3" ht="15.75" customHeight="1" x14ac:dyDescent="0.25">
      <c r="A4936" s="2" t="s">
        <v>4938</v>
      </c>
      <c r="B4936" s="3" t="s">
        <v>4</v>
      </c>
      <c r="C4936" s="2" t="str">
        <f ca="1">IFERROR(__xludf.DUMMYFUNCTION("GOOGLETRANSLATE(A4936,""bn"",""en"")"),"The smart features are very useful I can now control the AC from my phone even when not at home")</f>
        <v>The smart features are very useful I can now control the AC from my phone even when not at home</v>
      </c>
    </row>
    <row r="4937" spans="1:3" ht="15.75" customHeight="1" x14ac:dyDescent="0.25">
      <c r="A4937" s="2" t="s">
        <v>4939</v>
      </c>
      <c r="B4937" s="3" t="s">
        <v>4</v>
      </c>
      <c r="C4937" s="2" t="str">
        <f ca="1">IFERROR(__xludf.DUMMYFUNCTION("GOOGLETRANSLATE(A4937,""bn"",""en"")"),"The zipper system that comes with the set is very sturdy and I am sure it will last a long time")</f>
        <v>The zipper system that comes with the set is very sturdy and I am sure it will last a long time</v>
      </c>
    </row>
    <row r="4938" spans="1:3" ht="15.75" customHeight="1" x14ac:dyDescent="0.25">
      <c r="A4938" s="2" t="s">
        <v>4940</v>
      </c>
      <c r="B4938" s="3" t="s">
        <v>4</v>
      </c>
      <c r="C4938" s="2" t="str">
        <f ca="1">IFERROR(__xludf.DUMMYFUNCTION("GOOGLETRANSLATE(A4938,""bn"",""en"")"),"The new bag is very light and strong")</f>
        <v>The new bag is very light and strong</v>
      </c>
    </row>
    <row r="4939" spans="1:3" ht="15.75" customHeight="1" x14ac:dyDescent="0.25">
      <c r="A4939" s="2" t="s">
        <v>4941</v>
      </c>
      <c r="B4939" s="3" t="s">
        <v>2</v>
      </c>
      <c r="C4939" s="2" t="str">
        <f ca="1">IFERROR(__xludf.DUMMYFUNCTION("GOOGLETRANSLATE(A4939,""bn"",""en"")"),"The reflection quality is acceptable")</f>
        <v>The reflection quality is acceptable</v>
      </c>
    </row>
    <row r="4940" spans="1:3" ht="15.75" customHeight="1" x14ac:dyDescent="0.25">
      <c r="A4940" s="2" t="s">
        <v>4942</v>
      </c>
      <c r="B4940" s="3" t="s">
        <v>6</v>
      </c>
      <c r="C4940" s="2" t="str">
        <f ca="1">IFERROR(__xludf.DUMMYFUNCTION("GOOGLETRANSLATE(A4940,""bn"",""en"")"),"The texture of the fabric causes unpleasant irritation against the skin")</f>
        <v>The texture of the fabric causes unpleasant irritation against the skin</v>
      </c>
    </row>
    <row r="4941" spans="1:3" ht="15.75" customHeight="1" x14ac:dyDescent="0.25">
      <c r="A4941" s="2" t="s">
        <v>4943</v>
      </c>
      <c r="B4941" s="3" t="s">
        <v>4</v>
      </c>
      <c r="C4941" s="2" t="str">
        <f ca="1">IFERROR(__xludf.DUMMYFUNCTION("GOOGLETRANSLATE(A4941,""bn"",""en"")"),"It is perfect for nail art")</f>
        <v>It is perfect for nail art</v>
      </c>
    </row>
    <row r="4942" spans="1:3" ht="15.75" customHeight="1" x14ac:dyDescent="0.25">
      <c r="A4942" s="2" t="s">
        <v>4944</v>
      </c>
      <c r="B4942" s="3" t="s">
        <v>6</v>
      </c>
      <c r="C4942" s="2" t="str">
        <f ca="1">IFERROR(__xludf.DUMMYFUNCTION("GOOGLETRANSLATE(A4942,""bn"",""en"")"),"Boring for kids")</f>
        <v>Boring for kids</v>
      </c>
    </row>
    <row r="4943" spans="1:3" ht="15.75" customHeight="1" x14ac:dyDescent="0.25">
      <c r="A4943" s="2" t="s">
        <v>4945</v>
      </c>
      <c r="B4943" s="3" t="s">
        <v>4</v>
      </c>
      <c r="C4943" s="2" t="str">
        <f ca="1">IFERROR(__xludf.DUMMYFUNCTION("GOOGLETRANSLATE(A4943,""bn"",""en"")"),"Can be easily moved to another room")</f>
        <v>Can be easily moved to another room</v>
      </c>
    </row>
    <row r="4944" spans="1:3" ht="15.75" customHeight="1" x14ac:dyDescent="0.25">
      <c r="A4944" s="2" t="s">
        <v>4946</v>
      </c>
      <c r="B4944" s="3" t="s">
        <v>2</v>
      </c>
      <c r="C4944" s="2" t="str">
        <f ca="1">IFERROR(__xludf.DUMMYFUNCTION("GOOGLETRANSLATE(A4944,""bn"",""en"")"),"This kids toy is nothing special enough")</f>
        <v>This kids toy is nothing special enough</v>
      </c>
    </row>
    <row r="4945" spans="1:3" ht="15.75" customHeight="1" x14ac:dyDescent="0.25">
      <c r="A4945" s="2" t="s">
        <v>4947</v>
      </c>
      <c r="B4945" s="3" t="s">
        <v>2</v>
      </c>
      <c r="C4945" s="2" t="str">
        <f ca="1">IFERROR(__xludf.DUMMYFUNCTION("GOOGLETRANSLATE(A4945,""bn"",""en"")"),"The pump works well but the connection part is weak")</f>
        <v>The pump works well but the connection part is weak</v>
      </c>
    </row>
    <row r="4946" spans="1:3" ht="15.75" customHeight="1" x14ac:dyDescent="0.25">
      <c r="A4946" s="2" t="s">
        <v>4948</v>
      </c>
      <c r="B4946" s="3" t="s">
        <v>4</v>
      </c>
      <c r="C4946" s="2" t="str">
        <f ca="1">IFERROR(__xludf.DUMMYFUNCTION("GOOGLETRANSLATE(A4946,""bn"",""en"")"),"The edge of each utensil in this dinner set is so finely crafted that I'm never afraid of cutting my fingers.")</f>
        <v>The edge of each utensil in this dinner set is so finely crafted that I'm never afraid of cutting my fingers.</v>
      </c>
    </row>
    <row r="4947" spans="1:3" ht="15.75" customHeight="1" x14ac:dyDescent="0.25">
      <c r="A4947" s="2" t="s">
        <v>4949</v>
      </c>
      <c r="B4947" s="3" t="s">
        <v>2</v>
      </c>
      <c r="C4947" s="2" t="str">
        <f ca="1">IFERROR(__xludf.DUMMYFUNCTION("GOOGLETRANSLATE(A4947,""bn"",""en"")"),"Although some plants grew well, no additional yield was expected for the fertilizer")</f>
        <v>Although some plants grew well, no additional yield was expected for the fertilizer</v>
      </c>
    </row>
    <row r="4948" spans="1:3" ht="15.75" customHeight="1" x14ac:dyDescent="0.25">
      <c r="A4948" s="2" t="s">
        <v>4950</v>
      </c>
      <c r="B4948" s="3" t="s">
        <v>2</v>
      </c>
      <c r="C4948" s="2" t="str">
        <f ca="1">IFERROR(__xludf.DUMMYFUNCTION("GOOGLETRANSLATE(A4948,""bn"",""en"")"),"The brush seems to last longer")</f>
        <v>The brush seems to last longer</v>
      </c>
    </row>
    <row r="4949" spans="1:3" ht="15.75" customHeight="1" x14ac:dyDescent="0.25">
      <c r="A4949" s="2" t="s">
        <v>4951</v>
      </c>
      <c r="B4949" s="3" t="s">
        <v>4</v>
      </c>
      <c r="C4949" s="2" t="str">
        <f ca="1">IFERROR(__xludf.DUMMYFUNCTION("GOOGLETRANSLATE(A4949,""bn"",""en"")"),"Its roast level is just right neither too hard nor too light")</f>
        <v>Its roast level is just right neither too hard nor too light</v>
      </c>
    </row>
    <row r="4950" spans="1:3" ht="15.75" customHeight="1" x14ac:dyDescent="0.25">
      <c r="A4950" s="2" t="s">
        <v>4952</v>
      </c>
      <c r="B4950" s="3" t="s">
        <v>6</v>
      </c>
      <c r="C4950" s="2" t="str">
        <f ca="1">IFERROR(__xludf.DUMMYFUNCTION("GOOGLETRANSLATE(A4950,""bn"",""en"")"),"All came up with loose threads")</f>
        <v>All came up with loose threads</v>
      </c>
    </row>
    <row r="4951" spans="1:3" ht="15.75" customHeight="1" x14ac:dyDescent="0.25">
      <c r="A4951" s="2" t="s">
        <v>4953</v>
      </c>
      <c r="B4951" s="3" t="s">
        <v>6</v>
      </c>
      <c r="C4951" s="2" t="str">
        <f ca="1">IFERROR(__xludf.DUMMYFUNCTION("GOOGLETRANSLATE(A4951,""bn"",""en"")"),"Highlighter emphasizes texture and pores rather than providing a subtle glow")</f>
        <v>Highlighter emphasizes texture and pores rather than providing a subtle glow</v>
      </c>
    </row>
    <row r="4952" spans="1:3" ht="15.75" customHeight="1" x14ac:dyDescent="0.25">
      <c r="A4952" s="2" t="s">
        <v>4954</v>
      </c>
      <c r="B4952" s="3" t="s">
        <v>2</v>
      </c>
      <c r="C4952" s="2" t="str">
        <f ca="1">IFERROR(__xludf.DUMMYFUNCTION("GOOGLETRANSLATE(A4952,""bn"",""en"")"),"The sound is a bit loud")</f>
        <v>The sound is a bit loud</v>
      </c>
    </row>
    <row r="4953" spans="1:3" ht="15.75" customHeight="1" x14ac:dyDescent="0.25">
      <c r="A4953" s="2" t="s">
        <v>4955</v>
      </c>
      <c r="B4953" s="3" t="s">
        <v>6</v>
      </c>
      <c r="C4953" s="2" t="str">
        <f ca="1">IFERROR(__xludf.DUMMYFUNCTION("GOOGLETRANSLATE(A4953,""bn"",""en"")"),"The stiffness of the fabric restricts movement making it uncomfortable to wear")</f>
        <v>The stiffness of the fabric restricts movement making it uncomfortable to wear</v>
      </c>
    </row>
    <row r="4954" spans="1:3" ht="15.75" customHeight="1" x14ac:dyDescent="0.25">
      <c r="A4954" s="2" t="s">
        <v>4956</v>
      </c>
      <c r="B4954" s="3" t="s">
        <v>4</v>
      </c>
      <c r="C4954" s="2" t="str">
        <f ca="1">IFERROR(__xludf.DUMMYFUNCTION("GOOGLETRANSLATE(A4954,""bn"",""en"")"),"This pencil does not slip from the hand while writing and the grip is very good")</f>
        <v>This pencil does not slip from the hand while writing and the grip is very good</v>
      </c>
    </row>
    <row r="4955" spans="1:3" ht="15.75" customHeight="1" x14ac:dyDescent="0.25">
      <c r="A4955" s="2" t="s">
        <v>4957</v>
      </c>
      <c r="B4955" s="3" t="s">
        <v>4</v>
      </c>
      <c r="C4955" s="2" t="str">
        <f ca="1">IFERROR(__xludf.DUMMYFUNCTION("GOOGLETRANSLATE(A4955,""bn"",""en"")"),"The soap does not irritate the skin")</f>
        <v>The soap does not irritate the skin</v>
      </c>
    </row>
    <row r="4956" spans="1:3" ht="15.75" customHeight="1" x14ac:dyDescent="0.25">
      <c r="A4956" s="2" t="s">
        <v>4958</v>
      </c>
      <c r="B4956" s="3" t="s">
        <v>4</v>
      </c>
      <c r="C4956" s="2" t="str">
        <f ca="1">IFERROR(__xludf.DUMMYFUNCTION("GOOGLETRANSLATE(A4956,""bn"",""en"")"),"Sleeping on the support of this pillow is very comfortable")</f>
        <v>Sleeping on the support of this pillow is very comfortable</v>
      </c>
    </row>
    <row r="4957" spans="1:3" ht="15.75" customHeight="1" x14ac:dyDescent="0.25">
      <c r="A4957" s="2" t="s">
        <v>4959</v>
      </c>
      <c r="B4957" s="3" t="s">
        <v>2</v>
      </c>
      <c r="C4957" s="2" t="str">
        <f ca="1">IFERROR(__xludf.DUMMYFUNCTION("GOOGLETRANSLATE(A4957,""bn"",""en"")"),"The taste is ok but too much water is used")</f>
        <v>The taste is ok but too much water is used</v>
      </c>
    </row>
    <row r="4958" spans="1:3" ht="15.75" customHeight="1" x14ac:dyDescent="0.25">
      <c r="A4958" s="2" t="s">
        <v>4960</v>
      </c>
      <c r="B4958" s="3" t="s">
        <v>4</v>
      </c>
      <c r="C4958" s="2" t="str">
        <f ca="1">IFERROR(__xludf.DUMMYFUNCTION("GOOGLETRANSLATE(A4958,""bn"",""en"")"),"The colors of the makeup kit are very vibrant")</f>
        <v>The colors of the makeup kit are very vibrant</v>
      </c>
    </row>
    <row r="4959" spans="1:3" ht="15.75" customHeight="1" x14ac:dyDescent="0.25">
      <c r="A4959" s="2" t="s">
        <v>4961</v>
      </c>
      <c r="B4959" s="3" t="s">
        <v>6</v>
      </c>
      <c r="C4959" s="2" t="str">
        <f ca="1">IFERROR(__xludf.DUMMYFUNCTION("GOOGLETRANSLATE(A4959,""bn"",""en"")"),"The bath tray design was flimsy and unable to securely hold unstable items")</f>
        <v>The bath tray design was flimsy and unable to securely hold unstable items</v>
      </c>
    </row>
    <row r="4960" spans="1:3" ht="15.75" customHeight="1" x14ac:dyDescent="0.25">
      <c r="A4960" s="2" t="s">
        <v>4962</v>
      </c>
      <c r="B4960" s="3" t="s">
        <v>4</v>
      </c>
      <c r="C4960" s="2" t="str">
        <f ca="1">IFERROR(__xludf.DUMMYFUNCTION("GOOGLETRANSLATE(A4960,""bn"",""en"")"),"The size of the sheet is just right")</f>
        <v>The size of the sheet is just right</v>
      </c>
    </row>
    <row r="4961" spans="1:3" ht="15.75" customHeight="1" x14ac:dyDescent="0.25">
      <c r="A4961" s="2" t="s">
        <v>4963</v>
      </c>
      <c r="B4961" s="3" t="s">
        <v>2</v>
      </c>
      <c r="C4961" s="2" t="str">
        <f ca="1">IFERROR(__xludf.DUMMYFUNCTION("GOOGLETRANSLATE(A4961,""bn"",""en"")"),"Good beads for making bracelets are not so beautiful")</f>
        <v>Good beads for making bracelets are not so beautiful</v>
      </c>
    </row>
    <row r="4962" spans="1:3" ht="15.75" customHeight="1" x14ac:dyDescent="0.25">
      <c r="A4962" s="2" t="s">
        <v>4964</v>
      </c>
      <c r="B4962" s="3" t="s">
        <v>2</v>
      </c>
      <c r="C4962" s="2" t="str">
        <f ca="1">IFERROR(__xludf.DUMMYFUNCTION("GOOGLETRANSLATE(A4962,""bn"",""en"")"),"Frame quality is average")</f>
        <v>Frame quality is average</v>
      </c>
    </row>
    <row r="4963" spans="1:3" ht="15.75" customHeight="1" x14ac:dyDescent="0.25">
      <c r="A4963" s="2" t="s">
        <v>4965</v>
      </c>
      <c r="B4963" s="3" t="s">
        <v>2</v>
      </c>
      <c r="C4963" s="2" t="str">
        <f ca="1">IFERROR(__xludf.DUMMYFUNCTION("GOOGLETRANSLATE(A4963,""bn"",""en"")"),"Excessive use may change the color of the fabric")</f>
        <v>Excessive use may change the color of the fabric</v>
      </c>
    </row>
    <row r="4964" spans="1:3" ht="15.75" customHeight="1" x14ac:dyDescent="0.25">
      <c r="A4964" s="2" t="s">
        <v>4966</v>
      </c>
      <c r="B4964" s="3" t="s">
        <v>4</v>
      </c>
      <c r="C4964" s="2" t="str">
        <f ca="1">IFERROR(__xludf.DUMMYFUNCTION("GOOGLETRANSLATE(A4964,""bn"",""en"")"),"The makeup kit is very light")</f>
        <v>The makeup kit is very light</v>
      </c>
    </row>
    <row r="4965" spans="1:3" ht="15.75" customHeight="1" x14ac:dyDescent="0.25">
      <c r="A4965" s="2" t="s">
        <v>4967</v>
      </c>
      <c r="B4965" s="3" t="s">
        <v>6</v>
      </c>
      <c r="C4965" s="2" t="str">
        <f ca="1">IFERROR(__xludf.DUMMYFUNCTION("GOOGLETRANSLATE(A4965,""bn"",""en"")"),"The shower cap was too tight leaving a deep gash on my forehead")</f>
        <v>The shower cap was too tight leaving a deep gash on my forehead</v>
      </c>
    </row>
    <row r="4966" spans="1:3" ht="15.75" customHeight="1" x14ac:dyDescent="0.25">
      <c r="A4966" s="2" t="s">
        <v>4968</v>
      </c>
      <c r="B4966" s="3" t="s">
        <v>2</v>
      </c>
      <c r="C4966" s="2" t="str">
        <f ca="1">IFERROR(__xludf.DUMMYFUNCTION("GOOGLETRANSLATE(A4966,""bn"",""en"")"),"After some time the bristles may become bent")</f>
        <v>After some time the bristles may become bent</v>
      </c>
    </row>
    <row r="4967" spans="1:3" ht="15.75" customHeight="1" x14ac:dyDescent="0.25">
      <c r="A4967" s="2" t="s">
        <v>4969</v>
      </c>
      <c r="B4967" s="3" t="s">
        <v>6</v>
      </c>
      <c r="C4967" s="2" t="str">
        <f ca="1">IFERROR(__xludf.DUMMYFUNCTION("GOOGLETRANSLATE(A4967,""bn"",""en"")"),"Inadequate weatherproofing compromises outdoor performance")</f>
        <v>Inadequate weatherproofing compromises outdoor performance</v>
      </c>
    </row>
    <row r="4968" spans="1:3" ht="15.75" customHeight="1" x14ac:dyDescent="0.25">
      <c r="A4968" s="2" t="s">
        <v>4970</v>
      </c>
      <c r="B4968" s="3" t="s">
        <v>2</v>
      </c>
      <c r="C4968" s="2" t="str">
        <f ca="1">IFERROR(__xludf.DUMMYFUNCTION("GOOGLETRANSLATE(A4968,""bn"",""en"")"),"The size of the mops is acceptable but the depth is remarkable")</f>
        <v>The size of the mops is acceptable but the depth is remarkable</v>
      </c>
    </row>
    <row r="4969" spans="1:3" ht="15.75" customHeight="1" x14ac:dyDescent="0.25">
      <c r="A4969" s="2" t="s">
        <v>4971</v>
      </c>
      <c r="B4969" s="3" t="s">
        <v>4</v>
      </c>
      <c r="C4969" s="2" t="str">
        <f ca="1">IFERROR(__xludf.DUMMYFUNCTION("GOOGLETRANSLATE(A4969,""bn"",""en"")"),"It helps in lowering cholesterol")</f>
        <v>It helps in lowering cholesterol</v>
      </c>
    </row>
    <row r="4970" spans="1:3" ht="15.75" customHeight="1" x14ac:dyDescent="0.25">
      <c r="A4970" s="2" t="s">
        <v>4972</v>
      </c>
      <c r="B4970" s="3" t="s">
        <v>2</v>
      </c>
      <c r="C4970" s="2" t="str">
        <f ca="1">IFERROR(__xludf.DUMMYFUNCTION("GOOGLETRANSLATE(A4970,""bn"",""en"")"),"May stain")</f>
        <v>May stain</v>
      </c>
    </row>
    <row r="4971" spans="1:3" ht="15.75" customHeight="1" x14ac:dyDescent="0.25">
      <c r="A4971" s="2" t="s">
        <v>4973</v>
      </c>
      <c r="B4971" s="3" t="s">
        <v>4</v>
      </c>
      <c r="C4971" s="2" t="str">
        <f ca="1">IFERROR(__xludf.DUMMYFUNCTION("GOOGLETRANSLATE(A4971,""bn"",""en"")"),"Easy to use makeup brushes")</f>
        <v>Easy to use makeup brushes</v>
      </c>
    </row>
    <row r="4972" spans="1:3" ht="15.75" customHeight="1" x14ac:dyDescent="0.25">
      <c r="A4972" s="2" t="s">
        <v>4974</v>
      </c>
      <c r="B4972" s="3" t="s">
        <v>4</v>
      </c>
      <c r="C4972" s="2" t="str">
        <f ca="1">IFERROR(__xludf.DUMMYFUNCTION("GOOGLETRANSLATE(A4972,""bn"",""en"")"),"The flower created a welcoming atmosphere in my room")</f>
        <v>The flower created a welcoming atmosphere in my room</v>
      </c>
    </row>
    <row r="4973" spans="1:3" ht="15.75" customHeight="1" x14ac:dyDescent="0.25">
      <c r="A4973" s="2" t="s">
        <v>4975</v>
      </c>
      <c r="B4973" s="3" t="s">
        <v>4</v>
      </c>
      <c r="C4973" s="2" t="str">
        <f ca="1">IFERROR(__xludf.DUMMYFUNCTION("GOOGLETRANSLATE(A4973,""bn"",""en"")"),"Once you try it, you will fall in love with it")</f>
        <v>Once you try it, you will fall in love with it</v>
      </c>
    </row>
    <row r="4974" spans="1:3" ht="15.75" customHeight="1" x14ac:dyDescent="0.25">
      <c r="A4974" s="2" t="s">
        <v>4976</v>
      </c>
      <c r="B4974" s="3" t="s">
        <v>6</v>
      </c>
      <c r="C4974" s="2" t="str">
        <f ca="1">IFERROR(__xludf.DUMMYFUNCTION("GOOGLETRANSLATE(A4974,""bn"",""en"")"),"The beans were overpriced for quality and not worth the investment")</f>
        <v>The beans were overpriced for quality and not worth the investment</v>
      </c>
    </row>
    <row r="4975" spans="1:3" ht="15.75" customHeight="1" x14ac:dyDescent="0.25">
      <c r="A4975" s="2" t="s">
        <v>4977</v>
      </c>
      <c r="B4975" s="3" t="s">
        <v>2</v>
      </c>
      <c r="C4975" s="2" t="str">
        <f ca="1">IFERROR(__xludf.DUMMYFUNCTION("GOOGLETRANSLATE(A4975,""bn"",""en"")"),"The bowls are deep but have less capacity")</f>
        <v>The bowls are deep but have less capacity</v>
      </c>
    </row>
    <row r="4976" spans="1:3" ht="15.75" customHeight="1" x14ac:dyDescent="0.25">
      <c r="A4976" s="2" t="s">
        <v>4978</v>
      </c>
      <c r="B4976" s="3" t="s">
        <v>2</v>
      </c>
      <c r="C4976" s="2" t="str">
        <f ca="1">IFERROR(__xludf.DUMMYFUNCTION("GOOGLETRANSLATE(A4976,""bn"",""en"")"),"Different parts can be assembled but difficult to open")</f>
        <v>Different parts can be assembled but difficult to open</v>
      </c>
    </row>
    <row r="4977" spans="1:3" ht="15.75" customHeight="1" x14ac:dyDescent="0.25">
      <c r="A4977" s="2" t="s">
        <v>4979</v>
      </c>
      <c r="B4977" s="3" t="s">
        <v>6</v>
      </c>
      <c r="C4977" s="2" t="str">
        <f ca="1">IFERROR(__xludf.DUMMYFUNCTION("GOOGLETRANSLATE(A4977,""bn"",""en"")"),"The paint colors had low pigment concentration so many layers were required")</f>
        <v>The paint colors had low pigment concentration so many layers were required</v>
      </c>
    </row>
    <row r="4978" spans="1:3" ht="15.75" customHeight="1" x14ac:dyDescent="0.25">
      <c r="A4978" s="2" t="s">
        <v>4980</v>
      </c>
      <c r="B4978" s="3" t="s">
        <v>2</v>
      </c>
      <c r="C4978" s="2" t="str">
        <f ca="1">IFERROR(__xludf.DUMMYFUNCTION("GOOGLETRANSLATE(A4978,""bn"",""en"")"),"The packaging is good but the taste is not")</f>
        <v>The packaging is good but the taste is not</v>
      </c>
    </row>
    <row r="4979" spans="1:3" ht="15.75" customHeight="1" x14ac:dyDescent="0.25">
      <c r="A4979" s="2" t="s">
        <v>4981</v>
      </c>
      <c r="B4979" s="3" t="s">
        <v>6</v>
      </c>
      <c r="C4979" s="2" t="str">
        <f ca="1">IFERROR(__xludf.DUMMYFUNCTION("GOOGLETRANSLATE(A4979,""bn"",""en"")"),"The charging speed of the power bank is very slow especially for larger devices like tablets")</f>
        <v>The charging speed of the power bank is very slow especially for larger devices like tablets</v>
      </c>
    </row>
    <row r="4980" spans="1:3" ht="15.75" customHeight="1" x14ac:dyDescent="0.25">
      <c r="A4980" s="2" t="s">
        <v>4982</v>
      </c>
      <c r="B4980" s="3" t="s">
        <v>6</v>
      </c>
      <c r="C4980" s="2" t="str">
        <f ca="1">IFERROR(__xludf.DUMMYFUNCTION("GOOGLETRANSLATE(A4980,""bn"",""en"")"),"Electric lawn mower blades are dull so the grass is not cut evenly")</f>
        <v>Electric lawn mower blades are dull so the grass is not cut evenly</v>
      </c>
    </row>
    <row r="4981" spans="1:3" ht="15.75" customHeight="1" x14ac:dyDescent="0.25">
      <c r="A4981" s="2" t="s">
        <v>4983</v>
      </c>
      <c r="B4981" s="3" t="s">
        <v>2</v>
      </c>
      <c r="C4981" s="2" t="str">
        <f ca="1">IFERROR(__xludf.DUMMYFUNCTION("GOOGLETRANSLATE(A4981,""bn"",""en"")"),"It should be shaken after use")</f>
        <v>It should be shaken after use</v>
      </c>
    </row>
    <row r="4982" spans="1:3" ht="15.75" customHeight="1" x14ac:dyDescent="0.25">
      <c r="A4982" s="2" t="s">
        <v>4984</v>
      </c>
      <c r="B4982" s="3" t="s">
        <v>2</v>
      </c>
      <c r="C4982" s="2" t="str">
        <f ca="1">IFERROR(__xludf.DUMMYFUNCTION("GOOGLETRANSLATE(A4982,""bn"",""en"")"),"The stretchy string on the bracelet is fine")</f>
        <v>The stretchy string on the bracelet is fine</v>
      </c>
    </row>
    <row r="4983" spans="1:3" ht="15.75" customHeight="1" x14ac:dyDescent="0.25">
      <c r="A4983" s="2" t="s">
        <v>4985</v>
      </c>
      <c r="B4983" s="3" t="s">
        <v>6</v>
      </c>
      <c r="C4983" s="2" t="str">
        <f ca="1">IFERROR(__xludf.DUMMYFUNCTION("GOOGLETRANSLATE(A4983,""bn"",""en"")"),"Hair oil makes my hair look greasy and makes it heavy")</f>
        <v>Hair oil makes my hair look greasy and makes it heavy</v>
      </c>
    </row>
    <row r="4984" spans="1:3" ht="15.75" customHeight="1" x14ac:dyDescent="0.25">
      <c r="A4984" s="2" t="s">
        <v>4986</v>
      </c>
      <c r="B4984" s="3" t="s">
        <v>6</v>
      </c>
      <c r="C4984" s="2" t="str">
        <f ca="1">IFERROR(__xludf.DUMMYFUNCTION("GOOGLETRANSLATE(A4984,""bn"",""en"")")," Lack of height adjustment on the stand limited placement options")</f>
        <v xml:space="preserve"> Lack of height adjustment on the stand limited placement options</v>
      </c>
    </row>
    <row r="4985" spans="1:3" ht="15.75" customHeight="1" x14ac:dyDescent="0.25">
      <c r="A4985" s="2" t="s">
        <v>4987</v>
      </c>
      <c r="B4985" s="3" t="s">
        <v>2</v>
      </c>
      <c r="C4985" s="2" t="str">
        <f ca="1">IFERROR(__xludf.DUMMYFUNCTION("GOOGLETRANSLATE(A4985,""bn"",""en"")"),"Cleans well enough but doesn't shine")</f>
        <v>Cleans well enough but doesn't shine</v>
      </c>
    </row>
    <row r="4986" spans="1:3" ht="15.75" customHeight="1" x14ac:dyDescent="0.25">
      <c r="A4986" s="2" t="s">
        <v>4988</v>
      </c>
      <c r="B4986" s="3" t="s">
        <v>6</v>
      </c>
      <c r="C4986" s="2" t="str">
        <f ca="1">IFERROR(__xludf.DUMMYFUNCTION("GOOGLETRANSLATE(A4986,""bn"",""en"")"),"Despite being advertised as suitable for everyday wear, the design is impractical and restricts movement and functionality")</f>
        <v>Despite being advertised as suitable for everyday wear, the design is impractical and restricts movement and functionality</v>
      </c>
    </row>
    <row r="4987" spans="1:3" ht="15.75" customHeight="1" x14ac:dyDescent="0.25">
      <c r="A4987" s="2" t="s">
        <v>4989</v>
      </c>
      <c r="B4987" s="3" t="s">
        <v>4</v>
      </c>
      <c r="C4987" s="2" t="str">
        <f ca="1">IFERROR(__xludf.DUMMYFUNCTION("GOOGLETRANSLATE(A4987,""bn"",""en"")"),"The sound quality of these new headphones is excellent")</f>
        <v>The sound quality of these new headphones is excellent</v>
      </c>
    </row>
    <row r="4988" spans="1:3" ht="15.75" customHeight="1" x14ac:dyDescent="0.25">
      <c r="A4988" s="2" t="s">
        <v>4990</v>
      </c>
      <c r="B4988" s="3" t="s">
        <v>6</v>
      </c>
      <c r="C4988" s="2" t="str">
        <f ca="1">IFERROR(__xludf.DUMMYFUNCTION("GOOGLETRANSLATE(A4988,""bn"",""en"")"),"The fabric of the dress feels cheap and synthetic and lacks the softness and drape expected from premium clothing")</f>
        <v>The fabric of the dress feels cheap and synthetic and lacks the softness and drape expected from premium clothing</v>
      </c>
    </row>
    <row r="4989" spans="1:3" ht="15.75" customHeight="1" x14ac:dyDescent="0.25">
      <c r="A4989" s="2" t="s">
        <v>4991</v>
      </c>
      <c r="B4989" s="3" t="s">
        <v>4</v>
      </c>
      <c r="C4989" s="2" t="str">
        <f ca="1">IFERROR(__xludf.DUMMYFUNCTION("GOOGLETRANSLATE(A4989,""bn"",""en"")"),"I recommend it to everyone")</f>
        <v>I recommend it to everyone</v>
      </c>
    </row>
    <row r="4990" spans="1:3" ht="15.75" customHeight="1" x14ac:dyDescent="0.25">
      <c r="A4990" s="2" t="s">
        <v>4992</v>
      </c>
      <c r="B4990" s="3" t="s">
        <v>6</v>
      </c>
      <c r="C4990" s="2" t="str">
        <f ca="1">IFERROR(__xludf.DUMMYFUNCTION("GOOGLETRANSLATE(A4990,""bn"",""en"")")," The voice assistant is unresponsive and often misunderstands commands")</f>
        <v xml:space="preserve"> The voice assistant is unresponsive and often misunderstands commands</v>
      </c>
    </row>
    <row r="4991" spans="1:3" ht="15.75" customHeight="1" x14ac:dyDescent="0.25">
      <c r="A4991" s="2" t="s">
        <v>4993</v>
      </c>
      <c r="B4991" s="3" t="s">
        <v>4</v>
      </c>
      <c r="C4991" s="2" t="str">
        <f ca="1">IFERROR(__xludf.DUMMYFUNCTION("GOOGLETRANSLATE(A4991,""bn"",""en"")"),"The child has a lot of fun with his new toy")</f>
        <v>The child has a lot of fun with his new toy</v>
      </c>
    </row>
    <row r="4992" spans="1:3" ht="15.75" customHeight="1" x14ac:dyDescent="0.25">
      <c r="A4992" s="2" t="s">
        <v>4994</v>
      </c>
      <c r="B4992" s="3" t="s">
        <v>6</v>
      </c>
      <c r="C4992" s="2" t="str">
        <f ca="1">IFERROR(__xludf.DUMMYFUNCTION("GOOGLETRANSLATE(A4992,""bn"",""en"")"),"The hair mask did not hydrate my hair as promised and left it feeling dry")</f>
        <v>The hair mask did not hydrate my hair as promised and left it feeling dry</v>
      </c>
    </row>
    <row r="4993" spans="1:3" ht="15.75" customHeight="1" x14ac:dyDescent="0.25">
      <c r="A4993" s="2" t="s">
        <v>4995</v>
      </c>
      <c r="B4993" s="3" t="s">
        <v>6</v>
      </c>
      <c r="C4993" s="2" t="str">
        <f ca="1">IFERROR(__xludf.DUMMYFUNCTION("GOOGLETRANSLATE(A4993,""bn"",""en"")"),"Voiceactivated assistants that misunderstand commands are frustrating")</f>
        <v>Voiceactivated assistants that misunderstand commands are frustrating</v>
      </c>
    </row>
    <row r="4994" spans="1:3" ht="15.75" customHeight="1" x14ac:dyDescent="0.25">
      <c r="A4994" s="2" t="s">
        <v>4996</v>
      </c>
      <c r="B4994" s="3" t="s">
        <v>2</v>
      </c>
      <c r="C4994" s="2" t="str">
        <f ca="1">IFERROR(__xludf.DUMMYFUNCTION("GOOGLETRANSLATE(A4994,""bn"",""en"")"),"The price is low but the quality is less than expected")</f>
        <v>The price is low but the quality is less than expected</v>
      </c>
    </row>
    <row r="4995" spans="1:3" ht="15.75" customHeight="1" x14ac:dyDescent="0.25">
      <c r="A4995" s="2" t="s">
        <v>4997</v>
      </c>
      <c r="B4995" s="3" t="s">
        <v>4</v>
      </c>
      <c r="C4995" s="2" t="str">
        <f ca="1">IFERROR(__xludf.DUMMYFUNCTION("GOOGLETRANSLATE(A4995,""bn"",""en"")"),"Easy to install and excellent quality")</f>
        <v>Easy to install and excellent quality</v>
      </c>
    </row>
    <row r="4996" spans="1:3" ht="15.75" customHeight="1" x14ac:dyDescent="0.25">
      <c r="A4996" s="2" t="s">
        <v>4998</v>
      </c>
      <c r="B4996" s="3" t="s">
        <v>6</v>
      </c>
      <c r="C4996" s="2" t="str">
        <f ca="1">IFERROR(__xludf.DUMMYFUNCTION("GOOGLETRANSLATE(A4996,""bn"",""en"")"),"The brushes had uneven bristle distribution which affected paint coverage")</f>
        <v>The brushes had uneven bristle distribution which affected paint coverage</v>
      </c>
    </row>
    <row r="4997" spans="1:3" ht="15.75" customHeight="1" x14ac:dyDescent="0.25">
      <c r="A4997" s="2" t="s">
        <v>4999</v>
      </c>
      <c r="B4997" s="3" t="s">
        <v>4</v>
      </c>
      <c r="C4997" s="2" t="str">
        <f ca="1">IFERROR(__xludf.DUMMYFUNCTION("GOOGLETRANSLATE(A4997,""bn"",""en"")"),"This body wash will leave your skin feeling velvety smooth")</f>
        <v>This body wash will leave your skin feeling velvety smooth</v>
      </c>
    </row>
    <row r="4998" spans="1:3" ht="15.75" customHeight="1" x14ac:dyDescent="0.25">
      <c r="A4998" s="2" t="s">
        <v>5000</v>
      </c>
      <c r="B4998" s="3" t="s">
        <v>2</v>
      </c>
      <c r="C4998" s="2" t="str">
        <f ca="1">IFERROR(__xludf.DUMMYFUNCTION("GOOGLETRANSLATE(A4998,""bn"",""en"")"),"Does not scratch but does not polish")</f>
        <v>Does not scratch but does not polish</v>
      </c>
    </row>
    <row r="4999" spans="1:3" ht="15.75" customHeight="1" x14ac:dyDescent="0.25">
      <c r="A4999" s="2" t="s">
        <v>5001</v>
      </c>
      <c r="B4999" s="3" t="s">
        <v>4</v>
      </c>
      <c r="C4999" s="2" t="str">
        <f ca="1">IFERROR(__xludf.DUMMYFUNCTION("GOOGLETRANSLATE(A4999,""bn"",""en"")"),"The child reads books regularly every day")</f>
        <v>The child reads books regularly every day</v>
      </c>
    </row>
    <row r="5000" spans="1:3" ht="15.75" customHeight="1" x14ac:dyDescent="0.25">
      <c r="A5000" s="2" t="s">
        <v>5002</v>
      </c>
      <c r="B5000" s="3" t="s">
        <v>6</v>
      </c>
      <c r="C5000" s="2" t="str">
        <f ca="1">IFERROR(__xludf.DUMMYFUNCTION("GOOGLETRANSLATE(A5000,""bn"",""en"")"),"Limited color depth in JPEG files leads to flat and uninspiring images straight out of the camera")</f>
        <v>Limited color depth in JPEG files leads to flat and uninspiring images straight out of the camera</v>
      </c>
    </row>
    <row r="5001" spans="1:3" ht="15.75" customHeight="1" x14ac:dyDescent="0.25">
      <c r="A5001" s="2" t="s">
        <v>5003</v>
      </c>
      <c r="B5001" s="3" t="s">
        <v>2</v>
      </c>
      <c r="C5001" s="2" t="str">
        <f ca="1">IFERROR(__xludf.DUMMYFUNCTION("GOOGLETRANSLATE(A5001,""bn"",""en"")"),"Travel bidets clean but have low water pressure")</f>
        <v>Travel bidets clean but have low water pressure</v>
      </c>
    </row>
    <row r="5002" spans="1:3" ht="15.75" customHeight="1" x14ac:dyDescent="0.25">
      <c r="A5002" s="2" t="s">
        <v>5004</v>
      </c>
      <c r="B5002" s="3" t="s">
        <v>2</v>
      </c>
      <c r="C5002" s="2" t="str">
        <f ca="1">IFERROR(__xludf.DUMMYFUNCTION("GOOGLETRANSLATE(A5002,""bn"",""en"")"),"Charge lasts long and doesn't fall during gym workouts but has some issues making calls")</f>
        <v>Charge lasts long and doesn't fall during gym workouts but has some issues making calls</v>
      </c>
    </row>
    <row r="5003" spans="1:3" ht="15.75" customHeight="1" x14ac:dyDescent="0.25">
      <c r="A5003" s="2" t="s">
        <v>5005</v>
      </c>
      <c r="B5003" s="3" t="s">
        <v>2</v>
      </c>
      <c r="C5003" s="2" t="str">
        <f ca="1">IFERROR(__xludf.DUMMYFUNCTION("GOOGLETRANSLATE(A5003,""bn"",""en"")"),"There may be a risk of losing the ring but can be avoided if used carefully")</f>
        <v>There may be a risk of losing the ring but can be avoided if used carefully</v>
      </c>
    </row>
    <row r="5004" spans="1:3" ht="15.75" customHeight="1" x14ac:dyDescent="0.25">
      <c r="A5004" s="2" t="s">
        <v>5006</v>
      </c>
      <c r="B5004" s="3" t="s">
        <v>2</v>
      </c>
      <c r="C5004" s="2" t="str">
        <f ca="1">IFERROR(__xludf.DUMMYFUNCTION("GOOGLETRANSLATE(A5004,""bn"",""en"")"),"The budget for homework is useful but not impressive")</f>
        <v>The budget for homework is useful but not impressive</v>
      </c>
    </row>
    <row r="5005" spans="1:3" ht="15.75" customHeight="1" x14ac:dyDescent="0.25">
      <c r="A5005" s="2" t="s">
        <v>5007</v>
      </c>
      <c r="B5005" s="3" t="s">
        <v>4</v>
      </c>
      <c r="C5005" s="2" t="str">
        <f ca="1">IFERROR(__xludf.DUMMYFUNCTION("GOOGLETRANSLATE(A5005,""bn"",""en"")"),"Taking pictures with the new phone camera is a lot of fun")</f>
        <v>Taking pictures with the new phone camera is a lot of fun</v>
      </c>
    </row>
    <row r="5006" spans="1:3" ht="15.75" customHeight="1" x14ac:dyDescent="0.25">
      <c r="A5006" s="2" t="s">
        <v>5008</v>
      </c>
      <c r="B5006" s="3" t="s">
        <v>6</v>
      </c>
      <c r="C5006" s="2" t="str">
        <f ca="1">IFERROR(__xludf.DUMMYFUNCTION("GOOGLETRANSLATE(A5006,""bn"",""en"")"),"The cumbersome design makes stacking challenging")</f>
        <v>The cumbersome design makes stacking challenging</v>
      </c>
    </row>
    <row r="5007" spans="1:3" ht="15.75" customHeight="1" x14ac:dyDescent="0.25">
      <c r="A5007" s="2" t="s">
        <v>5009</v>
      </c>
      <c r="B5007" s="3" t="s">
        <v>4</v>
      </c>
      <c r="C5007" s="2" t="str">
        <f ca="1">IFERROR(__xludf.DUMMYFUNCTION("GOOGLETRANSLATE(A5007,""bn"",""en"")"),"Using a makeup brush is a means of self-expression")</f>
        <v>Using a makeup brush is a means of self-expression</v>
      </c>
    </row>
    <row r="5008" spans="1:3" ht="15.75" customHeight="1" x14ac:dyDescent="0.25">
      <c r="A5008" s="2" t="s">
        <v>5010</v>
      </c>
      <c r="B5008" s="3" t="s">
        <v>4</v>
      </c>
      <c r="C5008" s="2" t="str">
        <f ca="1">IFERROR(__xludf.DUMMYFUNCTION("GOOGLETRANSLATE(A5008,""bn"",""en"")"),"Great for tracking your suitcases")</f>
        <v>Great for tracking your suitcases</v>
      </c>
    </row>
    <row r="5009" spans="1:3" ht="15.75" customHeight="1" x14ac:dyDescent="0.25">
      <c r="A5009" s="2" t="s">
        <v>5011</v>
      </c>
      <c r="B5009" s="3" t="s">
        <v>2</v>
      </c>
      <c r="C5009" s="2" t="str">
        <f ca="1">IFERROR(__xludf.DUMMYFUNCTION("GOOGLETRANSLATE(A5009,""bn"",""en"")"),"There are lots of beads but some pieces are missing")</f>
        <v>There are lots of beads but some pieces are missing</v>
      </c>
    </row>
    <row r="5010" spans="1:3" ht="15.75" customHeight="1" x14ac:dyDescent="0.25">
      <c r="A5010" s="2" t="s">
        <v>5012</v>
      </c>
      <c r="B5010" s="3" t="s">
        <v>4</v>
      </c>
      <c r="C5010" s="2" t="str">
        <f ca="1">IFERROR(__xludf.DUMMYFUNCTION("GOOGLETRANSLATE(A5010,""bn"",""en"")"),"The auto diagnostic feature gives early warning of any problems which helps in long-term maintenance")</f>
        <v>The auto diagnostic feature gives early warning of any problems which helps in long-term maintenance</v>
      </c>
    </row>
    <row r="5011" spans="1:3" ht="15.75" customHeight="1" x14ac:dyDescent="0.25">
      <c r="A5011" s="2" t="s">
        <v>5013</v>
      </c>
      <c r="B5011" s="3" t="s">
        <v>6</v>
      </c>
      <c r="C5011" s="2" t="str">
        <f ca="1">IFERROR(__xludf.DUMMYFUNCTION("GOOGLETRANSLATE(A5011,""bn"",""en"")")," The bezels were thick and distracting which detracted from the viewing experience")</f>
        <v xml:space="preserve"> The bezels were thick and distracting which detracted from the viewing experience</v>
      </c>
    </row>
    <row r="5012" spans="1:3" ht="15.75" customHeight="1" x14ac:dyDescent="0.25">
      <c r="A5012" s="2" t="s">
        <v>5014</v>
      </c>
      <c r="B5012" s="3" t="s">
        <v>6</v>
      </c>
      <c r="C5012" s="2" t="str">
        <f ca="1">IFERROR(__xludf.DUMMYFUNCTION("GOOGLETRANSLATE(A5012,""bn"",""en"")"),"Stitching looks messy and uneven")</f>
        <v>Stitching looks messy and uneven</v>
      </c>
    </row>
    <row r="5013" spans="1:3" ht="15.75" customHeight="1" x14ac:dyDescent="0.25">
      <c r="A5013" s="2" t="s">
        <v>5015</v>
      </c>
      <c r="B5013" s="3" t="s">
        <v>4</v>
      </c>
      <c r="C5013" s="2" t="str">
        <f ca="1">IFERROR(__xludf.DUMMYFUNCTION("GOOGLETRANSLATE(A5013,""bn"",""en"")"),"The TV unit is perfect for my big screen TV and sound system")</f>
        <v>The TV unit is perfect for my big screen TV and sound system</v>
      </c>
    </row>
    <row r="5014" spans="1:3" ht="15.75" customHeight="1" x14ac:dyDescent="0.25">
      <c r="A5014" s="2" t="s">
        <v>5016</v>
      </c>
      <c r="B5014" s="3" t="s">
        <v>2</v>
      </c>
      <c r="C5014" s="2" t="str">
        <f ca="1">IFERROR(__xludf.DUMMYFUNCTION("GOOGLETRANSLATE(A5014,""bn"",""en"")"),"Keep dry after use")</f>
        <v>Keep dry after use</v>
      </c>
    </row>
    <row r="5015" spans="1:3" ht="15.75" customHeight="1" x14ac:dyDescent="0.25">
      <c r="A5015" s="2" t="s">
        <v>5017</v>
      </c>
      <c r="B5015" s="3" t="s">
        <v>2</v>
      </c>
      <c r="C5015" s="2" t="str">
        <f ca="1">IFERROR(__xludf.DUMMYFUNCTION("GOOGLETRANSLATE(A5015,""bn"",""en"")"),"Voltage options seem limited")</f>
        <v>Voltage options seem limited</v>
      </c>
    </row>
    <row r="5016" spans="1:3" ht="15.75" customHeight="1" x14ac:dyDescent="0.25">
      <c r="A5016" s="2" t="s">
        <v>5018</v>
      </c>
      <c r="B5016" s="3" t="s">
        <v>6</v>
      </c>
      <c r="C5016" s="2" t="str">
        <f ca="1">IFERROR(__xludf.DUMMYFUNCTION("GOOGLETRANSLATE(A5016,""bn"",""en"")"),"Water dispensers sometimes leak causing water to pool at the base")</f>
        <v>Water dispensers sometimes leak causing water to pool at the base</v>
      </c>
    </row>
    <row r="5017" spans="1:3" ht="15.75" customHeight="1" x14ac:dyDescent="0.25">
      <c r="A5017" s="2" t="s">
        <v>5019</v>
      </c>
      <c r="B5017" s="3" t="s">
        <v>6</v>
      </c>
      <c r="C5017" s="2" t="str">
        <f ca="1">IFERROR(__xludf.DUMMYFUNCTION("GOOGLETRANSLATE(A5017,""bn"",""en"")"),"Packaging defects lead to product damage")</f>
        <v>Packaging defects lead to product damage</v>
      </c>
    </row>
    <row r="5018" spans="1:3" ht="15.75" customHeight="1" x14ac:dyDescent="0.25">
      <c r="A5018" s="2" t="s">
        <v>5020</v>
      </c>
      <c r="B5018" s="3" t="s">
        <v>6</v>
      </c>
      <c r="C5018" s="2" t="str">
        <f ca="1">IFERROR(__xludf.DUMMYFUNCTION("GOOGLETRANSLATE(A5018,""bn"",""en"")"),"The boxed pancake mix had a weird chemical taste and wasn't cooked evenly")</f>
        <v>The boxed pancake mix had a weird chemical taste and wasn't cooked evenly</v>
      </c>
    </row>
    <row r="5019" spans="1:3" ht="15.75" customHeight="1" x14ac:dyDescent="0.25">
      <c r="A5019" s="2" t="s">
        <v>5021</v>
      </c>
      <c r="B5019" s="3" t="s">
        <v>2</v>
      </c>
      <c r="C5019" s="2" t="str">
        <f ca="1">IFERROR(__xludf.DUMMYFUNCTION("GOOGLETRANSLATE(A5019,""bn"",""en"")"),"Does not sharpen so quickly sometimes twists the bean is small")</f>
        <v>Does not sharpen so quickly sometimes twists the bean is small</v>
      </c>
    </row>
    <row r="5020" spans="1:3" ht="15.75" customHeight="1" x14ac:dyDescent="0.25">
      <c r="A5020" s="2" t="s">
        <v>5022</v>
      </c>
      <c r="B5020" s="3" t="s">
        <v>6</v>
      </c>
      <c r="C5020" s="2" t="str">
        <f ca="1">IFERROR(__xludf.DUMMYFUNCTION("GOOGLETRANSLATE(A5020,""bn"",""en"")"),"The finish is uneven and prone to peeling which detracts from its appearance")</f>
        <v>The finish is uneven and prone to peeling which detracts from its appearance</v>
      </c>
    </row>
    <row r="5021" spans="1:3" ht="15.75" customHeight="1" x14ac:dyDescent="0.25">
      <c r="A5021" s="2" t="s">
        <v>5023</v>
      </c>
      <c r="B5021" s="3" t="s">
        <v>4</v>
      </c>
      <c r="C5021" s="2" t="str">
        <f ca="1">IFERROR(__xludf.DUMMYFUNCTION("GOOGLETRANSLATE(A5021,""bn"",""en"")"),"Stores well and is very safe")</f>
        <v>Stores well and is very safe</v>
      </c>
    </row>
    <row r="5022" spans="1:3" ht="15.75" customHeight="1" x14ac:dyDescent="0.25">
      <c r="A5022" s="2" t="s">
        <v>5024</v>
      </c>
      <c r="B5022" s="3" t="s">
        <v>6</v>
      </c>
      <c r="C5022" s="2" t="str">
        <f ca="1">IFERROR(__xludf.DUMMYFUNCTION("GOOGLETRANSLATE(A5022,""bn"",""en"")"),"It is frustrating and frustrating as it is not as per the advertised description or specification")</f>
        <v>It is frustrating and frustrating as it is not as per the advertised description or specification</v>
      </c>
    </row>
    <row r="5023" spans="1:3" ht="15.75" customHeight="1" x14ac:dyDescent="0.25">
      <c r="A5023" s="2" t="s">
        <v>5025</v>
      </c>
      <c r="B5023" s="3" t="s">
        <v>6</v>
      </c>
      <c r="C5023" s="2" t="str">
        <f ca="1">IFERROR(__xludf.DUMMYFUNCTION("GOOGLETRANSLATE(A5023,""bn"",""en"")"),"The cups had an odd shape that made them uncomfortable to hold")</f>
        <v>The cups had an odd shape that made them uncomfortable to hold</v>
      </c>
    </row>
    <row r="5024" spans="1:3" ht="15.75" customHeight="1" x14ac:dyDescent="0.25">
      <c r="A5024" s="2" t="s">
        <v>5026</v>
      </c>
      <c r="B5024" s="3" t="s">
        <v>2</v>
      </c>
      <c r="C5024" s="2" t="str">
        <f ca="1">IFERROR(__xludf.DUMMYFUNCTION("GOOGLETRANSLATE(A5024,""bn"",""en"")"),"Age suitable but age limit is a bit lower")</f>
        <v>Age suitable but age limit is a bit lower</v>
      </c>
    </row>
    <row r="5025" spans="1:3" ht="15.75" customHeight="1" x14ac:dyDescent="0.25">
      <c r="A5025" s="2" t="s">
        <v>5027</v>
      </c>
      <c r="B5025" s="3" t="s">
        <v>6</v>
      </c>
      <c r="C5025" s="2" t="str">
        <f ca="1">IFERROR(__xludf.DUMMYFUNCTION("GOOGLETRANSLATE(A5025,""bn"",""en"")"),"The bath thermometer gave inaccurate readings making it unreliable")</f>
        <v>The bath thermometer gave inaccurate readings making it unreliable</v>
      </c>
    </row>
    <row r="5026" spans="1:3" ht="15.75" customHeight="1" x14ac:dyDescent="0.25">
      <c r="A5026" s="2" t="s">
        <v>5028</v>
      </c>
      <c r="B5026" s="3" t="s">
        <v>2</v>
      </c>
      <c r="C5026" s="2" t="str">
        <f ca="1">IFERROR(__xludf.DUMMYFUNCTION("GOOGLETRANSLATE(A5026,""bn"",""en"")"),"All items are from the same set but some are slightly different")</f>
        <v>All items are from the same set but some are slightly different</v>
      </c>
    </row>
    <row r="5027" spans="1:3" ht="15.75" customHeight="1" x14ac:dyDescent="0.25">
      <c r="A5027" s="2" t="s">
        <v>5029</v>
      </c>
      <c r="B5027" s="3" t="s">
        <v>6</v>
      </c>
      <c r="C5027" s="2" t="str">
        <f ca="1">IFERROR(__xludf.DUMMYFUNCTION("GOOGLETRANSLATE(A5027,""bn"",""en"")"),"Product packaging was excessive and wasteful")</f>
        <v>Product packaging was excessive and wasteful</v>
      </c>
    </row>
    <row r="5028" spans="1:3" ht="15.75" customHeight="1" x14ac:dyDescent="0.25">
      <c r="A5028" s="2" t="s">
        <v>5030</v>
      </c>
      <c r="B5028" s="3" t="s">
        <v>6</v>
      </c>
      <c r="C5028" s="2" t="str">
        <f ca="1">IFERROR(__xludf.DUMMYFUNCTION("GOOGLETRANSLATE(A5028,""bn"",""en"")"),"App icons disappear randomly causing confusion and frustration")</f>
        <v>App icons disappear randomly causing confusion and frustration</v>
      </c>
    </row>
    <row r="5029" spans="1:3" ht="15.75" customHeight="1" x14ac:dyDescent="0.25">
      <c r="A5029" s="2" t="s">
        <v>5031</v>
      </c>
      <c r="B5029" s="3" t="s">
        <v>2</v>
      </c>
      <c r="C5029" s="2" t="str">
        <f ca="1">IFERROR(__xludf.DUMMYFUNCTION("GOOGLETRANSLATE(A5029,""bn"",""en"")"),"The fruit cutter works but the edge can wear off quickly")</f>
        <v>The fruit cutter works but the edge can wear off quickly</v>
      </c>
    </row>
    <row r="5030" spans="1:3" ht="15.75" customHeight="1" x14ac:dyDescent="0.25">
      <c r="A5030" s="2" t="s">
        <v>5032</v>
      </c>
      <c r="B5030" s="3" t="s">
        <v>6</v>
      </c>
      <c r="C5030" s="2" t="str">
        <f ca="1">IFERROR(__xludf.DUMMYFUNCTION("GOOGLETRANSLATE(A5030,""bn"",""en"")"),"Product design makes it difficult to transport or store")</f>
        <v>Product design makes it difficult to transport or store</v>
      </c>
    </row>
    <row r="5031" spans="1:3" ht="15.75" customHeight="1" x14ac:dyDescent="0.25">
      <c r="A5031" s="2" t="s">
        <v>5033</v>
      </c>
      <c r="B5031" s="3" t="s">
        <v>4</v>
      </c>
      <c r="C5031" s="2" t="str">
        <f ca="1">IFERROR(__xludf.DUMMYFUNCTION("GOOGLETRANSLATE(A5031,""bn"",""en"")"),"The cooling speed is amazing and my room gets comfortably cool in minutes")</f>
        <v>The cooling speed is amazing and my room gets comfortably cool in minutes</v>
      </c>
    </row>
    <row r="5032" spans="1:3" ht="15.75" customHeight="1" x14ac:dyDescent="0.25">
      <c r="A5032" s="2" t="s">
        <v>5034</v>
      </c>
      <c r="B5032" s="3" t="s">
        <v>2</v>
      </c>
      <c r="C5032" s="2" t="str">
        <f ca="1">IFERROR(__xludf.DUMMYFUNCTION("GOOGLETRANSLATE(A5032,""bn"",""en"")"),"The flavor is good but the drink is a bit too artificial")</f>
        <v>The flavor is good but the drink is a bit too artificial</v>
      </c>
    </row>
    <row r="5033" spans="1:3" ht="15.75" customHeight="1" x14ac:dyDescent="0.25">
      <c r="A5033" s="2" t="s">
        <v>5035</v>
      </c>
      <c r="B5033" s="3" t="s">
        <v>2</v>
      </c>
      <c r="C5033" s="2" t="str">
        <f ca="1">IFERROR(__xludf.DUMMYFUNCTION("GOOGLETRANSLATE(A5033,""bn"",""en"")"),"Applying to the edge of the nail can be challenging")</f>
        <v>Applying to the edge of the nail can be challenging</v>
      </c>
    </row>
    <row r="5034" spans="1:3" ht="15.75" customHeight="1" x14ac:dyDescent="0.25">
      <c r="A5034" s="2" t="s">
        <v>5036</v>
      </c>
      <c r="B5034" s="3" t="s">
        <v>4</v>
      </c>
      <c r="C5034" s="2" t="str">
        <f ca="1">IFERROR(__xludf.DUMMYFUNCTION("GOOGLETRANSLATE(A5034,""bn"",""en"")"),"The battery performance of the device is excellent")</f>
        <v>The battery performance of the device is excellent</v>
      </c>
    </row>
    <row r="5035" spans="1:3" ht="15.75" customHeight="1" x14ac:dyDescent="0.25">
      <c r="A5035" s="2" t="s">
        <v>5037</v>
      </c>
      <c r="B5035" s="3" t="s">
        <v>6</v>
      </c>
      <c r="C5035" s="2" t="str">
        <f ca="1">IFERROR(__xludf.DUMMYFUNCTION("GOOGLETRANSLATE(A5035,""bn"",""en"")"),"The power cord of the vacuum cleaner is tangled which is frustrating to open")</f>
        <v>The power cord of the vacuum cleaner is tangled which is frustrating to open</v>
      </c>
    </row>
    <row r="5036" spans="1:3" ht="15.75" customHeight="1" x14ac:dyDescent="0.25">
      <c r="A5036" s="2" t="s">
        <v>5038</v>
      </c>
      <c r="B5036" s="3" t="s">
        <v>4</v>
      </c>
      <c r="C5036" s="2" t="str">
        <f ca="1">IFERROR(__xludf.DUMMYFUNCTION("GOOGLETRANSLATE(A5036,""bn"",""en"")"),"It improves brain performance")</f>
        <v>It improves brain performance</v>
      </c>
    </row>
    <row r="5037" spans="1:3" ht="15.75" customHeight="1" x14ac:dyDescent="0.25">
      <c r="A5037" s="2" t="s">
        <v>5039</v>
      </c>
      <c r="B5037" s="3" t="s">
        <v>2</v>
      </c>
      <c r="C5037" s="2" t="str">
        <f ca="1">IFERROR(__xludf.DUMMYFUNCTION("GOOGLETRANSLATE(A5037,""bn"",""en"")"),"Comfortable but not durable")</f>
        <v>Comfortable but not durable</v>
      </c>
    </row>
    <row r="5038" spans="1:3" ht="15.75" customHeight="1" x14ac:dyDescent="0.25">
      <c r="A5038" s="2" t="s">
        <v>5040</v>
      </c>
      <c r="B5038" s="3" t="s">
        <v>4</v>
      </c>
      <c r="C5038" s="2" t="str">
        <f ca="1">IFERROR(__xludf.DUMMYFUNCTION("GOOGLETRANSLATE(A5038,""bn"",""en"")"),"Alhamdulillah, I received a very nice item, seam to seam product, very nice thanks to the seller")</f>
        <v>Alhamdulillah, I received a very nice item, seam to seam product, very nice thanks to the seller</v>
      </c>
    </row>
    <row r="5039" spans="1:3" ht="15.75" customHeight="1" x14ac:dyDescent="0.25">
      <c r="A5039" s="2" t="s">
        <v>5041</v>
      </c>
      <c r="B5039" s="3" t="s">
        <v>2</v>
      </c>
      <c r="C5039" s="2" t="str">
        <f ca="1">IFERROR(__xludf.DUMMYFUNCTION("GOOGLETRANSLATE(A5039,""bn"",""en"")"),"It sometimes turns off automatically")</f>
        <v>It sometimes turns off automatically</v>
      </c>
    </row>
    <row r="5040" spans="1:3" ht="15.75" customHeight="1" x14ac:dyDescent="0.25">
      <c r="A5040" s="2" t="s">
        <v>5042</v>
      </c>
      <c r="B5040" s="3" t="s">
        <v>4</v>
      </c>
      <c r="C5040" s="2" t="str">
        <f ca="1">IFERROR(__xludf.DUMMYFUNCTION("GOOGLETRANSLATE(A5040,""bn"",""en"")"),"It helps in maintaining bone health")</f>
        <v>It helps in maintaining bone health</v>
      </c>
    </row>
    <row r="5041" spans="1:3" ht="15.75" customHeight="1" x14ac:dyDescent="0.25">
      <c r="A5041" s="2" t="s">
        <v>5043</v>
      </c>
      <c r="B5041" s="3" t="s">
        <v>4</v>
      </c>
      <c r="C5041" s="2" t="str">
        <f ca="1">IFERROR(__xludf.DUMMYFUNCTION("GOOGLETRANSLATE(A5041,""bn"",""en"")"),"The test results have been very good")</f>
        <v>The test results have been very good</v>
      </c>
    </row>
    <row r="5042" spans="1:3" ht="15.75" customHeight="1" x14ac:dyDescent="0.25">
      <c r="A5042" s="2" t="s">
        <v>5044</v>
      </c>
      <c r="B5042" s="3" t="s">
        <v>6</v>
      </c>
      <c r="C5042" s="2" t="str">
        <f ca="1">IFERROR(__xludf.DUMMYFUNCTION("GOOGLETRANSLATE(A5042,""bn"",""en"")"),"The soap sensor of the automatic soap dispenser is faulty and dispenses randomly")</f>
        <v>The soap sensor of the automatic soap dispenser is faulty and dispenses randomly</v>
      </c>
    </row>
    <row r="5043" spans="1:3" ht="15.75" customHeight="1" x14ac:dyDescent="0.25">
      <c r="A5043" s="2" t="s">
        <v>5045</v>
      </c>
      <c r="B5043" s="3" t="s">
        <v>6</v>
      </c>
      <c r="C5043" s="2" t="str">
        <f ca="1">IFERROR(__xludf.DUMMYFUNCTION("GOOGLETRANSLATE(A5043,""bn"",""en"")"),"The painting set does not include enough information on paint application techniques")</f>
        <v>The painting set does not include enough information on paint application techniques</v>
      </c>
    </row>
    <row r="5044" spans="1:3" ht="15.75" customHeight="1" x14ac:dyDescent="0.25">
      <c r="A5044" s="2" t="s">
        <v>5046</v>
      </c>
      <c r="B5044" s="3" t="s">
        <v>4</v>
      </c>
      <c r="C5044" s="2" t="str">
        <f ca="1">IFERROR(__xludf.DUMMYFUNCTION("GOOGLETRANSLATE(A5044,""bn"",""en"")"),"Bedside tables are provided with table cloths")</f>
        <v>Bedside tables are provided with table cloths</v>
      </c>
    </row>
    <row r="5045" spans="1:3" ht="15.75" customHeight="1" x14ac:dyDescent="0.25">
      <c r="A5045" s="2" t="s">
        <v>5047</v>
      </c>
      <c r="B5045" s="3" t="s">
        <v>6</v>
      </c>
      <c r="C5045" s="2" t="str">
        <f ca="1">IFERROR(__xludf.DUMMYFUNCTION("GOOGLETRANSLATE(A5045,""bn"",""en"")"),"Door seal moldings tend to require frequent cleaning and maintenance")</f>
        <v>Door seal moldings tend to require frequent cleaning and maintenance</v>
      </c>
    </row>
    <row r="5046" spans="1:3" ht="15.75" customHeight="1" x14ac:dyDescent="0.25">
      <c r="A5046" s="2" t="s">
        <v>5048</v>
      </c>
      <c r="B5046" s="3" t="s">
        <v>4</v>
      </c>
      <c r="C5046" s="2" t="str">
        <f ca="1">IFERROR(__xludf.DUMMYFUNCTION("GOOGLETRANSLATE(A5046,""bn"",""en"")"),"The sheet is light and comfortable which provides comfort even in hot weather")</f>
        <v>The sheet is light and comfortable which provides comfort even in hot weather</v>
      </c>
    </row>
    <row r="5047" spans="1:3" ht="15.75" customHeight="1" x14ac:dyDescent="0.25">
      <c r="A5047" s="2" t="s">
        <v>5049</v>
      </c>
      <c r="B5047" s="3" t="s">
        <v>2</v>
      </c>
      <c r="C5047" s="2" t="str">
        <f ca="1">IFERROR(__xludf.DUMMYFUNCTION("GOOGLETRANSLATE(A5047,""bn"",""en"")"),"Some items are smaller than average")</f>
        <v>Some items are smaller than average</v>
      </c>
    </row>
    <row r="5048" spans="1:3" ht="15.75" customHeight="1" x14ac:dyDescent="0.25">
      <c r="A5048" s="2" t="s">
        <v>5050</v>
      </c>
      <c r="B5048" s="3" t="s">
        <v>2</v>
      </c>
      <c r="C5048" s="2" t="str">
        <f ca="1">IFERROR(__xludf.DUMMYFUNCTION("GOOGLETRANSLATE(A5048,""bn"",""en"")"),"Fairly good compared to other brands")</f>
        <v>Fairly good compared to other brands</v>
      </c>
    </row>
    <row r="5049" spans="1:3" ht="15.75" customHeight="1" x14ac:dyDescent="0.25">
      <c r="A5049" s="2" t="s">
        <v>5051</v>
      </c>
      <c r="B5049" s="3" t="s">
        <v>2</v>
      </c>
      <c r="C5049" s="2" t="str">
        <f ca="1">IFERROR(__xludf.DUMMYFUNCTION("GOOGLETRANSLATE(A5049,""bn"",""en"")"),"It has room for improvement")</f>
        <v>It has room for improvement</v>
      </c>
    </row>
    <row r="5050" spans="1:3" ht="15.75" customHeight="1" x14ac:dyDescent="0.25">
      <c r="A5050" s="2" t="s">
        <v>5052</v>
      </c>
      <c r="B5050" s="3" t="s">
        <v>4</v>
      </c>
      <c r="C5050" s="2" t="str">
        <f ca="1">IFERROR(__xludf.DUMMYFUNCTION("GOOGLETRANSLATE(A5050,""bn"",""en"")"),"Everyone in our class always helps")</f>
        <v>Everyone in our class always helps</v>
      </c>
    </row>
    <row r="5051" spans="1:3" ht="15.75" customHeight="1" x14ac:dyDescent="0.25">
      <c r="A5051" s="2" t="s">
        <v>5053</v>
      </c>
      <c r="B5051" s="3" t="s">
        <v>4</v>
      </c>
      <c r="C5051" s="2" t="str">
        <f ca="1">IFERROR(__xludf.DUMMYFUNCTION("GOOGLETRANSLATE(A5051,""bn"",""en"")"),"This shampoo is helpful in maintaining hair health")</f>
        <v>This shampoo is helpful in maintaining hair health</v>
      </c>
    </row>
    <row r="5052" spans="1:3" ht="15.75" customHeight="1" x14ac:dyDescent="0.25">
      <c r="A5052" s="2" t="s">
        <v>5054</v>
      </c>
      <c r="B5052" s="3" t="s">
        <v>2</v>
      </c>
      <c r="C5052" s="2" t="str">
        <f ca="1">IFERROR(__xludf.DUMMYFUNCTION("GOOGLETRANSLATE(A5052,""bn"",""en"")"),"The flashlight gives light but the battery dies very quickly")</f>
        <v>The flashlight gives light but the battery dies very quickly</v>
      </c>
    </row>
    <row r="5053" spans="1:3" ht="15.75" customHeight="1" x14ac:dyDescent="0.25">
      <c r="A5053" s="2" t="s">
        <v>5055</v>
      </c>
      <c r="B5053" s="3" t="s">
        <v>4</v>
      </c>
      <c r="C5053" s="2" t="str">
        <f ca="1">IFERROR(__xludf.DUMMYFUNCTION("GOOGLETRANSLATE(A5053,""bn"",""en"")"),"Teeth have a long-lasting clean feeling")</f>
        <v>Teeth have a long-lasting clean feeling</v>
      </c>
    </row>
    <row r="5054" spans="1:3" ht="15.75" customHeight="1" x14ac:dyDescent="0.25">
      <c r="A5054" s="2" t="s">
        <v>5056</v>
      </c>
      <c r="B5054" s="3" t="s">
        <v>4</v>
      </c>
      <c r="C5054" s="2" t="str">
        <f ca="1">IFERROR(__xludf.DUMMYFUNCTION("GOOGLETRANSLATE(A5054,""bn"",""en"")"),"The ventilation system of the laptop is excellent and does not get hot even after prolonged use")</f>
        <v>The ventilation system of the laptop is excellent and does not get hot even after prolonged use</v>
      </c>
    </row>
    <row r="5055" spans="1:3" ht="15.75" customHeight="1" x14ac:dyDescent="0.25">
      <c r="A5055" s="2" t="s">
        <v>5057</v>
      </c>
      <c r="B5055" s="3" t="s">
        <v>2</v>
      </c>
      <c r="C5055" s="2" t="str">
        <f ca="1">IFERROR(__xludf.DUMMYFUNCTION("GOOGLETRANSLATE(A5055,""bn"",""en"")"),"The packaging is not very attractive")</f>
        <v>The packaging is not very attractive</v>
      </c>
    </row>
    <row r="5056" spans="1:3" ht="15.75" customHeight="1" x14ac:dyDescent="0.25">
      <c r="A5056" s="2" t="s">
        <v>5058</v>
      </c>
      <c r="B5056" s="3" t="s">
        <v>2</v>
      </c>
      <c r="C5056" s="2" t="str">
        <f ca="1">IFERROR(__xludf.DUMMYFUNCTION("GOOGLETRANSLATE(A5056,""bn"",""en"")"),"Great quality and price but some pieces are less durable")</f>
        <v>Great quality and price but some pieces are less durable</v>
      </c>
    </row>
    <row r="5057" spans="1:3" ht="15.75" customHeight="1" x14ac:dyDescent="0.25">
      <c r="A5057" s="2" t="s">
        <v>5059</v>
      </c>
      <c r="B5057" s="3" t="s">
        <v>4</v>
      </c>
      <c r="C5057" s="2" t="str">
        <f ca="1">IFERROR(__xludf.DUMMYFUNCTION("GOOGLETRANSLATE(A5057,""bn"",""en"")"),"We have a beautiful view from the windows of our house")</f>
        <v>We have a beautiful view from the windows of our house</v>
      </c>
    </row>
    <row r="5058" spans="1:3" ht="15.75" customHeight="1" x14ac:dyDescent="0.25">
      <c r="A5058" s="2" t="s">
        <v>5060</v>
      </c>
      <c r="B5058" s="3" t="s">
        <v>6</v>
      </c>
      <c r="C5058" s="2" t="str">
        <f ca="1">IFERROR(__xludf.DUMMYFUNCTION("GOOGLETRANSLATE(A5058,""bn"",""en"")")," Battery life requires recharging less frequently and limiting extended use while traveling or commuting")</f>
        <v xml:space="preserve"> Battery life requires recharging less frequently and limiting extended use while traveling or commuting</v>
      </c>
    </row>
    <row r="5059" spans="1:3" ht="15.75" customHeight="1" x14ac:dyDescent="0.25">
      <c r="A5059" s="2" t="s">
        <v>5061</v>
      </c>
      <c r="B5059" s="3" t="s">
        <v>2</v>
      </c>
      <c r="C5059" s="2" t="str">
        <f ca="1">IFERROR(__xludf.DUMMYFUNCTION("GOOGLETRANSLATE(A5059,""bn"",""en"")"),"No major discomfort while using")</f>
        <v>No major discomfort while using</v>
      </c>
    </row>
    <row r="5060" spans="1:3" ht="15.75" customHeight="1" x14ac:dyDescent="0.25">
      <c r="A5060" s="2" t="s">
        <v>5062</v>
      </c>
      <c r="B5060" s="3" t="s">
        <v>4</v>
      </c>
      <c r="C5060" s="2" t="str">
        <f ca="1">IFERROR(__xludf.DUMMYFUNCTION("GOOGLETRANSLATE(A5060,""bn"",""en"")"),"The grip of the brush is also quite comfortable")</f>
        <v>The grip of the brush is also quite comfortable</v>
      </c>
    </row>
    <row r="5061" spans="1:3" ht="15.75" customHeight="1" x14ac:dyDescent="0.25">
      <c r="A5061" s="2" t="s">
        <v>5063</v>
      </c>
      <c r="B5061" s="3" t="s">
        <v>6</v>
      </c>
      <c r="C5061" s="2" t="str">
        <f ca="1">IFERROR(__xludf.DUMMYFUNCTION("GOOGLETRANSLATE(A5061,""bn"",""en"")"),"The night light bulb burns out quickly requiring frequent replacement")</f>
        <v>The night light bulb burns out quickly requiring frequent replacement</v>
      </c>
    </row>
    <row r="5062" spans="1:3" ht="15.75" customHeight="1" x14ac:dyDescent="0.25">
      <c r="A5062" s="2" t="s">
        <v>5064</v>
      </c>
      <c r="B5062" s="3" t="s">
        <v>2</v>
      </c>
      <c r="C5062" s="2" t="str">
        <f ca="1">IFERROR(__xludf.DUMMYFUNCTION("GOOGLETRANSLATE(A5062,""bn"",""en"")"),"Can be kept in the freezer but hardens in extreme cold")</f>
        <v>Can be kept in the freezer but hardens in extreme cold</v>
      </c>
    </row>
    <row r="5063" spans="1:3" ht="15.75" customHeight="1" x14ac:dyDescent="0.25">
      <c r="A5063" s="2" t="s">
        <v>5065</v>
      </c>
      <c r="B5063" s="3" t="s">
        <v>4</v>
      </c>
      <c r="C5063" s="2" t="str">
        <f ca="1">IFERROR(__xludf.DUMMYFUNCTION("GOOGLETRANSLATE(A5063,""bn"",""en"")"),"The graphics card of the laptop is perfect for great gaming and graphics design")</f>
        <v>The graphics card of the laptop is perfect for great gaming and graphics design</v>
      </c>
    </row>
    <row r="5064" spans="1:3" ht="15.75" customHeight="1" x14ac:dyDescent="0.25">
      <c r="A5064" s="2" t="s">
        <v>5066</v>
      </c>
      <c r="B5064" s="3" t="s">
        <v>6</v>
      </c>
      <c r="C5064" s="2" t="str">
        <f ca="1">IFERROR(__xludf.DUMMYFUNCTION("GOOGLETRANSLATE(A5064,""bn"",""en"")"),"Smartwatch screens are easily cracked and have no durability")</f>
        <v>Smartwatch screens are easily cracked and have no durability</v>
      </c>
    </row>
    <row r="5065" spans="1:3" ht="15.75" customHeight="1" x14ac:dyDescent="0.25">
      <c r="A5065" s="2" t="s">
        <v>5067</v>
      </c>
      <c r="B5065" s="3" t="s">
        <v>2</v>
      </c>
      <c r="C5065" s="2" t="str">
        <f ca="1">IFERROR(__xludf.DUMMYFUNCTION("GOOGLETRANSLATE(A5065,""bn"",""en"")"),"The product is nice as it does not stay hot for a long time")</f>
        <v>The product is nice as it does not stay hot for a long time</v>
      </c>
    </row>
    <row r="5066" spans="1:3" ht="15.75" customHeight="1" x14ac:dyDescent="0.25">
      <c r="A5066" s="2" t="s">
        <v>5068</v>
      </c>
      <c r="B5066" s="3" t="s">
        <v>6</v>
      </c>
      <c r="C5066" s="2" t="str">
        <f ca="1">IFERROR(__xludf.DUMMYFUNCTION("GOOGLETRANSLATE(A5066,""bn"",""en"")"),"Dry shampoo leaves a powdery residue on the scalp making hair dull and lifeless")</f>
        <v>Dry shampoo leaves a powdery residue on the scalp making hair dull and lifeless</v>
      </c>
    </row>
    <row r="5067" spans="1:3" ht="15.75" customHeight="1" x14ac:dyDescent="0.25">
      <c r="A5067" s="2" t="s">
        <v>5069</v>
      </c>
      <c r="B5067" s="3" t="s">
        <v>4</v>
      </c>
      <c r="C5067" s="2" t="str">
        <f ca="1">IFERROR(__xludf.DUMMYFUNCTION("GOOGLETRANSLATE(A5067,""bn"",""en"")"),"It can be used for entertaining guests")</f>
        <v>It can be used for entertaining guests</v>
      </c>
    </row>
    <row r="5068" spans="1:3" ht="15.75" customHeight="1" x14ac:dyDescent="0.25">
      <c r="A5068" s="2" t="s">
        <v>5070</v>
      </c>
      <c r="B5068" s="3" t="s">
        <v>4</v>
      </c>
      <c r="C5068" s="2" t="str">
        <f ca="1">IFERROR(__xludf.DUMMYFUNCTION("GOOGLETRANSLATE(A5068,""bn"",""en"")"),"Easy to manage")</f>
        <v>Easy to manage</v>
      </c>
    </row>
    <row r="5069" spans="1:3" ht="15.75" customHeight="1" x14ac:dyDescent="0.25">
      <c r="A5069" s="2" t="s">
        <v>5071</v>
      </c>
      <c r="B5069" s="3" t="s">
        <v>6</v>
      </c>
      <c r="C5069" s="2" t="str">
        <f ca="1">IFERROR(__xludf.DUMMYFUNCTION("GOOGLETRANSLATE(A5069,""bn"",""en"")"),"The smartwatch's touchscreen becomes unresponsive and cannot navigate")</f>
        <v>The smartwatch's touchscreen becomes unresponsive and cannot navigate</v>
      </c>
    </row>
    <row r="5070" spans="1:3" ht="15.75" customHeight="1" x14ac:dyDescent="0.25">
      <c r="A5070" s="2" t="s">
        <v>5072</v>
      </c>
      <c r="B5070" s="3" t="s">
        <v>4</v>
      </c>
      <c r="C5070" s="2" t="str">
        <f ca="1">IFERROR(__xludf.DUMMYFUNCTION("GOOGLETRANSLATE(A5070,""bn"",""en"")"),"Color does not fade and stays like new even after regular washing")</f>
        <v>Color does not fade and stays like new even after regular washing</v>
      </c>
    </row>
    <row r="5071" spans="1:3" ht="15.75" customHeight="1" x14ac:dyDescent="0.25">
      <c r="A5071" s="2" t="s">
        <v>5073</v>
      </c>
      <c r="B5071" s="3" t="s">
        <v>2</v>
      </c>
      <c r="C5071" s="2" t="str">
        <f ca="1">IFERROR(__xludf.DUMMYFUNCTION("GOOGLETRANSLATE(A5071,""bn"",""en"")"),"There will be no unwanted marks after use")</f>
        <v>There will be no unwanted marks after use</v>
      </c>
    </row>
    <row r="5072" spans="1:3" ht="15.75" customHeight="1" x14ac:dyDescent="0.25">
      <c r="A5072" s="2" t="s">
        <v>5074</v>
      </c>
      <c r="B5072" s="3" t="s">
        <v>6</v>
      </c>
      <c r="C5072" s="2" t="str">
        <f ca="1">IFERROR(__xludf.DUMMYFUNCTION("GOOGLETRANSLATE(A5072,""bn"",""en"")"),"The charging cables of the power bank easily fall into the connectors, creating a risk of electrical shorts")</f>
        <v>The charging cables of the power bank easily fall into the connectors, creating a risk of electrical shorts</v>
      </c>
    </row>
    <row r="5073" spans="1:3" ht="15.75" customHeight="1" x14ac:dyDescent="0.25">
      <c r="A5073" s="2" t="s">
        <v>5075</v>
      </c>
      <c r="B5073" s="3" t="s">
        <v>4</v>
      </c>
      <c r="C5073" s="2" t="str">
        <f ca="1">IFERROR(__xludf.DUMMYFUNCTION("GOOGLETRANSLATE(A5073,""bn"",""en"")"),"The finish of the watch is very nice")</f>
        <v>The finish of the watch is very nice</v>
      </c>
    </row>
    <row r="5074" spans="1:3" ht="15.75" customHeight="1" x14ac:dyDescent="0.25">
      <c r="A5074" s="2" t="s">
        <v>5076</v>
      </c>
      <c r="B5074" s="3" t="s">
        <v>4</v>
      </c>
      <c r="C5074" s="2" t="str">
        <f ca="1">IFERROR(__xludf.DUMMYFUNCTION("GOOGLETRANSLATE(A5074,""bn"",""en"")"),"Very nice mouse")</f>
        <v>Very nice mouse</v>
      </c>
    </row>
    <row r="5075" spans="1:3" ht="15.75" customHeight="1" x14ac:dyDescent="0.25">
      <c r="A5075" s="2" t="s">
        <v>5077</v>
      </c>
      <c r="B5075" s="3" t="s">
        <v>4</v>
      </c>
      <c r="C5075" s="2" t="str">
        <f ca="1">IFERROR(__xludf.DUMMYFUNCTION("GOOGLETRANSLATE(A5075,""bn"",""en"")"),"This body wash is rich in natural ingredients")</f>
        <v>This body wash is rich in natural ingredients</v>
      </c>
    </row>
    <row r="5076" spans="1:3" ht="15.75" customHeight="1" x14ac:dyDescent="0.25">
      <c r="A5076" s="2" t="s">
        <v>5078</v>
      </c>
      <c r="B5076" s="3" t="s">
        <v>4</v>
      </c>
      <c r="C5076" s="2" t="str">
        <f ca="1">IFERROR(__xludf.DUMMYFUNCTION("GOOGLETRANSLATE(A5076,""bn"",""en"")"),"The scent of the candle is very relaxing and long lasting")</f>
        <v>The scent of the candle is very relaxing and long lasting</v>
      </c>
    </row>
    <row r="5077" spans="1:3" ht="15.75" customHeight="1" x14ac:dyDescent="0.25">
      <c r="A5077" s="2" t="s">
        <v>5079</v>
      </c>
      <c r="B5077" s="3" t="s">
        <v>6</v>
      </c>
      <c r="C5077" s="2" t="str">
        <f ca="1">IFERROR(__xludf.DUMMYFUNCTION("GOOGLETRANSLATE(A5077,""bn"",""en"")"),"Its seams are uneven and puckered giving it a sloppy and unfinished look")</f>
        <v>Its seams are uneven and puckered giving it a sloppy and unfinished look</v>
      </c>
    </row>
    <row r="5078" spans="1:3" ht="15.75" customHeight="1" x14ac:dyDescent="0.25">
      <c r="A5078" s="2" t="s">
        <v>5080</v>
      </c>
      <c r="B5078" s="3" t="s">
        <v>6</v>
      </c>
      <c r="C5078" s="2" t="str">
        <f ca="1">IFERROR(__xludf.DUMMYFUNCTION("GOOGLETRANSLATE(A5078,""bn"",""en"")"),"The door handle feels loose and wobbly which indicates poor build quality")</f>
        <v>The door handle feels loose and wobbly which indicates poor build quality</v>
      </c>
    </row>
    <row r="5079" spans="1:3" ht="15.75" customHeight="1" x14ac:dyDescent="0.25">
      <c r="A5079" s="2" t="s">
        <v>5081</v>
      </c>
      <c r="B5079" s="3" t="s">
        <v>6</v>
      </c>
      <c r="C5079" s="2" t="str">
        <f ca="1">IFERROR(__xludf.DUMMYFUNCTION("GOOGLETRANSLATE(A5079,""bn"",""en"")"),"The scent of the soap bar was very strong and lingered on my skin")</f>
        <v>The scent of the soap bar was very strong and lingered on my skin</v>
      </c>
    </row>
    <row r="5080" spans="1:3" ht="15.75" customHeight="1" x14ac:dyDescent="0.25">
      <c r="A5080" s="2" t="s">
        <v>5082</v>
      </c>
      <c r="B5080" s="3" t="s">
        <v>6</v>
      </c>
      <c r="C5080" s="2" t="str">
        <f ca="1">IFERROR(__xludf.DUMMYFUNCTION("GOOGLETRANSLATE(A5080,""bn"",""en"")"),"Avoid these products with cheap materials")</f>
        <v>Avoid these products with cheap materials</v>
      </c>
    </row>
    <row r="5081" spans="1:3" ht="15.75" customHeight="1" x14ac:dyDescent="0.25">
      <c r="A5081" s="2" t="s">
        <v>5083</v>
      </c>
      <c r="B5081" s="3" t="s">
        <v>2</v>
      </c>
      <c r="C5081" s="2" t="str">
        <f ca="1">IFERROR(__xludf.DUMMYFUNCTION("GOOGLETRANSLATE(A5081,""bn"",""en"")"),"The color isn't exactly what I expected but it's wearable")</f>
        <v>The color isn't exactly what I expected but it's wearable</v>
      </c>
    </row>
    <row r="5082" spans="1:3" ht="15.75" customHeight="1" x14ac:dyDescent="0.25">
      <c r="A5082" s="2" t="s">
        <v>5084</v>
      </c>
      <c r="B5082" s="3" t="s">
        <v>2</v>
      </c>
      <c r="C5082" s="2" t="str">
        <f ca="1">IFERROR(__xludf.DUMMYFUNCTION("GOOGLETRANSLATE(A5082,""bn"",""en"")"),"Not as beautiful as expected")</f>
        <v>Not as beautiful as expected</v>
      </c>
    </row>
    <row r="5083" spans="1:3" ht="15.75" customHeight="1" x14ac:dyDescent="0.25">
      <c r="A5083" s="2" t="s">
        <v>5085</v>
      </c>
      <c r="B5083" s="3" t="s">
        <v>6</v>
      </c>
      <c r="C5083" s="2" t="str">
        <f ca="1">IFERROR(__xludf.DUMMYFUNCTION("GOOGLETRANSLATE(A5083,""bn"",""en"")")," The material tears easily which left me concerned about the safety of my device while traveling")</f>
        <v xml:space="preserve"> The material tears easily which left me concerned about the safety of my device while traveling</v>
      </c>
    </row>
    <row r="5084" spans="1:3" ht="15.75" customHeight="1" x14ac:dyDescent="0.25">
      <c r="A5084" s="2" t="s">
        <v>5086</v>
      </c>
      <c r="B5084" s="3" t="s">
        <v>6</v>
      </c>
      <c r="C5084" s="2" t="str">
        <f ca="1">IFERROR(__xludf.DUMMYFUNCTION("GOOGLETRANSLATE(A5084,""bn"",""en"")"),"Continuous errors are unreliable earbuds")</f>
        <v>Continuous errors are unreliable earbuds</v>
      </c>
    </row>
    <row r="5085" spans="1:3" ht="15.75" customHeight="1" x14ac:dyDescent="0.25">
      <c r="A5085" s="2" t="s">
        <v>5087</v>
      </c>
      <c r="B5085" s="3" t="s">
        <v>2</v>
      </c>
      <c r="C5085" s="2" t="str">
        <f ca="1">IFERROR(__xludf.DUMMYFUNCTION("GOOGLETRANSLATE(A5085,""bn"",""en"")"),"The serving bowl is large in size but heavy")</f>
        <v>The serving bowl is large in size but heavy</v>
      </c>
    </row>
    <row r="5086" spans="1:3" ht="15.75" customHeight="1" x14ac:dyDescent="0.25">
      <c r="A5086" s="2" t="s">
        <v>5088</v>
      </c>
      <c r="B5086" s="3" t="s">
        <v>6</v>
      </c>
      <c r="C5086" s="2" t="str">
        <f ca="1">IFERROR(__xludf.DUMMYFUNCTION("GOOGLETRANSLATE(A5086,""bn"",""en"")"),"The item had a rough surface that was prone to scratches and cuts")</f>
        <v>The item had a rough surface that was prone to scratches and cuts</v>
      </c>
    </row>
    <row r="5087" spans="1:3" ht="15.75" customHeight="1" x14ac:dyDescent="0.25">
      <c r="A5087" s="2" t="s">
        <v>5089</v>
      </c>
      <c r="B5087" s="3" t="s">
        <v>2</v>
      </c>
      <c r="C5087" s="2" t="str">
        <f ca="1">IFERROR(__xludf.DUMMYFUNCTION("GOOGLETRANSLATE(A5087,""bn"",""en"")"),"Price is low but not suitable for long term use")</f>
        <v>Price is low but not suitable for long term use</v>
      </c>
    </row>
    <row r="5088" spans="1:3" ht="15.75" customHeight="1" x14ac:dyDescent="0.25">
      <c r="A5088" s="2" t="s">
        <v>5090</v>
      </c>
      <c r="B5088" s="3" t="s">
        <v>2</v>
      </c>
      <c r="C5088" s="2" t="str">
        <f ca="1">IFERROR(__xludf.DUMMYFUNCTION("GOOGLETRANSLATE(A5088,""bn"",""en"")"),"The display of the TV is very good and the colors are displayed beautifully ")</f>
        <v xml:space="preserve">The display of the TV is very good and the colors are displayed beautifully </v>
      </c>
    </row>
    <row r="5089" spans="1:3" ht="15.75" customHeight="1" x14ac:dyDescent="0.25">
      <c r="A5089" s="2" t="s">
        <v>5091</v>
      </c>
      <c r="B5089" s="3" t="s">
        <v>4</v>
      </c>
      <c r="C5089" s="2" t="str">
        <f ca="1">IFERROR(__xludf.DUMMYFUNCTION("GOOGLETRANSLATE(A5089,""bn"",""en"")"),"This shampoo helps in maintaining hair health")</f>
        <v>This shampoo helps in maintaining hair health</v>
      </c>
    </row>
    <row r="5090" spans="1:3" ht="15.75" customHeight="1" x14ac:dyDescent="0.25">
      <c r="A5090" s="2" t="s">
        <v>5092</v>
      </c>
      <c r="B5090" s="3" t="s">
        <v>4</v>
      </c>
      <c r="C5090" s="2" t="str">
        <f ca="1">IFERROR(__xludf.DUMMYFUNCTION("GOOGLETRANSLATE(A5090,""bn"",""en"")"),"I know better than that")</f>
        <v>I know better than that</v>
      </c>
    </row>
    <row r="5091" spans="1:3" ht="15.75" customHeight="1" x14ac:dyDescent="0.25">
      <c r="A5091" s="2" t="s">
        <v>5093</v>
      </c>
      <c r="B5091" s="3" t="s">
        <v>2</v>
      </c>
      <c r="C5091" s="2" t="str">
        <f ca="1">IFERROR(__xludf.DUMMYFUNCTION("GOOGLETRANSLATE(A5091,""bn"",""en"")"),"Heat retention is normal")</f>
        <v>Heat retention is normal</v>
      </c>
    </row>
    <row r="5092" spans="1:3" ht="15.75" customHeight="1" x14ac:dyDescent="0.25">
      <c r="A5092" s="2" t="s">
        <v>5094</v>
      </c>
      <c r="B5092" s="3" t="s">
        <v>4</v>
      </c>
      <c r="C5092" s="2" t="str">
        <f ca="1">IFERROR(__xludf.DUMMYFUNCTION("GOOGLETRANSLATE(A5092,""bn"",""en"")"),"It is a very natural and fast fan")</f>
        <v>It is a very natural and fast fan</v>
      </c>
    </row>
    <row r="5093" spans="1:3" ht="15.75" customHeight="1" x14ac:dyDescent="0.25">
      <c r="A5093" s="2" t="s">
        <v>5095</v>
      </c>
      <c r="B5093" s="3" t="s">
        <v>6</v>
      </c>
      <c r="C5093" s="2" t="str">
        <f ca="1">IFERROR(__xludf.DUMMYFUNCTION("GOOGLETRANSLATE(A5093,""bn"",""en"")")," The cream relieves ankle discomfort and stiffness")</f>
        <v xml:space="preserve"> The cream relieves ankle discomfort and stiffness</v>
      </c>
    </row>
    <row r="5094" spans="1:3" ht="15.75" customHeight="1" x14ac:dyDescent="0.25">
      <c r="A5094" s="2" t="s">
        <v>5096</v>
      </c>
      <c r="B5094" s="3" t="s">
        <v>2</v>
      </c>
      <c r="C5094" s="2" t="str">
        <f ca="1">IFERROR(__xludf.DUMMYFUNCTION("GOOGLETRANSLATE(A5094,""bn"",""en"")"),"will smooth easily")</f>
        <v>will smooth easily</v>
      </c>
    </row>
    <row r="5095" spans="1:3" ht="15.75" customHeight="1" x14ac:dyDescent="0.25">
      <c r="A5095" s="2" t="s">
        <v>5097</v>
      </c>
      <c r="B5095" s="3" t="s">
        <v>4</v>
      </c>
      <c r="C5095" s="2" t="str">
        <f ca="1">IFERROR(__xludf.DUMMYFUNCTION("GOOGLETRANSLATE(A5095,""bn"",""en"")"),"Car air conditioner cools very quickly")</f>
        <v>Car air conditioner cools very quickly</v>
      </c>
    </row>
    <row r="5096" spans="1:3" ht="15.75" customHeight="1" x14ac:dyDescent="0.25">
      <c r="A5096" s="2" t="s">
        <v>5098</v>
      </c>
      <c r="B5096" s="3" t="s">
        <v>4</v>
      </c>
      <c r="C5096" s="2" t="str">
        <f ca="1">IFERROR(__xludf.DUMMYFUNCTION("GOOGLETRANSLATE(A5096,""bn"",""en"")"),"The bristles of the brush are soft and gentle")</f>
        <v>The bristles of the brush are soft and gentle</v>
      </c>
    </row>
    <row r="5097" spans="1:3" ht="15.75" customHeight="1" x14ac:dyDescent="0.25">
      <c r="A5097" s="2" t="s">
        <v>5099</v>
      </c>
      <c r="B5097" s="3" t="s">
        <v>2</v>
      </c>
      <c r="C5097" s="2" t="str">
        <f ca="1">IFERROR(__xludf.DUMMYFUNCTION("GOOGLETRANSLATE(A5097,""bn"",""en"")"),"Values ​​are ok not outstanding")</f>
        <v>Values ​​are ok not outstanding</v>
      </c>
    </row>
    <row r="5098" spans="1:3" ht="15.75" customHeight="1" x14ac:dyDescent="0.25">
      <c r="A5098" s="2" t="s">
        <v>5100</v>
      </c>
      <c r="B5098" s="3" t="s">
        <v>4</v>
      </c>
      <c r="C5098" s="2" t="str">
        <f ca="1">IFERROR(__xludf.DUMMYFUNCTION("GOOGLETRANSLATE(A5098,""bn"",""en"")"),"The bookshelf is stylish and functional")</f>
        <v>The bookshelf is stylish and functional</v>
      </c>
    </row>
    <row r="5099" spans="1:3" ht="15.75" customHeight="1" x14ac:dyDescent="0.25">
      <c r="A5099" s="2" t="s">
        <v>5101</v>
      </c>
      <c r="B5099" s="3" t="s">
        <v>2</v>
      </c>
      <c r="C5099" s="2" t="str">
        <f ca="1">IFERROR(__xludf.DUMMYFUNCTION("GOOGLETRANSLATE(A5099,""bn"",""en"")"),"Mean for expected values ​​as fit")</f>
        <v>Mean for expected values ​​as fit</v>
      </c>
    </row>
    <row r="5100" spans="1:3" ht="15.75" customHeight="1" x14ac:dyDescent="0.25">
      <c r="A5100" s="2" t="s">
        <v>5102</v>
      </c>
      <c r="B5100" s="3" t="s">
        <v>2</v>
      </c>
      <c r="C5100" s="2" t="str">
        <f ca="1">IFERROR(__xludf.DUMMYFUNCTION("GOOGLETRANSLATE(A5100,""bn"",""en"")"),"The drink is quite tasty but does not taste good when it is cold")</f>
        <v>The drink is quite tasty but does not taste good when it is cold</v>
      </c>
    </row>
    <row r="5101" spans="1:3" ht="15.75" customHeight="1" x14ac:dyDescent="0.25">
      <c r="A5101" s="2" t="s">
        <v>5103</v>
      </c>
      <c r="B5101" s="3" t="s">
        <v>6</v>
      </c>
      <c r="C5101" s="2" t="str">
        <f ca="1">IFERROR(__xludf.DUMMYFUNCTION("GOOGLETRANSLATE(A5101,""bn"",""en"")"),"Electric scooter tires deflate quickly and require frequent pumping")</f>
        <v>Electric scooter tires deflate quickly and require frequent pumping</v>
      </c>
    </row>
    <row r="5102" spans="1:3" ht="15.75" customHeight="1" x14ac:dyDescent="0.25">
      <c r="A5102" s="2" t="s">
        <v>5104</v>
      </c>
      <c r="B5102" s="3" t="s">
        <v>4</v>
      </c>
      <c r="C5102" s="2" t="str">
        <f ca="1">IFERROR(__xludf.DUMMYFUNCTION("GOOGLETRANSLATE(A5102,""bn"",""en"")"),"It is best to get relief from summer heat")</f>
        <v>It is best to get relief from summer heat</v>
      </c>
    </row>
    <row r="5103" spans="1:3" ht="15.75" customHeight="1" x14ac:dyDescent="0.25">
      <c r="A5103" s="2" t="s">
        <v>5105</v>
      </c>
      <c r="B5103" s="3" t="s">
        <v>4</v>
      </c>
      <c r="C5103" s="2" t="str">
        <f ca="1">IFERROR(__xludf.DUMMYFUNCTION("GOOGLETRANSLATE(A5103,""bn"",""en"")"),"Better camera than the Staml camera I bought recently")</f>
        <v>Better camera than the Staml camera I bought recently</v>
      </c>
    </row>
    <row r="5104" spans="1:3" ht="15.75" customHeight="1" x14ac:dyDescent="0.25">
      <c r="A5104" s="2" t="s">
        <v>5106</v>
      </c>
      <c r="B5104" s="3" t="s">
        <v>2</v>
      </c>
      <c r="C5104" s="2" t="str">
        <f ca="1">IFERROR(__xludf.DUMMYFUNCTION("GOOGLETRANSLATE(A5104,""bn"",""en"")"),"Arrived on time but some parts were missing")</f>
        <v>Arrived on time but some parts were missing</v>
      </c>
    </row>
    <row r="5105" spans="1:3" ht="15.75" customHeight="1" x14ac:dyDescent="0.25">
      <c r="A5105" s="2" t="s">
        <v>5107</v>
      </c>
      <c r="B5105" s="3" t="s">
        <v>4</v>
      </c>
      <c r="C5105" s="2" t="str">
        <f ca="1">IFERROR(__xludf.DUMMYFUNCTION("GOOGLETRANSLATE(A5105,""bn"",""en"")"),"This is a fast fan")</f>
        <v>This is a fast fan</v>
      </c>
    </row>
    <row r="5106" spans="1:3" ht="15.75" customHeight="1" x14ac:dyDescent="0.25">
      <c r="A5106" s="2" t="s">
        <v>5108</v>
      </c>
      <c r="B5106" s="3" t="s">
        <v>2</v>
      </c>
      <c r="C5106" s="2" t="str">
        <f ca="1">IFERROR(__xludf.DUMMYFUNCTION("GOOGLETRANSLATE(A5106,""bn"",""en"")"),"Power consumption seems a bit high")</f>
        <v>Power consumption seems a bit high</v>
      </c>
    </row>
    <row r="5107" spans="1:3" ht="15.75" customHeight="1" x14ac:dyDescent="0.25">
      <c r="A5107" s="2" t="s">
        <v>5109</v>
      </c>
      <c r="B5107" s="3" t="s">
        <v>6</v>
      </c>
      <c r="C5107" s="2" t="str">
        <f ca="1">IFERROR(__xludf.DUMMYFUNCTION("GOOGLETRANSLATE(A5107,""bn"",""en"")"),"After only a few days of use, the dandruff and scalp irritation worsened with each wash")</f>
        <v>After only a few days of use, the dandruff and scalp irritation worsened with each wash</v>
      </c>
    </row>
    <row r="5108" spans="1:3" ht="15.75" customHeight="1" x14ac:dyDescent="0.25">
      <c r="A5108" s="2" t="s">
        <v>5110</v>
      </c>
      <c r="B5108" s="3" t="s">
        <v>4</v>
      </c>
      <c r="C5108" s="2" t="str">
        <f ca="1">IFERROR(__xludf.DUMMYFUNCTION("GOOGLETRANSLATE(A5108,""bn"",""en"")"),"When it comes to ratings I would give it a very impressive comfortable fit")</f>
        <v>When it comes to ratings I would give it a very impressive comfortable fit</v>
      </c>
    </row>
    <row r="5109" spans="1:3" ht="15.75" customHeight="1" x14ac:dyDescent="0.25">
      <c r="A5109" s="2" t="s">
        <v>5111</v>
      </c>
      <c r="B5109" s="3" t="s">
        <v>4</v>
      </c>
      <c r="C5109" s="2" t="str">
        <f ca="1">IFERROR(__xludf.DUMMYFUNCTION("GOOGLETRANSLATE(A5109,""bn"",""en"")")," It's totally ok Alhamdulillah Cellar is very good to use")</f>
        <v xml:space="preserve"> It's totally ok Alhamdulillah Cellar is very good to use</v>
      </c>
    </row>
    <row r="5110" spans="1:3" ht="15.75" customHeight="1" x14ac:dyDescent="0.25">
      <c r="A5110" s="2" t="s">
        <v>5112</v>
      </c>
      <c r="B5110" s="3" t="s">
        <v>4</v>
      </c>
      <c r="C5110" s="2" t="str">
        <f ca="1">IFERROR(__xludf.DUMMYFUNCTION("GOOGLETRANSLATE(A5110,""bn"",""en"")"),"The stitching of the sheet is very strong and perfect with no loose threads")</f>
        <v>The stitching of the sheet is very strong and perfect with no loose threads</v>
      </c>
    </row>
    <row r="5111" spans="1:3" ht="15.75" customHeight="1" x14ac:dyDescent="0.25">
      <c r="A5111" s="2" t="s">
        <v>5113</v>
      </c>
      <c r="B5111" s="3" t="s">
        <v>2</v>
      </c>
      <c r="C5111" s="2" t="str">
        <f ca="1">IFERROR(__xludf.DUMMYFUNCTION("GOOGLETRANSLATE(A5111,""bn"",""en"")"),"Plain Jelly Rolls")</f>
        <v>Plain Jelly Rolls</v>
      </c>
    </row>
    <row r="5112" spans="1:3" ht="15.75" customHeight="1" x14ac:dyDescent="0.25">
      <c r="A5112" s="2" t="s">
        <v>5114</v>
      </c>
      <c r="B5112" s="3" t="s">
        <v>4</v>
      </c>
      <c r="C5112" s="2" t="str">
        <f ca="1">IFERROR(__xludf.DUMMYFUNCTION("GOOGLETRANSLATE(A5112,""bn"",""en"")"),"The doll is light so my daughter can carry it easily")</f>
        <v>The doll is light so my daughter can carry it easily</v>
      </c>
    </row>
    <row r="5113" spans="1:3" ht="15.75" customHeight="1" x14ac:dyDescent="0.25">
      <c r="A5113" s="2" t="s">
        <v>5115</v>
      </c>
      <c r="B5113" s="3" t="s">
        <v>4</v>
      </c>
      <c r="C5113" s="2" t="str">
        <f ca="1">IFERROR(__xludf.DUMMYFUNCTION("GOOGLETRANSLATE(A5113,""bn"",""en"")"),"The design of the new bag is very strong and attractive")</f>
        <v>The design of the new bag is very strong and attractive</v>
      </c>
    </row>
    <row r="5114" spans="1:3" ht="15.75" customHeight="1" x14ac:dyDescent="0.25">
      <c r="A5114" s="2" t="s">
        <v>5116</v>
      </c>
      <c r="B5114" s="3" t="s">
        <v>4</v>
      </c>
      <c r="C5114" s="2" t="str">
        <f ca="1">IFERROR(__xludf.DUMMYFUNCTION("GOOGLETRANSLATE(A5114,""bn"",""en"")"),"The child is very happy with his new book")</f>
        <v>The child is very happy with his new book</v>
      </c>
    </row>
    <row r="5115" spans="1:3" ht="15.75" customHeight="1" x14ac:dyDescent="0.25">
      <c r="A5115" s="2" t="s">
        <v>5117</v>
      </c>
      <c r="B5115" s="3" t="s">
        <v>2</v>
      </c>
      <c r="C5115" s="2" t="str">
        <f ca="1">IFERROR(__xludf.DUMMYFUNCTION("GOOGLETRANSLATE(A5115,""bn"",""en"")"),"Hope the handle is light and easy to carry")</f>
        <v>Hope the handle is light and easy to carry</v>
      </c>
    </row>
    <row r="5116" spans="1:3" ht="15.75" customHeight="1" x14ac:dyDescent="0.25">
      <c r="A5116" s="2" t="s">
        <v>5118</v>
      </c>
      <c r="B5116" s="3" t="s">
        <v>4</v>
      </c>
      <c r="C5116" s="2" t="str">
        <f ca="1">IFERROR(__xludf.DUMMYFUNCTION("GOOGLETRANSLATE(A5116,""bn"",""en"")"),"I am very happy using it")</f>
        <v>I am very happy using it</v>
      </c>
    </row>
    <row r="5117" spans="1:3" ht="15.75" customHeight="1" x14ac:dyDescent="0.25">
      <c r="A5117" s="2" t="s">
        <v>5119</v>
      </c>
      <c r="B5117" s="3" t="s">
        <v>2</v>
      </c>
      <c r="C5117" s="2" t="str">
        <f ca="1">IFERROR(__xludf.DUMMYFUNCTION("GOOGLETRANSLATE(A5117,""bn"",""en"")"),"The size does not exactly match the expected size but is acceptable")</f>
        <v>The size does not exactly match the expected size but is acceptable</v>
      </c>
    </row>
    <row r="5118" spans="1:3" ht="15.75" customHeight="1" x14ac:dyDescent="0.25">
      <c r="A5118" s="2" t="s">
        <v>5120</v>
      </c>
      <c r="B5118" s="3" t="s">
        <v>6</v>
      </c>
      <c r="C5118" s="2" t="str">
        <f ca="1">IFERROR(__xludf.DUMMYFUNCTION("GOOGLETRANSLATE(A5118,""bn"",""en"")"),"The packaging does not keep the coffee fresh resulting in a stale brew")</f>
        <v>The packaging does not keep the coffee fresh resulting in a stale brew</v>
      </c>
    </row>
    <row r="5119" spans="1:3" ht="15.75" customHeight="1" x14ac:dyDescent="0.25">
      <c r="A5119" s="2" t="s">
        <v>5121</v>
      </c>
      <c r="B5119" s="3" t="s">
        <v>6</v>
      </c>
      <c r="C5119" s="2" t="str">
        <f ca="1">IFERROR(__xludf.DUMMYFUNCTION("GOOGLETRANSLATE(A5119,""bn"",""en"")"),"Unreliable heating elements are often faulty")</f>
        <v>Unreliable heating elements are often faulty</v>
      </c>
    </row>
    <row r="5120" spans="1:3" ht="15.75" customHeight="1" x14ac:dyDescent="0.25">
      <c r="A5120" s="2" t="s">
        <v>5122</v>
      </c>
      <c r="B5120" s="3" t="s">
        <v>2</v>
      </c>
      <c r="C5120" s="2" t="str">
        <f ca="1">IFERROR(__xludf.DUMMYFUNCTION("GOOGLETRANSLATE(A5120,""bn"",""en"")"),"Not entirely happy with this")</f>
        <v>Not entirely happy with this</v>
      </c>
    </row>
    <row r="5121" spans="1:3" ht="15.75" customHeight="1" x14ac:dyDescent="0.25">
      <c r="A5121" s="2" t="s">
        <v>5123</v>
      </c>
      <c r="B5121" s="3" t="s">
        <v>6</v>
      </c>
      <c r="C5121" s="2" t="str">
        <f ca="1">IFERROR(__xludf.DUMMYFUNCTION("GOOGLETRANSLATE(A5121,""bn"",""en"")"),"The wardrobe's assembly instructions are vague and confusing making it challenging to put together")</f>
        <v>The wardrobe's assembly instructions are vague and confusing making it challenging to put together</v>
      </c>
    </row>
    <row r="5122" spans="1:3" ht="15.75" customHeight="1" x14ac:dyDescent="0.25">
      <c r="A5122" s="2" t="s">
        <v>5124</v>
      </c>
      <c r="B5122" s="3" t="s">
        <v>2</v>
      </c>
      <c r="C5122" s="2" t="str">
        <f ca="1">IFERROR(__xludf.DUMMYFUNCTION("GOOGLETRANSLATE(A5122,""bn"",""en"")"),"Light weight but feels flimsy because of it")</f>
        <v>Light weight but feels flimsy because of it</v>
      </c>
    </row>
    <row r="5123" spans="1:3" ht="15.75" customHeight="1" x14ac:dyDescent="0.25">
      <c r="A5123" s="2" t="s">
        <v>5125</v>
      </c>
      <c r="B5123" s="3" t="s">
        <v>2</v>
      </c>
      <c r="C5123" s="2" t="str">
        <f ca="1">IFERROR(__xludf.DUMMYFUNCTION("GOOGLETRANSLATE(A5123,""bn"",""en"")"),"Fair quality for the price")</f>
        <v>Fair quality for the price</v>
      </c>
    </row>
    <row r="5124" spans="1:3" ht="15.75" customHeight="1" x14ac:dyDescent="0.25">
      <c r="A5124" s="2" t="s">
        <v>5126</v>
      </c>
      <c r="B5124" s="3" t="s">
        <v>4</v>
      </c>
      <c r="C5124" s="2" t="str">
        <f ca="1">IFERROR(__xludf.DUMMYFUNCTION("GOOGLETRANSLATE(A5124,""bn"",""en"")"),"AC's eco mode suits my environmental awareness I now enjoy comfort with less power consumption")</f>
        <v>AC's eco mode suits my environmental awareness I now enjoy comfort with less power consumption</v>
      </c>
    </row>
    <row r="5125" spans="1:3" ht="15.75" customHeight="1" x14ac:dyDescent="0.25">
      <c r="A5125" s="2" t="s">
        <v>5127</v>
      </c>
      <c r="B5125" s="3" t="s">
        <v>6</v>
      </c>
      <c r="C5125" s="2" t="str">
        <f ca="1">IFERROR(__xludf.DUMMYFUNCTION("GOOGLETRANSLATE(A5125,""bn"",""en"")"),"Fabric causes itching and irritation despite being marketed as suitable for sensitive skin")</f>
        <v>Fabric causes itching and irritation despite being marketed as suitable for sensitive skin</v>
      </c>
    </row>
    <row r="5126" spans="1:3" ht="15.75" customHeight="1" x14ac:dyDescent="0.25">
      <c r="A5126" s="2" t="s">
        <v>5128</v>
      </c>
      <c r="B5126" s="3" t="s">
        <v>6</v>
      </c>
      <c r="C5126" s="2" t="str">
        <f ca="1">IFERROR(__xludf.DUMMYFUNCTION("GOOGLETRANSLATE(A5126,""bn"",""en"")")," The remote control had sticky buttons that made it difficult to navigate through the menus")</f>
        <v xml:space="preserve"> The remote control had sticky buttons that made it difficult to navigate through the menus</v>
      </c>
    </row>
    <row r="5127" spans="1:3" ht="15.75" customHeight="1" x14ac:dyDescent="0.25">
      <c r="A5127" s="2" t="s">
        <v>5129</v>
      </c>
      <c r="B5127" s="3" t="s">
        <v>4</v>
      </c>
      <c r="C5127" s="2" t="str">
        <f ca="1">IFERROR(__xludf.DUMMYFUNCTION("GOOGLETRANSLATE(A5127,""bn"",""en"")"),"Every time I drink this tea I am filled with new energy")</f>
        <v>Every time I drink this tea I am filled with new energy</v>
      </c>
    </row>
    <row r="5128" spans="1:3" ht="15.75" customHeight="1" x14ac:dyDescent="0.25">
      <c r="A5128" s="2" t="s">
        <v>5130</v>
      </c>
      <c r="B5128" s="3" t="s">
        <v>4</v>
      </c>
      <c r="C5128" s="2" t="str">
        <f ca="1">IFERROR(__xludf.DUMMYFUNCTION("GOOGLETRANSLATE(A5128,""bn"",""en"")"),"Great holder")</f>
        <v>Great holder</v>
      </c>
    </row>
    <row r="5129" spans="1:3" ht="15.75" customHeight="1" x14ac:dyDescent="0.25">
      <c r="A5129" s="2" t="s">
        <v>5131</v>
      </c>
      <c r="B5129" s="3" t="s">
        <v>2</v>
      </c>
      <c r="C5129" s="2" t="str">
        <f ca="1">IFERROR(__xludf.DUMMYFUNCTION("GOOGLETRANSLATE(A5129,""bn"",""en"")"),"Great product with some flaws")</f>
        <v>Great product with some flaws</v>
      </c>
    </row>
    <row r="5130" spans="1:3" ht="15.75" customHeight="1" x14ac:dyDescent="0.25">
      <c r="A5130" s="2" t="s">
        <v>5132</v>
      </c>
      <c r="B5130" s="3" t="s">
        <v>6</v>
      </c>
      <c r="C5130" s="2" t="str">
        <f ca="1">IFERROR(__xludf.DUMMYFUNCTION("GOOGLETRANSLATE(A5130,""bn"",""en"")")," The exterior dents very easily even with minimal impact")</f>
        <v xml:space="preserve"> The exterior dents very easily even with minimal impact</v>
      </c>
    </row>
    <row r="5131" spans="1:3" ht="15.75" customHeight="1" x14ac:dyDescent="0.25">
      <c r="A5131" s="2" t="s">
        <v>5133</v>
      </c>
      <c r="B5131" s="3" t="s">
        <v>4</v>
      </c>
      <c r="C5131" s="2" t="str">
        <f ca="1">IFERROR(__xludf.DUMMYFUNCTION("GOOGLETRANSLATE(A5131,""bn"",""en"")"),"These home cushions look beautiful and comfortable")</f>
        <v>These home cushions look beautiful and comfortable</v>
      </c>
    </row>
    <row r="5132" spans="1:3" ht="15.75" customHeight="1" x14ac:dyDescent="0.25">
      <c r="A5132" s="2" t="s">
        <v>5134</v>
      </c>
      <c r="B5132" s="3" t="s">
        <v>6</v>
      </c>
      <c r="C5132" s="2" t="str">
        <f ca="1">IFERROR(__xludf.DUMMYFUNCTION("GOOGLETRANSLATE(A5132,""bn"",""en"")"),"The painting set lacked proper ventilation precautions for toxic fumes")</f>
        <v>The painting set lacked proper ventilation precautions for toxic fumes</v>
      </c>
    </row>
    <row r="5133" spans="1:3" ht="15.75" customHeight="1" x14ac:dyDescent="0.25">
      <c r="A5133" s="2" t="s">
        <v>5135</v>
      </c>
      <c r="B5133" s="3" t="s">
        <v>6</v>
      </c>
      <c r="C5133" s="2" t="str">
        <f ca="1">IFERROR(__xludf.DUMMYFUNCTION("GOOGLETRANSLATE(A5133,""bn"",""en"")"),"Lack of cleanliness hampers the book's appeal")</f>
        <v>Lack of cleanliness hampers the book's appeal</v>
      </c>
    </row>
    <row r="5134" spans="1:3" ht="15.75" customHeight="1" x14ac:dyDescent="0.25">
      <c r="A5134" s="2" t="s">
        <v>5136</v>
      </c>
      <c r="B5134" s="3" t="s">
        <v>2</v>
      </c>
      <c r="C5134" s="2" t="str">
        <f ca="1">IFERROR(__xludf.DUMMYFUNCTION("GOOGLETRANSLATE(A5134,""bn"",""en"")"),"Reliability cannot be guaranteed before purchase")</f>
        <v>Reliability cannot be guaranteed before purchase</v>
      </c>
    </row>
    <row r="5135" spans="1:3" ht="15.75" customHeight="1" x14ac:dyDescent="0.25">
      <c r="A5135" s="2" t="s">
        <v>5137</v>
      </c>
      <c r="B5135" s="3" t="s">
        <v>4</v>
      </c>
      <c r="C5135" s="2" t="str">
        <f ca="1">IFERROR(__xludf.DUMMYFUNCTION("GOOGLETRANSLATE(A5135,""bn"",""en"")"),"The earrings are so light I almost forget I'm wearing them")</f>
        <v>The earrings are so light I almost forget I'm wearing them</v>
      </c>
    </row>
    <row r="5136" spans="1:3" ht="15.75" customHeight="1" x14ac:dyDescent="0.25">
      <c r="A5136" s="2" t="s">
        <v>5138</v>
      </c>
      <c r="B5136" s="3" t="s">
        <v>2</v>
      </c>
      <c r="C5136" s="2" t="str">
        <f ca="1">IFERROR(__xludf.DUMMYFUNCTION("GOOGLETRANSLATE(A5136,""bn"",""en"")"),"The taste is good but a little too sweet")</f>
        <v>The taste is good but a little too sweet</v>
      </c>
    </row>
    <row r="5137" spans="1:3" ht="15.75" customHeight="1" x14ac:dyDescent="0.25">
      <c r="A5137" s="2" t="s">
        <v>5139</v>
      </c>
      <c r="B5137" s="3" t="s">
        <v>6</v>
      </c>
      <c r="C5137" s="2" t="str">
        <f ca="1">IFERROR(__xludf.DUMMYFUNCTION("GOOGLETRANSLATE(A5137,""bn"",""en"")"),"  The lotion left a residue on my skin that felt uncomfortable")</f>
        <v xml:space="preserve">  The lotion left a residue on my skin that felt uncomfortable</v>
      </c>
    </row>
    <row r="5138" spans="1:3" ht="15.75" customHeight="1" x14ac:dyDescent="0.25">
      <c r="A5138" s="2" t="s">
        <v>5140</v>
      </c>
      <c r="B5138" s="3" t="s">
        <v>2</v>
      </c>
      <c r="C5138" s="2" t="str">
        <f ca="1">IFERROR(__xludf.DUMMYFUNCTION("GOOGLETRANSLATE(A5138,""bn"",""en"")"),"The packaging is good but the taste is a bit sweet")</f>
        <v>The packaging is good but the taste is a bit sweet</v>
      </c>
    </row>
    <row r="5139" spans="1:3" ht="15.75" customHeight="1" x14ac:dyDescent="0.25">
      <c r="A5139" s="2" t="s">
        <v>5141</v>
      </c>
      <c r="B5139" s="3" t="s">
        <v>4</v>
      </c>
      <c r="C5139" s="2" t="str">
        <f ca="1">IFERROR(__xludf.DUMMYFUNCTION("GOOGLETRANSLATE(A5139,""bn"",""en"")"),"There is an umbrella holder at the bottom of the Shurack")</f>
        <v>There is an umbrella holder at the bottom of the Shurack</v>
      </c>
    </row>
    <row r="5140" spans="1:3" ht="15.75" customHeight="1" x14ac:dyDescent="0.25">
      <c r="A5140" s="2" t="s">
        <v>5142</v>
      </c>
      <c r="B5140" s="3" t="s">
        <v>4</v>
      </c>
      <c r="C5140" s="2" t="str">
        <f ca="1">IFERROR(__xludf.DUMMYFUNCTION("GOOGLETRANSLATE(A5140,""bn"",""en"")"),"This body wash will leave you feeling clean")</f>
        <v>This body wash will leave you feeling clean</v>
      </c>
    </row>
    <row r="5141" spans="1:3" ht="15.75" customHeight="1" x14ac:dyDescent="0.25">
      <c r="A5141" s="2" t="s">
        <v>5143</v>
      </c>
      <c r="B5141" s="3" t="s">
        <v>4</v>
      </c>
      <c r="C5141" s="2" t="str">
        <f ca="1">IFERROR(__xludf.DUMMYFUNCTION("GOOGLETRANSLATE(A5141,""bn"",""en"")"),"You can close your eyes")</f>
        <v>You can close your eyes</v>
      </c>
    </row>
    <row r="5142" spans="1:3" ht="15.75" customHeight="1" x14ac:dyDescent="0.25">
      <c r="A5142" s="2" t="s">
        <v>5144</v>
      </c>
      <c r="B5142" s="3" t="s">
        <v>4</v>
      </c>
      <c r="C5142" s="2" t="str">
        <f ca="1">IFERROR(__xludf.DUMMYFUNCTION("GOOGLETRANSLATE(A5142,""bn"",""en"")"),"The school playground is very big and green")</f>
        <v>The school playground is very big and green</v>
      </c>
    </row>
    <row r="5143" spans="1:3" ht="15.75" customHeight="1" x14ac:dyDescent="0.25">
      <c r="A5143" s="2" t="s">
        <v>5145</v>
      </c>
      <c r="B5143" s="3" t="s">
        <v>2</v>
      </c>
      <c r="C5143" s="2" t="str">
        <f ca="1">IFERROR(__xludf.DUMMYFUNCTION("GOOGLETRANSLATE(A5143,""bn"",""en"")"),"It is easy to clean although the color may change")</f>
        <v>It is easy to clean although the color may change</v>
      </c>
    </row>
    <row r="5144" spans="1:3" ht="15.75" customHeight="1" x14ac:dyDescent="0.25">
      <c r="A5144" s="2" t="s">
        <v>5146</v>
      </c>
      <c r="B5144" s="3" t="s">
        <v>4</v>
      </c>
      <c r="C5144" s="2" t="str">
        <f ca="1">IFERROR(__xludf.DUMMYFUNCTION("GOOGLETRANSLATE(A5144,""bn"",""en"")"),"I am very pleased to buy this air conditioner it turns my house into a cool paradise on hot summer days ")</f>
        <v xml:space="preserve">I am very pleased to buy this air conditioner it turns my house into a cool paradise on hot summer days </v>
      </c>
    </row>
    <row r="5145" spans="1:3" ht="15.75" customHeight="1" x14ac:dyDescent="0.25">
      <c r="A5145" s="2" t="s">
        <v>5147</v>
      </c>
      <c r="B5145" s="3" t="s">
        <v>6</v>
      </c>
      <c r="C5145" s="2" t="str">
        <f ca="1">IFERROR(__xludf.DUMMYFUNCTION("GOOGLETRANSLATE(A5145,""bn"",""en"")"),"Overall deeply disappointed with the quality and workmanship of the garment and would not recommend it to others")</f>
        <v>Overall deeply disappointed with the quality and workmanship of the garment and would not recommend it to others</v>
      </c>
    </row>
    <row r="5146" spans="1:3" ht="15.75" customHeight="1" x14ac:dyDescent="0.25">
      <c r="A5146" s="2" t="s">
        <v>5148</v>
      </c>
      <c r="B5146" s="3" t="s">
        <v>2</v>
      </c>
      <c r="C5146" s="2" t="str">
        <f ca="1">IFERROR(__xludf.DUMMYFUNCTION("GOOGLETRANSLATE(A5146,""bn"",""en"")"),"Movement during use creates noise")</f>
        <v>Movement during use creates noise</v>
      </c>
    </row>
    <row r="5147" spans="1:3" ht="15.75" customHeight="1" x14ac:dyDescent="0.25">
      <c r="A5147" s="2" t="s">
        <v>5149</v>
      </c>
      <c r="B5147" s="3" t="s">
        <v>6</v>
      </c>
      <c r="C5147" s="2" t="str">
        <f ca="1">IFERROR(__xludf.DUMMYFUNCTION("GOOGLETRANSLATE(A5147,""bn"",""en"")"),"The camera's buffer fills up quickly in burst mode, slowing down continuous shooting")</f>
        <v>The camera's buffer fills up quickly in burst mode, slowing down continuous shooting</v>
      </c>
    </row>
    <row r="5148" spans="1:3" ht="15.75" customHeight="1" x14ac:dyDescent="0.25">
      <c r="A5148" s="2" t="s">
        <v>5150</v>
      </c>
      <c r="B5148" s="3" t="s">
        <v>2</v>
      </c>
      <c r="C5148" s="2" t="str">
        <f ca="1">IFERROR(__xludf.DUMMYFUNCTION("GOOGLETRANSLATE(A5148,""bn"",""en"")"),"The item meets the basic requirements")</f>
        <v>The item meets the basic requirements</v>
      </c>
    </row>
    <row r="5149" spans="1:3" ht="15.75" customHeight="1" x14ac:dyDescent="0.25">
      <c r="A5149" s="2" t="s">
        <v>5151</v>
      </c>
      <c r="B5149" s="3" t="s">
        <v>2</v>
      </c>
      <c r="C5149" s="2" t="str">
        <f ca="1">IFERROR(__xludf.DUMMYFUNCTION("GOOGLETRANSLATE(A5149,""bn"",""en"")"),"Can be consumed with breakfast in the morning")</f>
        <v>Can be consumed with breakfast in the morning</v>
      </c>
    </row>
    <row r="5150" spans="1:3" ht="15.75" customHeight="1" x14ac:dyDescent="0.25">
      <c r="A5150" s="2" t="s">
        <v>5152</v>
      </c>
      <c r="B5150" s="3" t="s">
        <v>4</v>
      </c>
      <c r="C5150" s="2" t="str">
        <f ca="1">IFERROR(__xludf.DUMMYFUNCTION("GOOGLETRANSLATE(A5150,""bn"",""en"")"),"A relatively cheap annual contract that works well")</f>
        <v>A relatively cheap annual contract that works well</v>
      </c>
    </row>
    <row r="5151" spans="1:3" ht="15.75" customHeight="1" x14ac:dyDescent="0.25">
      <c r="A5151" s="2" t="s">
        <v>5153</v>
      </c>
      <c r="B5151" s="3" t="s">
        <v>2</v>
      </c>
      <c r="C5151" s="2" t="str">
        <f ca="1">IFERROR(__xludf.DUMMYFUNCTION("GOOGLETRANSLATE(A5151,""bn"",""en"")"),"It works but comparing it to other brands")</f>
        <v>It works but comparing it to other brands</v>
      </c>
    </row>
    <row r="5152" spans="1:3" ht="15.75" customHeight="1" x14ac:dyDescent="0.25">
      <c r="A5152" s="2" t="s">
        <v>5154</v>
      </c>
      <c r="B5152" s="3" t="s">
        <v>2</v>
      </c>
      <c r="C5152" s="2" t="str">
        <f ca="1">IFERROR(__xludf.DUMMYFUNCTION("GOOGLETRANSLATE(A5152,""bn"",""en"")"),"The backpack holds things but the straps are not comfortable")</f>
        <v>The backpack holds things but the straps are not comfortable</v>
      </c>
    </row>
    <row r="5153" spans="1:3" ht="15.75" customHeight="1" x14ac:dyDescent="0.25">
      <c r="A5153" s="2" t="s">
        <v>5155</v>
      </c>
      <c r="B5153" s="3" t="s">
        <v>4</v>
      </c>
      <c r="C5153" s="2" t="str">
        <f ca="1">IFERROR(__xludf.DUMMYFUNCTION("GOOGLETRANSLATE(A5153,""bn"",""en"")"),"The girl helps her friend every day")</f>
        <v>The girl helps her friend every day</v>
      </c>
    </row>
    <row r="5154" spans="1:3" ht="15.75" customHeight="1" x14ac:dyDescent="0.25">
      <c r="A5154" s="2" t="s">
        <v>5156</v>
      </c>
      <c r="B5154" s="3" t="s">
        <v>2</v>
      </c>
      <c r="C5154" s="2" t="str">
        <f ca="1">IFERROR(__xludf.DUMMYFUNCTION("GOOGLETRANSLATE(A5154,""bn"",""en"")"),"The volleyball grip is good but the size is a little big")</f>
        <v>The volleyball grip is good but the size is a little big</v>
      </c>
    </row>
    <row r="5155" spans="1:3" ht="15.75" customHeight="1" x14ac:dyDescent="0.25">
      <c r="A5155" s="2" t="s">
        <v>5157</v>
      </c>
      <c r="B5155" s="3" t="s">
        <v>6</v>
      </c>
      <c r="C5155" s="2" t="str">
        <f ca="1">IFERROR(__xludf.DUMMYFUNCTION("GOOGLETRANSLATE(A5155,""bn"",""en"")")," The fabric feels thin and flimsy")</f>
        <v xml:space="preserve"> The fabric feels thin and flimsy</v>
      </c>
    </row>
    <row r="5156" spans="1:3" ht="15.75" customHeight="1" x14ac:dyDescent="0.25">
      <c r="A5156" s="2" t="s">
        <v>5158</v>
      </c>
      <c r="B5156" s="3" t="s">
        <v>2</v>
      </c>
      <c r="C5156" s="2" t="str">
        <f ca="1">IFERROR(__xludf.DUMMYFUNCTION("GOOGLETRANSLATE(A5156,""bn"",""en"")"),"Strength Medium is neither too light nor too stiff")</f>
        <v>Strength Medium is neither too light nor too stiff</v>
      </c>
    </row>
    <row r="5157" spans="1:3" ht="15.75" customHeight="1" x14ac:dyDescent="0.25">
      <c r="A5157" s="2" t="s">
        <v>5159</v>
      </c>
      <c r="B5157" s="3" t="s">
        <v>4</v>
      </c>
      <c r="C5157" s="2" t="str">
        <f ca="1">IFERROR(__xludf.DUMMYFUNCTION("GOOGLETRANSLATE(A5157,""bn"",""en"")"),"School teachers always teach with enthusiasm")</f>
        <v>School teachers always teach with enthusiasm</v>
      </c>
    </row>
    <row r="5158" spans="1:3" ht="15.75" customHeight="1" x14ac:dyDescent="0.25">
      <c r="A5158" s="2" t="s">
        <v>5160</v>
      </c>
      <c r="B5158" s="3" t="s">
        <v>2</v>
      </c>
      <c r="C5158" s="2" t="str">
        <f ca="1">IFERROR(__xludf.DUMMYFUNCTION("GOOGLETRANSLATE(A5158,""bn"",""en"")"),"Get the job done right")</f>
        <v>Get the job done right</v>
      </c>
    </row>
    <row r="5159" spans="1:3" ht="15.75" customHeight="1" x14ac:dyDescent="0.25">
      <c r="A5159" s="2" t="s">
        <v>5161</v>
      </c>
      <c r="B5159" s="3" t="s">
        <v>2</v>
      </c>
      <c r="C5159" s="2" t="str">
        <f ca="1">IFERROR(__xludf.DUMMYFUNCTION("GOOGLETRANSLATE(A5159,""bn"",""en"")"),"Bird feeders attract birds but are difficult to clean")</f>
        <v>Bird feeders attract birds but are difficult to clean</v>
      </c>
    </row>
    <row r="5160" spans="1:3" ht="15.75" customHeight="1" x14ac:dyDescent="0.25">
      <c r="A5160" s="2" t="s">
        <v>5162</v>
      </c>
      <c r="B5160" s="3" t="s">
        <v>2</v>
      </c>
      <c r="C5160" s="2" t="str">
        <f ca="1">IFERROR(__xludf.DUMMYFUNCTION("GOOGLETRANSLATE(A5160,""bn"",""en"")"),"The product is suitable for use on vehicle dashboards")</f>
        <v>The product is suitable for use on vehicle dashboards</v>
      </c>
    </row>
    <row r="5161" spans="1:3" ht="15.75" customHeight="1" x14ac:dyDescent="0.25">
      <c r="A5161" s="2" t="s">
        <v>5163</v>
      </c>
      <c r="B5161" s="3" t="s">
        <v>2</v>
      </c>
      <c r="C5161" s="2" t="str">
        <f ca="1">IFERROR(__xludf.DUMMYFUNCTION("GOOGLETRANSLATE(A5161,""bn"",""en"")"),"It seems enough")</f>
        <v>It seems enough</v>
      </c>
    </row>
    <row r="5162" spans="1:3" ht="15.75" customHeight="1" x14ac:dyDescent="0.25">
      <c r="A5162" s="2" t="s">
        <v>5164</v>
      </c>
      <c r="B5162" s="3" t="s">
        <v>4</v>
      </c>
      <c r="C5162" s="2" t="str">
        <f ca="1">IFERROR(__xludf.DUMMYFUNCTION("GOOGLETRANSLATE(A5162,""bn"",""en"")"),"Nice photo frames")</f>
        <v>Nice photo frames</v>
      </c>
    </row>
    <row r="5163" spans="1:3" ht="15.75" customHeight="1" x14ac:dyDescent="0.25">
      <c r="A5163" s="2" t="s">
        <v>5165</v>
      </c>
      <c r="B5163" s="3" t="s">
        <v>4</v>
      </c>
      <c r="C5163" s="2" t="str">
        <f ca="1">IFERROR(__xludf.DUMMYFUNCTION("GOOGLETRANSLATE(A5163,""bn"",""en"")"),"The picture quality of this TV is very good and clear")</f>
        <v>The picture quality of this TV is very good and clear</v>
      </c>
    </row>
    <row r="5164" spans="1:3" ht="15.75" customHeight="1" x14ac:dyDescent="0.25">
      <c r="A5164" s="2" t="s">
        <v>5166</v>
      </c>
      <c r="B5164" s="3" t="s">
        <v>6</v>
      </c>
      <c r="C5164" s="2" t="str">
        <f ca="1">IFERROR(__xludf.DUMMYFUNCTION("GOOGLETRANSLATE(A5164,""bn"",""en"")"),"The charging port cover is flimsy and prone to breakage, exposing the port to dust and debris")</f>
        <v>The charging port cover is flimsy and prone to breakage, exposing the port to dust and debris</v>
      </c>
    </row>
    <row r="5165" spans="1:3" ht="15.75" customHeight="1" x14ac:dyDescent="0.25">
      <c r="A5165" s="2" t="s">
        <v>5167</v>
      </c>
      <c r="B5165" s="3" t="s">
        <v>2</v>
      </c>
      <c r="C5165" s="2" t="str">
        <f ca="1">IFERROR(__xludf.DUMMYFUNCTION("GOOGLETRANSLATE(A5165,""bn"",""en"")"),"Golf ball speed is good but not sustainable")</f>
        <v>Golf ball speed is good but not sustainable</v>
      </c>
    </row>
    <row r="5166" spans="1:3" ht="15.75" customHeight="1" x14ac:dyDescent="0.25">
      <c r="A5166" s="2" t="s">
        <v>5168</v>
      </c>
      <c r="B5166" s="3" t="s">
        <v>4</v>
      </c>
      <c r="C5166" s="2" t="str">
        <f ca="1">IFERROR(__xludf.DUMMYFUNCTION("GOOGLETRANSLATE(A5166,""bn"",""en"")"),"Its dust filter is easy to clean and regular maintenance is very easy")</f>
        <v>Its dust filter is easy to clean and regular maintenance is very easy</v>
      </c>
    </row>
    <row r="5167" spans="1:3" ht="15.75" customHeight="1" x14ac:dyDescent="0.25">
      <c r="A5167" s="2" t="s">
        <v>5169</v>
      </c>
      <c r="B5167" s="3" t="s">
        <v>4</v>
      </c>
      <c r="C5167" s="2" t="str">
        <f ca="1">IFERROR(__xludf.DUMMYFUNCTION("GOOGLETRANSLATE(A5167,""bn"",""en"")"),"It works well as advertised")</f>
        <v>It works well as advertised</v>
      </c>
    </row>
    <row r="5168" spans="1:3" ht="15.75" customHeight="1" x14ac:dyDescent="0.25">
      <c r="A5168" s="2" t="s">
        <v>5170</v>
      </c>
      <c r="B5168" s="3" t="s">
        <v>4</v>
      </c>
      <c r="C5168" s="2" t="str">
        <f ca="1">IFERROR(__xludf.DUMMYFUNCTION("GOOGLETRANSLATE(A5168,""bn"",""en"")"),"Great airtag holder")</f>
        <v>Great airtag holder</v>
      </c>
    </row>
    <row r="5169" spans="1:3" ht="15.75" customHeight="1" x14ac:dyDescent="0.25">
      <c r="A5169" s="2" t="s">
        <v>5171</v>
      </c>
      <c r="B5169" s="3" t="s">
        <v>4</v>
      </c>
      <c r="C5169" s="2" t="str">
        <f ca="1">IFERROR(__xludf.DUMMYFUNCTION("GOOGLETRANSLATE(A5169,""bn"",""en"")"),"Great phone mount for vents")</f>
        <v>Great phone mount for vents</v>
      </c>
    </row>
    <row r="5170" spans="1:3" ht="15.75" customHeight="1" x14ac:dyDescent="0.25">
      <c r="A5170" s="2" t="s">
        <v>5172</v>
      </c>
      <c r="B5170" s="3" t="s">
        <v>2</v>
      </c>
      <c r="C5170" s="2" t="str">
        <f ca="1">IFERROR(__xludf.DUMMYFUNCTION("GOOGLETRANSLATE(A5170,""bn"",""en"")"),"Color may be as expected")</f>
        <v>Color may be as expected</v>
      </c>
    </row>
    <row r="5171" spans="1:3" ht="15.75" customHeight="1" x14ac:dyDescent="0.25">
      <c r="A5171" s="2" t="s">
        <v>5173</v>
      </c>
      <c r="B5171" s="3" t="s">
        <v>4</v>
      </c>
      <c r="C5171" s="2" t="str">
        <f ca="1">IFERROR(__xludf.DUMMYFUNCTION("GOOGLETRANSLATE(A5171,""bn"",""en"")"),"The computer mouse responds quickly")</f>
        <v>The computer mouse responds quickly</v>
      </c>
    </row>
    <row r="5172" spans="1:3" ht="15.75" customHeight="1" x14ac:dyDescent="0.25">
      <c r="A5172" s="2" t="s">
        <v>5174</v>
      </c>
      <c r="B5172" s="3" t="s">
        <v>4</v>
      </c>
      <c r="C5172" s="2" t="str">
        <f ca="1">IFERROR(__xludf.DUMMYFUNCTION("GOOGLETRANSLATE(A5172,""bn"",""en"")"),"The sharpness of the pencil is very good for writing for a long time")</f>
        <v>The sharpness of the pencil is very good for writing for a long time</v>
      </c>
    </row>
    <row r="5173" spans="1:3" ht="15.75" customHeight="1" x14ac:dyDescent="0.25">
      <c r="A5173" s="2" t="s">
        <v>5175</v>
      </c>
      <c r="B5173" s="3" t="s">
        <v>2</v>
      </c>
      <c r="C5173" s="2" t="str">
        <f ca="1">IFERROR(__xludf.DUMMYFUNCTION("GOOGLETRANSLATE(A5173,""bn"",""en"")"),"Cheap but such a drink can have a lot of flavor")</f>
        <v>Cheap but such a drink can have a lot of flavor</v>
      </c>
    </row>
    <row r="5174" spans="1:3" ht="15.75" customHeight="1" x14ac:dyDescent="0.25">
      <c r="A5174" s="2" t="s">
        <v>5176</v>
      </c>
      <c r="B5174" s="3" t="s">
        <v>6</v>
      </c>
      <c r="C5174" s="2" t="str">
        <f ca="1">IFERROR(__xludf.DUMMYFUNCTION("GOOGLETRANSLATE(A5174,""bn"",""en"")"),"was stale and oxidized which imparted an unpleasant taste to the brew")</f>
        <v>was stale and oxidized which imparted an unpleasant taste to the brew</v>
      </c>
    </row>
    <row r="5175" spans="1:3" ht="15.75" customHeight="1" x14ac:dyDescent="0.25">
      <c r="A5175" s="2" t="s">
        <v>5177</v>
      </c>
      <c r="B5175" s="3" t="s">
        <v>4</v>
      </c>
      <c r="C5175" s="2" t="str">
        <f ca="1">IFERROR(__xludf.DUMMYFUNCTION("GOOGLETRANSLATE(A5175,""bn"",""en"")"),"New subjects are always taught in our school")</f>
        <v>New subjects are always taught in our school</v>
      </c>
    </row>
    <row r="5176" spans="1:3" ht="15.75" customHeight="1" x14ac:dyDescent="0.25">
      <c r="A5176" s="2" t="s">
        <v>5178</v>
      </c>
      <c r="B5176" s="3" t="s">
        <v>6</v>
      </c>
      <c r="C5176" s="2" t="str">
        <f ca="1">IFERROR(__xludf.DUMMYFUNCTION("GOOGLETRANSLATE(A5176,""bn"",""en"")"),"The fabric of the bathrobe fades quickly after washing, losing its vibrancy")</f>
        <v>The fabric of the bathrobe fades quickly after washing, losing its vibrancy</v>
      </c>
    </row>
    <row r="5177" spans="1:3" ht="15.75" customHeight="1" x14ac:dyDescent="0.25">
      <c r="A5177" s="2" t="s">
        <v>5179</v>
      </c>
      <c r="B5177" s="3" t="s">
        <v>6</v>
      </c>
      <c r="C5177" s="2" t="str">
        <f ca="1">IFERROR(__xludf.DUMMYFUNCTION("GOOGLETRANSLATE(A5177,""bn"",""en"")"),"Dyed hair color results in patchy and uneven color distribution requiring frequent touchups")</f>
        <v>Dyed hair color results in patchy and uneven color distribution requiring frequent touchups</v>
      </c>
    </row>
    <row r="5178" spans="1:3" ht="15.75" customHeight="1" x14ac:dyDescent="0.25">
      <c r="A5178" s="2" t="s">
        <v>5180</v>
      </c>
      <c r="B5178" s="3" t="s">
        <v>4</v>
      </c>
      <c r="C5178" s="2" t="str">
        <f ca="1">IFERROR(__xludf.DUMMYFUNCTION("GOOGLETRANSLATE(A5178,""bn"",""en"")"),"It helps in improving digestion")</f>
        <v>It helps in improving digestion</v>
      </c>
    </row>
    <row r="5179" spans="1:3" ht="15.75" customHeight="1" x14ac:dyDescent="0.25">
      <c r="A5179" s="2" t="s">
        <v>5181</v>
      </c>
      <c r="B5179" s="3" t="s">
        <v>2</v>
      </c>
      <c r="C5179" s="2" t="str">
        <f ca="1">IFERROR(__xludf.DUMMYFUNCTION("GOOGLETRANSLATE(A5179,""bn"",""en"")"),"May have concerns about durability, does not work well but can continue")</f>
        <v>May have concerns about durability, does not work well but can continue</v>
      </c>
    </row>
    <row r="5180" spans="1:3" ht="15.75" customHeight="1" x14ac:dyDescent="0.25">
      <c r="A5180" s="2" t="s">
        <v>5182</v>
      </c>
      <c r="B5180" s="3" t="s">
        <v>4</v>
      </c>
      <c r="C5180" s="2" t="str">
        <f ca="1">IFERROR(__xludf.DUMMYFUNCTION("GOOGLETRANSLATE(A5180,""bn"",""en"")"),"It controls the subtlety of makeup")</f>
        <v>It controls the subtlety of makeup</v>
      </c>
    </row>
    <row r="5181" spans="1:3" ht="15.75" customHeight="1" x14ac:dyDescent="0.25">
      <c r="A5181" s="2" t="s">
        <v>5183</v>
      </c>
      <c r="B5181" s="3" t="s">
        <v>4</v>
      </c>
      <c r="C5181" s="2" t="str">
        <f ca="1">IFERROR(__xludf.DUMMYFUNCTION("GOOGLETRANSLATE(A5181,""bn"",""en"")"),"Even after long usage this AC is working at the same efficiency its durability is really commendable")</f>
        <v>Even after long usage this AC is working at the same efficiency its durability is really commendable</v>
      </c>
    </row>
    <row r="5182" spans="1:3" ht="15.75" customHeight="1" x14ac:dyDescent="0.25">
      <c r="A5182" s="2" t="s">
        <v>5184</v>
      </c>
      <c r="B5182" s="3" t="s">
        <v>2</v>
      </c>
      <c r="C5182" s="2" t="str">
        <f ca="1">IFERROR(__xludf.DUMMYFUNCTION("GOOGLETRANSLATE(A5182,""bn"",""en"")"),"The packaging of the brush is simple")</f>
        <v>The packaging of the brush is simple</v>
      </c>
    </row>
    <row r="5183" spans="1:3" ht="15.75" customHeight="1" x14ac:dyDescent="0.25">
      <c r="A5183" s="2" t="s">
        <v>5185</v>
      </c>
      <c r="B5183" s="3" t="s">
        <v>6</v>
      </c>
      <c r="C5183" s="2" t="str">
        <f ca="1">IFERROR(__xludf.DUMMYFUNCTION("GOOGLETRANSLATE(A5183,""bn"",""en"")"),"Sharp corners on containers pose a risk of injury")</f>
        <v>Sharp corners on containers pose a risk of injury</v>
      </c>
    </row>
    <row r="5184" spans="1:3" ht="15.75" customHeight="1" x14ac:dyDescent="0.25">
      <c r="A5184" s="2" t="s">
        <v>5186</v>
      </c>
      <c r="B5184" s="3" t="s">
        <v>4</v>
      </c>
      <c r="C5184" s="2" t="str">
        <f ca="1">IFERROR(__xludf.DUMMYFUNCTION("GOOGLETRANSLATE(A5184,""bn"",""en"")"),"This cup is perfect for drinking tea")</f>
        <v>This cup is perfect for drinking tea</v>
      </c>
    </row>
    <row r="5185" spans="1:3" ht="15.75" customHeight="1" x14ac:dyDescent="0.25">
      <c r="A5185" s="2" t="s">
        <v>5187</v>
      </c>
      <c r="B5185" s="3" t="s">
        <v>2</v>
      </c>
      <c r="C5185" s="2" t="str">
        <f ca="1">IFERROR(__xludf.DUMMYFUNCTION("GOOGLETRANSLATE(A5185,""bn"",""en"")"),"Durability is fair")</f>
        <v>Durability is fair</v>
      </c>
    </row>
    <row r="5186" spans="1:3" ht="15.75" customHeight="1" x14ac:dyDescent="0.25">
      <c r="A5186" s="2" t="s">
        <v>5188</v>
      </c>
      <c r="B5186" s="3" t="s">
        <v>4</v>
      </c>
      <c r="C5186" s="2" t="str">
        <f ca="1">IFERROR(__xludf.DUMMYFUNCTION("GOOGLETRANSLATE(A5186,""bn"",""en"")"),"The colors of the pendants match my outfit perfectly")</f>
        <v>The colors of the pendants match my outfit perfectly</v>
      </c>
    </row>
    <row r="5187" spans="1:3" ht="15.75" customHeight="1" x14ac:dyDescent="0.25">
      <c r="A5187" s="2" t="s">
        <v>5189</v>
      </c>
      <c r="B5187" s="3" t="s">
        <v>6</v>
      </c>
      <c r="C5187" s="2" t="str">
        <f ca="1">IFERROR(__xludf.DUMMYFUNCTION("GOOGLETRANSLATE(A5187,""bn"",""en"")")," Audio balance is uneven with one side louder than the other skewing the listening experience")</f>
        <v xml:space="preserve"> Audio balance is uneven with one side louder than the other skewing the listening experience</v>
      </c>
    </row>
    <row r="5188" spans="1:3" ht="15.75" customHeight="1" x14ac:dyDescent="0.25">
      <c r="A5188" s="2" t="s">
        <v>5190</v>
      </c>
      <c r="B5188" s="3" t="s">
        <v>2</v>
      </c>
      <c r="C5188" s="2" t="str">
        <f ca="1">IFERROR(__xludf.DUMMYFUNCTION("GOOGLETRANSLATE(A5188,""bn"",""en"")"),"Fabric quality is fair but could be improved")</f>
        <v>Fabric quality is fair but could be improved</v>
      </c>
    </row>
    <row r="5189" spans="1:3" ht="15.75" customHeight="1" x14ac:dyDescent="0.25">
      <c r="A5189" s="2" t="s">
        <v>5191</v>
      </c>
      <c r="B5189" s="3" t="s">
        <v>6</v>
      </c>
      <c r="C5189" s="2" t="str">
        <f ca="1">IFERROR(__xludf.DUMMYFUNCTION("GOOGLETRANSLATE(A5189,""bn"",""en"")"),"The shower gel formula was so thin it was oozing off my skin before I even got it on")</f>
        <v>The shower gel formula was so thin it was oozing off my skin before I even got it on</v>
      </c>
    </row>
    <row r="5190" spans="1:3" ht="15.75" customHeight="1" x14ac:dyDescent="0.25">
      <c r="A5190" s="2" t="s">
        <v>5192</v>
      </c>
      <c r="B5190" s="3" t="s">
        <v>2</v>
      </c>
      <c r="C5190" s="2" t="str">
        <f ca="1">IFERROR(__xludf.DUMMYFUNCTION("GOOGLETRANSLATE(A5190,""bn"",""en"")"),"Quality is passable not great")</f>
        <v>Quality is passable not great</v>
      </c>
    </row>
    <row r="5191" spans="1:3" ht="15.75" customHeight="1" x14ac:dyDescent="0.25">
      <c r="A5191" s="2" t="s">
        <v>5193</v>
      </c>
      <c r="B5191" s="3" t="s">
        <v>4</v>
      </c>
      <c r="C5191" s="2" t="str">
        <f ca="1">IFERROR(__xludf.DUMMYFUNCTION("GOOGLETRANSLATE(A5191,""bn"",""en"")"),"This body wash will revitalize your skin")</f>
        <v>This body wash will revitalize your skin</v>
      </c>
    </row>
    <row r="5192" spans="1:3" ht="15.75" customHeight="1" x14ac:dyDescent="0.25">
      <c r="A5192" s="2" t="s">
        <v>5194</v>
      </c>
      <c r="B5192" s="3" t="s">
        <v>6</v>
      </c>
      <c r="C5192" s="2" t="str">
        <f ca="1">IFERROR(__xludf.DUMMYFUNCTION("GOOGLETRANSLATE(A5192,""bn"",""en"")"),"The laptop heats up quickly especially during resource intensive tasks which causes discomfort during use")</f>
        <v>The laptop heats up quickly especially during resource intensive tasks which causes discomfort during use</v>
      </c>
    </row>
    <row r="5193" spans="1:3" ht="15.75" customHeight="1" x14ac:dyDescent="0.25">
      <c r="A5193" s="2" t="s">
        <v>5195</v>
      </c>
      <c r="B5193" s="3" t="s">
        <v>6</v>
      </c>
      <c r="C5193" s="2" t="str">
        <f ca="1">IFERROR(__xludf.DUMMYFUNCTION("GOOGLETRANSLATE(A5193,""bn"",""en"")"),"It's not the best classroom sharpener I've ever bought")</f>
        <v>It's not the best classroom sharpener I've ever bought</v>
      </c>
    </row>
    <row r="5194" spans="1:3" ht="15.75" customHeight="1" x14ac:dyDescent="0.25">
      <c r="A5194" s="2" t="s">
        <v>5196</v>
      </c>
      <c r="B5194" s="3" t="s">
        <v>4</v>
      </c>
      <c r="C5194" s="2" t="str">
        <f ca="1">IFERROR(__xludf.DUMMYFUNCTION("GOOGLETRANSLATE(A5194,""bn"",""en"")"),"The brush seems durable and I hope it lasts a long time")</f>
        <v>The brush seems durable and I hope it lasts a long time</v>
      </c>
    </row>
    <row r="5195" spans="1:3" ht="15.75" customHeight="1" x14ac:dyDescent="0.25">
      <c r="A5195" s="2" t="s">
        <v>5197</v>
      </c>
      <c r="B5195" s="3" t="s">
        <v>6</v>
      </c>
      <c r="C5195" s="2" t="str">
        <f ca="1">IFERROR(__xludf.DUMMYFUNCTION("GOOGLETRANSLATE(A5195,""bn"",""en"")")," Cooking presets do not align with normal cooking times resulting in inconsistent results")</f>
        <v xml:space="preserve"> Cooking presets do not align with normal cooking times resulting in inconsistent results</v>
      </c>
    </row>
    <row r="5196" spans="1:3" ht="15.75" customHeight="1" x14ac:dyDescent="0.25">
      <c r="A5196" s="2" t="s">
        <v>5198</v>
      </c>
      <c r="B5196" s="3" t="s">
        <v>4</v>
      </c>
      <c r="C5196" s="2" t="str">
        <f ca="1">IFERROR(__xludf.DUMMYFUNCTION("GOOGLETRANSLATE(A5196,""bn"",""en"")"),"Helps maintain good gum health")</f>
        <v>Helps maintain good gum health</v>
      </c>
    </row>
    <row r="5197" spans="1:3" ht="15.75" customHeight="1" x14ac:dyDescent="0.25">
      <c r="A5197" s="2" t="s">
        <v>5199</v>
      </c>
      <c r="B5197" s="3" t="s">
        <v>2</v>
      </c>
      <c r="C5197" s="2" t="str">
        <f ca="1">IFERROR(__xludf.DUMMYFUNCTION("GOOGLETRANSLATE(A5197,""bn"",""en"")"),"The design is good but the fabric is thin")</f>
        <v>The design is good but the fabric is thin</v>
      </c>
    </row>
    <row r="5198" spans="1:3" ht="15.75" customHeight="1" x14ac:dyDescent="0.25">
      <c r="A5198" s="2" t="s">
        <v>5200</v>
      </c>
      <c r="B5198" s="3" t="s">
        <v>2</v>
      </c>
      <c r="C5198" s="2" t="str">
        <f ca="1">IFERROR(__xludf.DUMMYFUNCTION("GOOGLETRANSLATE(A5198,""bn"",""en"")"),"The color of the pad is neutral")</f>
        <v>The color of the pad is neutral</v>
      </c>
    </row>
    <row r="5199" spans="1:3" ht="15.75" customHeight="1" x14ac:dyDescent="0.25">
      <c r="A5199" s="2" t="s">
        <v>5201</v>
      </c>
      <c r="B5199" s="3" t="s">
        <v>4</v>
      </c>
      <c r="C5199" s="2" t="str">
        <f ca="1">IFERROR(__xludf.DUMMYFUNCTION("GOOGLETRANSLATE(A5199,""bn"",""en"")"),"The band of this watch is very comfortable")</f>
        <v>The band of this watch is very comfortable</v>
      </c>
    </row>
    <row r="5200" spans="1:3" ht="15.75" customHeight="1" x14ac:dyDescent="0.25">
      <c r="A5200" s="2" t="s">
        <v>5202</v>
      </c>
      <c r="B5200" s="3" t="s">
        <v>2</v>
      </c>
      <c r="C5200" s="2" t="str">
        <f ca="1">IFERROR(__xludf.DUMMYFUNCTION("GOOGLETRANSLATE(A5200,""bn"",""en"")"),"The handle of the brush is with grip")</f>
        <v>The handle of the brush is with grip</v>
      </c>
    </row>
    <row r="5201" spans="1:3" ht="15.75" customHeight="1" x14ac:dyDescent="0.25">
      <c r="A5201" s="2" t="s">
        <v>5203</v>
      </c>
      <c r="B5201" s="3" t="s">
        <v>4</v>
      </c>
      <c r="C5201" s="2" t="str">
        <f ca="1">IFERROR(__xludf.DUMMYFUNCTION("GOOGLETRANSLATE(A5201,""bn"",""en"")"),"The UI of the device is very user-friendly")</f>
        <v>The UI of the device is very user-friendly</v>
      </c>
    </row>
    <row r="5202" spans="1:3" ht="15.75" customHeight="1" x14ac:dyDescent="0.25">
      <c r="A5202" s="2" t="s">
        <v>5204</v>
      </c>
      <c r="B5202" s="3" t="s">
        <v>4</v>
      </c>
      <c r="C5202" s="2" t="str">
        <f ca="1">IFERROR(__xludf.DUMMYFUNCTION("GOOGLETRANSLATE(A5202,""bn"",""en"")"),"This shampoo is helpful in reducing hair fall")</f>
        <v>This shampoo is helpful in reducing hair fall</v>
      </c>
    </row>
    <row r="5203" spans="1:3" ht="15.75" customHeight="1" x14ac:dyDescent="0.25">
      <c r="A5203" s="2" t="s">
        <v>5205</v>
      </c>
      <c r="B5203" s="3" t="s">
        <v>4</v>
      </c>
      <c r="C5203" s="2" t="str">
        <f ca="1">IFERROR(__xludf.DUMMYFUNCTION("GOOGLETRANSLATE(A5203,""bn"",""en"")"),"Don't miss the product that brought it back to the beginning of the decade ")</f>
        <v xml:space="preserve">Don't miss the product that brought it back to the beginning of the decade </v>
      </c>
    </row>
    <row r="5204" spans="1:3" ht="15.75" customHeight="1" x14ac:dyDescent="0.25">
      <c r="A5204" s="2" t="s">
        <v>5206</v>
      </c>
      <c r="B5204" s="3" t="s">
        <v>6</v>
      </c>
      <c r="C5204" s="2" t="str">
        <f ca="1">IFERROR(__xludf.DUMMYFUNCTION("GOOGLETRANSLATE(A5204,""bn"",""en"")"),"It is not leak proof and not completely safe for storing liquids")</f>
        <v>It is not leak proof and not completely safe for storing liquids</v>
      </c>
    </row>
    <row r="5205" spans="1:3" ht="15.75" customHeight="1" x14ac:dyDescent="0.25">
      <c r="A5205" s="2" t="s">
        <v>5207</v>
      </c>
      <c r="B5205" s="3" t="s">
        <v>4</v>
      </c>
      <c r="C5205" s="2" t="str">
        <f ca="1">IFERROR(__xludf.DUMMYFUNCTION("GOOGLETRANSLATE(A5205,""bn"",""en"")"),"The print of the dress is very durable")</f>
        <v>The print of the dress is very durable</v>
      </c>
    </row>
    <row r="5206" spans="1:3" ht="15.75" customHeight="1" x14ac:dyDescent="0.25">
      <c r="A5206" s="2" t="s">
        <v>5208</v>
      </c>
      <c r="B5206" s="3" t="s">
        <v>2</v>
      </c>
      <c r="C5206" s="2" t="str">
        <f ca="1">IFERROR(__xludf.DUMMYFUNCTION("GOOGLETRANSLATE(A5206,""bn"",""en"")"),"Offerdiscounts available are more or less")</f>
        <v>Offerdiscounts available are more or less</v>
      </c>
    </row>
    <row r="5207" spans="1:3" ht="15.75" customHeight="1" x14ac:dyDescent="0.25">
      <c r="A5207" s="2" t="s">
        <v>5209</v>
      </c>
      <c r="B5207" s="3" t="s">
        <v>2</v>
      </c>
      <c r="C5207" s="2" t="str">
        <f ca="1">IFERROR(__xludf.DUMMYFUNCTION("GOOGLETRANSLATE(A5207,""bn"",""en"")"),"It was effective for insects but did not solve other problems")</f>
        <v>It was effective for insects but did not solve other problems</v>
      </c>
    </row>
    <row r="5208" spans="1:3" ht="15.75" customHeight="1" x14ac:dyDescent="0.25">
      <c r="A5208" s="2" t="s">
        <v>5210</v>
      </c>
      <c r="B5208" s="3" t="s">
        <v>6</v>
      </c>
      <c r="C5208" s="2" t="str">
        <f ca="1">IFERROR(__xludf.DUMMYFUNCTION("GOOGLETRANSLATE(A5208,""bn"",""en"")"),"mildly enjoyable")</f>
        <v>mildly enjoyable</v>
      </c>
    </row>
    <row r="5209" spans="1:3" ht="15.75" customHeight="1" x14ac:dyDescent="0.25">
      <c r="A5209" s="2" t="s">
        <v>5211</v>
      </c>
      <c r="B5209" s="3" t="s">
        <v>2</v>
      </c>
      <c r="C5209" s="2" t="str">
        <f ca="1">IFERROR(__xludf.DUMMYFUNCTION("GOOGLETRANSLATE(A5209,""bn"",""en"")"),"Works but not exceptionally well")</f>
        <v>Works but not exceptionally well</v>
      </c>
    </row>
    <row r="5210" spans="1:3" ht="15.75" customHeight="1" x14ac:dyDescent="0.25">
      <c r="A5210" s="2" t="s">
        <v>5212</v>
      </c>
      <c r="B5210" s="3" t="s">
        <v>6</v>
      </c>
      <c r="C5210" s="2" t="str">
        <f ca="1">IFERROR(__xludf.DUMMYFUNCTION("GOOGLETRANSLATE(A5210,""bn"",""en"")"),"Not durable wobbly design")</f>
        <v>Not durable wobbly design</v>
      </c>
    </row>
    <row r="5211" spans="1:3" ht="15.75" customHeight="1" x14ac:dyDescent="0.25">
      <c r="A5211" s="2" t="s">
        <v>5213</v>
      </c>
      <c r="B5211" s="3" t="s">
        <v>2</v>
      </c>
      <c r="C5211" s="2" t="str">
        <f ca="1">IFERROR(__xludf.DUMMYFUNCTION("GOOGLETRANSLATE(A5211,""bn"",""en"")"),"Good for crafting but could have been better")</f>
        <v>Good for crafting but could have been better</v>
      </c>
    </row>
    <row r="5212" spans="1:3" ht="15.75" customHeight="1" x14ac:dyDescent="0.25">
      <c r="A5212" s="2" t="s">
        <v>5214</v>
      </c>
      <c r="B5212" s="3" t="s">
        <v>2</v>
      </c>
      <c r="C5212" s="2" t="str">
        <f ca="1">IFERROR(__xludf.DUMMYFUNCTION("GOOGLETRANSLATE(A5212,""bn"",""en"")"),"Removes dust but not completely")</f>
        <v>Removes dust but not completely</v>
      </c>
    </row>
    <row r="5213" spans="1:3" ht="15.75" customHeight="1" x14ac:dyDescent="0.25">
      <c r="A5213" s="2" t="s">
        <v>5215</v>
      </c>
      <c r="B5213" s="3" t="s">
        <v>4</v>
      </c>
      <c r="C5213" s="2" t="str">
        <f ca="1">IFERROR(__xludf.DUMMYFUNCTION("GOOGLETRANSLATE(A5213,""bn"",""en"")"),"The school teachers are always helpful and generous")</f>
        <v>The school teachers are always helpful and generous</v>
      </c>
    </row>
    <row r="5214" spans="1:3" ht="15.75" customHeight="1" x14ac:dyDescent="0.25">
      <c r="A5214" s="2" t="s">
        <v>5216</v>
      </c>
      <c r="B5214" s="3" t="s">
        <v>4</v>
      </c>
      <c r="C5214" s="2" t="str">
        <f ca="1">IFERROR(__xludf.DUMMYFUNCTION("GOOGLETRANSLATE(A5214,""bn"",""en"")"),"The stuff is really good quality thanks ")</f>
        <v xml:space="preserve">The stuff is really good quality thanks </v>
      </c>
    </row>
    <row r="5215" spans="1:3" ht="15.75" customHeight="1" x14ac:dyDescent="0.25">
      <c r="A5215" s="2" t="s">
        <v>5217</v>
      </c>
      <c r="B5215" s="3" t="s">
        <v>2</v>
      </c>
      <c r="C5215" s="2" t="str">
        <f ca="1">IFERROR(__xludf.DUMMYFUNCTION("GOOGLETRANSLATE(A5215,""bn"",""en"")"),"Performance is somewhat robust")</f>
        <v>Performance is somewhat robust</v>
      </c>
    </row>
    <row r="5216" spans="1:3" ht="15.75" customHeight="1" x14ac:dyDescent="0.25">
      <c r="A5216" s="2" t="s">
        <v>5218</v>
      </c>
      <c r="B5216" s="3" t="s">
        <v>4</v>
      </c>
      <c r="C5216" s="2" t="str">
        <f ca="1">IFERROR(__xludf.DUMMYFUNCTION("GOOGLETRANSLATE(A5216,""bn"",""en"")"),"The camera zoom feature of the device is amazing")</f>
        <v>The camera zoom feature of the device is amazing</v>
      </c>
    </row>
    <row r="5217" spans="1:3" ht="15.75" customHeight="1" x14ac:dyDescent="0.25">
      <c r="A5217" s="2" t="s">
        <v>5219</v>
      </c>
      <c r="B5217" s="3" t="s">
        <v>6</v>
      </c>
      <c r="C5217" s="2" t="str">
        <f ca="1">IFERROR(__xludf.DUMMYFUNCTION("GOOGLETRANSLATE(A5217,""bn"",""en"")"),"Uneven and sloppy hemming detracts from the overall look")</f>
        <v>Uneven and sloppy hemming detracts from the overall look</v>
      </c>
    </row>
    <row r="5218" spans="1:3" ht="15.75" customHeight="1" x14ac:dyDescent="0.25">
      <c r="A5218" s="2" t="s">
        <v>5220</v>
      </c>
      <c r="B5218" s="3" t="s">
        <v>6</v>
      </c>
      <c r="C5218" s="2" t="str">
        <f ca="1">IFERROR(__xludf.DUMMYFUNCTION("GOOGLETRANSLATE(A5218,""bn"",""en"")"),"The hinges are weak and prone to breaking causing the table to collapse unexpectedly")</f>
        <v>The hinges are weak and prone to breaking causing the table to collapse unexpectedly</v>
      </c>
    </row>
    <row r="5219" spans="1:3" ht="15.75" customHeight="1" x14ac:dyDescent="0.25">
      <c r="A5219" s="2" t="s">
        <v>5221</v>
      </c>
      <c r="B5219" s="3" t="s">
        <v>4</v>
      </c>
      <c r="C5219" s="2" t="str">
        <f ca="1">IFERROR(__xludf.DUMMYFUNCTION("GOOGLETRANSLATE(A5219,""bn"",""en"")"),"The battery of the watch is long lasting")</f>
        <v>The battery of the watch is long lasting</v>
      </c>
    </row>
    <row r="5220" spans="1:3" ht="15.75" customHeight="1" x14ac:dyDescent="0.25">
      <c r="A5220" s="2" t="s">
        <v>5222</v>
      </c>
      <c r="B5220" s="3" t="s">
        <v>6</v>
      </c>
      <c r="C5220" s="2" t="str">
        <f ca="1">IFERROR(__xludf.DUMMYFUNCTION("GOOGLETRANSLATE(A5220,""bn"",""en"")"),"Volumizing shampoos fail to add volume leaving my hair looking flat and lifeless")</f>
        <v>Volumizing shampoos fail to add volume leaving my hair looking flat and lifeless</v>
      </c>
    </row>
    <row r="5221" spans="1:3" ht="15.75" customHeight="1" x14ac:dyDescent="0.25">
      <c r="A5221" s="2" t="s">
        <v>5223</v>
      </c>
      <c r="B5221" s="3" t="s">
        <v>4</v>
      </c>
      <c r="C5221" s="2" t="str">
        <f ca="1">IFERROR(__xludf.DUMMYFUNCTION("GOOGLETRANSLATE(A5221,""bn"",""en"")"),"Every time I see it, I feel like I bought a new one")</f>
        <v>Every time I see it, I feel like I bought a new one</v>
      </c>
    </row>
    <row r="5222" spans="1:3" ht="15.75" customHeight="1" x14ac:dyDescent="0.25">
      <c r="A5222" s="2" t="s">
        <v>5224</v>
      </c>
      <c r="B5222" s="3" t="s">
        <v>6</v>
      </c>
      <c r="C5222" s="2" t="str">
        <f ca="1">IFERROR(__xludf.DUMMYFUNCTION("GOOGLETRANSLATE(A5222,""bn"",""en"")"),"The mechanism of the toy gets jammed easily rendering it useless")</f>
        <v>The mechanism of the toy gets jammed easily rendering it useless</v>
      </c>
    </row>
    <row r="5223" spans="1:3" ht="15.75" customHeight="1" x14ac:dyDescent="0.25">
      <c r="A5223" s="2" t="s">
        <v>5225</v>
      </c>
      <c r="B5223" s="3" t="s">
        <v>6</v>
      </c>
      <c r="C5223" s="2" t="str">
        <f ca="1">IFERROR(__xludf.DUMMYFUNCTION("GOOGLETRANSLATE(A5223,""bn"",""en"")")," The tee was advertised as a specific color but it faded and washed out personally")</f>
        <v xml:space="preserve"> The tee was advertised as a specific color but it faded and washed out personally</v>
      </c>
    </row>
    <row r="5224" spans="1:3" ht="15.75" customHeight="1" x14ac:dyDescent="0.25">
      <c r="A5224" s="2" t="s">
        <v>5226</v>
      </c>
      <c r="B5224" s="3" t="s">
        <v>4</v>
      </c>
      <c r="C5224" s="2" t="str">
        <f ca="1">IFERROR(__xludf.DUMMYFUNCTION("GOOGLETRANSLATE(A5224,""bn"",""en"")"),"The book is very informative")</f>
        <v>The book is very informative</v>
      </c>
    </row>
    <row r="5225" spans="1:3" ht="15.75" customHeight="1" x14ac:dyDescent="0.25">
      <c r="A5225" s="2" t="s">
        <v>5227</v>
      </c>
      <c r="B5225" s="3" t="s">
        <v>4</v>
      </c>
      <c r="C5225" s="2" t="str">
        <f ca="1">IFERROR(__xludf.DUMMYFUNCTION("GOOGLETRANSLATE(A5225,""bn"",""en"")"),"very comfortable")</f>
        <v>very comfortable</v>
      </c>
    </row>
    <row r="5226" spans="1:3" ht="15.75" customHeight="1" x14ac:dyDescent="0.25">
      <c r="A5226" s="2" t="s">
        <v>5228</v>
      </c>
      <c r="B5226" s="3" t="s">
        <v>2</v>
      </c>
      <c r="C5226" s="2" t="str">
        <f ca="1">IFERROR(__xludf.DUMMYFUNCTION("GOOGLETRANSLATE(A5226,""bn"",""en"")"),"Last time it was glass bottle but this time plastic bottle")</f>
        <v>Last time it was glass bottle but this time plastic bottle</v>
      </c>
    </row>
    <row r="5227" spans="1:3" ht="15.75" customHeight="1" x14ac:dyDescent="0.25">
      <c r="A5227" s="2" t="s">
        <v>5229</v>
      </c>
      <c r="B5227" s="3" t="s">
        <v>6</v>
      </c>
      <c r="C5227" s="2" t="str">
        <f ca="1">IFERROR(__xludf.DUMMYFUNCTION("GOOGLETRANSLATE(A5227,""bn"",""en"")"),"Opening the package exposes the product")</f>
        <v>Opening the package exposes the product</v>
      </c>
    </row>
    <row r="5228" spans="1:3" ht="15.75" customHeight="1" x14ac:dyDescent="0.25">
      <c r="A5228" s="2" t="s">
        <v>5230</v>
      </c>
      <c r="B5228" s="3" t="s">
        <v>2</v>
      </c>
      <c r="C5228" s="2" t="str">
        <f ca="1">IFERROR(__xludf.DUMMYFUNCTION("GOOGLETRANSLATE(A5228,""bn"",""en"")"),"Reusable but resizes slightly after each use")</f>
        <v>Reusable but resizes slightly after each use</v>
      </c>
    </row>
    <row r="5229" spans="1:3" ht="15.75" customHeight="1" x14ac:dyDescent="0.25">
      <c r="A5229" s="2" t="s">
        <v>5231</v>
      </c>
      <c r="B5229" s="3" t="s">
        <v>4</v>
      </c>
      <c r="C5229" s="2" t="str">
        <f ca="1">IFERROR(__xludf.DUMMYFUNCTION("GOOGLETRANSLATE(A5229,""bn"",""en"")"),"Very cost effective")</f>
        <v>Very cost effective</v>
      </c>
    </row>
    <row r="5230" spans="1:3" ht="15.75" customHeight="1" x14ac:dyDescent="0.25">
      <c r="A5230" s="2" t="s">
        <v>5232</v>
      </c>
      <c r="B5230" s="3" t="s">
        <v>6</v>
      </c>
      <c r="C5230" s="2" t="str">
        <f ca="1">IFERROR(__xludf.DUMMYFUNCTION("GOOGLETRANSLATE(A5230,""bn"",""en"")"),"The volumizing shampoo didn't add any volume to my hair and made it look flat")</f>
        <v>The volumizing shampoo didn't add any volume to my hair and made it look flat</v>
      </c>
    </row>
    <row r="5231" spans="1:3" ht="15.75" customHeight="1" x14ac:dyDescent="0.25">
      <c r="A5231" s="2" t="s">
        <v>5233</v>
      </c>
      <c r="B5231" s="3" t="s">
        <v>4</v>
      </c>
      <c r="C5231" s="2" t="str">
        <f ca="1">IFERROR(__xludf.DUMMYFUNCTION("GOOGLETRANSLATE(A5231,""bn"",""en"")"),"Brings a sense of natural beauty into the home")</f>
        <v>Brings a sense of natural beauty into the home</v>
      </c>
    </row>
    <row r="5232" spans="1:3" ht="15.75" customHeight="1" x14ac:dyDescent="0.25">
      <c r="A5232" s="2" t="s">
        <v>5234</v>
      </c>
      <c r="B5232" s="3" t="s">
        <v>2</v>
      </c>
      <c r="C5232" s="2" t="str">
        <f ca="1">IFERROR(__xludf.DUMMYFUNCTION("GOOGLETRANSLATE(A5232,""bn"",""en"")"),"Noodles are easy to cook but nothing new in taste")</f>
        <v>Noodles are easy to cook but nothing new in taste</v>
      </c>
    </row>
    <row r="5233" spans="1:3" ht="15.75" customHeight="1" x14ac:dyDescent="0.25">
      <c r="A5233" s="2" t="s">
        <v>5235</v>
      </c>
      <c r="B5233" s="3" t="s">
        <v>2</v>
      </c>
      <c r="C5233" s="2" t="str">
        <f ca="1">IFERROR(__xludf.DUMMYFUNCTION("GOOGLETRANSLATE(A5233,""bn"",""en"")"),"Excessive use may loosen fabric fibers")</f>
        <v>Excessive use may loosen fabric fibers</v>
      </c>
    </row>
    <row r="5234" spans="1:3" ht="15.75" customHeight="1" x14ac:dyDescent="0.25">
      <c r="A5234" s="2" t="s">
        <v>5236</v>
      </c>
      <c r="B5234" s="3" t="s">
        <v>4</v>
      </c>
      <c r="C5234" s="2" t="str">
        <f ca="1">IFERROR(__xludf.DUMMYFUNCTION("GOOGLETRANSLATE(A5234,""bn"",""en"")"),"It can be put away to make room for other equipment")</f>
        <v>It can be put away to make room for other equipment</v>
      </c>
    </row>
    <row r="5235" spans="1:3" ht="15.75" customHeight="1" x14ac:dyDescent="0.25">
      <c r="A5235" s="2" t="s">
        <v>5237</v>
      </c>
      <c r="B5235" s="3" t="s">
        <v>6</v>
      </c>
      <c r="C5235" s="2" t="str">
        <f ca="1">IFERROR(__xludf.DUMMYFUNCTION("GOOGLETRANSLATE(A5235,""bn"",""en"")"),"The frozen vegetables were bland and lacked flavor like they were overcooked")</f>
        <v>The frozen vegetables were bland and lacked flavor like they were overcooked</v>
      </c>
    </row>
    <row r="5236" spans="1:3" ht="15.75" customHeight="1" x14ac:dyDescent="0.25">
      <c r="A5236" s="2" t="s">
        <v>5238</v>
      </c>
      <c r="B5236" s="3" t="s">
        <v>4</v>
      </c>
      <c r="C5236" s="2" t="str">
        <f ca="1">IFERROR(__xludf.DUMMYFUNCTION("GOOGLETRANSLATE(A5236,""bn"",""en"")"),"Great for indoor events")</f>
        <v>Great for indoor events</v>
      </c>
    </row>
    <row r="5237" spans="1:3" ht="15.75" customHeight="1" x14ac:dyDescent="0.25">
      <c r="A5237" s="2" t="s">
        <v>5239</v>
      </c>
      <c r="B5237" s="3" t="s">
        <v>2</v>
      </c>
      <c r="C5237" s="2" t="str">
        <f ca="1">IFERROR(__xludf.DUMMYFUNCTION("GOOGLETRANSLATE(A5237,""bn"",""en"")"),"It works and some parts are not visible which can be lost")</f>
        <v>It works and some parts are not visible which can be lost</v>
      </c>
    </row>
    <row r="5238" spans="1:3" ht="15.75" customHeight="1" x14ac:dyDescent="0.25">
      <c r="A5238" s="2" t="s">
        <v>5240</v>
      </c>
      <c r="B5238" s="3" t="s">
        <v>6</v>
      </c>
      <c r="C5238" s="2" t="str">
        <f ca="1">IFERROR(__xludf.DUMMYFUNCTION("GOOGLETRANSLATE(A5238,""bn"",""en"")"),"The brush had an uncomfortable grip which caused hand fatigue")</f>
        <v>The brush had an uncomfortable grip which caused hand fatigue</v>
      </c>
    </row>
    <row r="5239" spans="1:3" ht="15.75" customHeight="1" x14ac:dyDescent="0.25">
      <c r="A5239" s="2" t="s">
        <v>5241</v>
      </c>
      <c r="B5239" s="3" t="s">
        <v>4</v>
      </c>
      <c r="C5239" s="2" t="str">
        <f ca="1">IFERROR(__xludf.DUMMYFUNCTION("GOOGLETRANSLATE(A5239,""bn"",""en"")"),"The pictures will turn out great")</f>
        <v>The pictures will turn out great</v>
      </c>
    </row>
    <row r="5240" spans="1:3" ht="15.75" customHeight="1" x14ac:dyDescent="0.25">
      <c r="A5240" s="2" t="s">
        <v>5242</v>
      </c>
      <c r="B5240" s="3" t="s">
        <v>6</v>
      </c>
      <c r="C5240" s="2" t="str">
        <f ca="1">IFERROR(__xludf.DUMMYFUNCTION("GOOGLETRANSLATE(A5240,""bn"",""en"")"),"The hair mask was difficult to wash off and left my hair feeling heavy and coated")</f>
        <v>The hair mask was difficult to wash off and left my hair feeling heavy and coated</v>
      </c>
    </row>
    <row r="5241" spans="1:3" ht="15.75" customHeight="1" x14ac:dyDescent="0.25">
      <c r="A5241" s="2" t="s">
        <v>5243</v>
      </c>
      <c r="B5241" s="3" t="s">
        <v>4</v>
      </c>
      <c r="C5241" s="2" t="str">
        <f ca="1">IFERROR(__xludf.DUMMYFUNCTION("GOOGLETRANSLATE(A5241,""bn"",""en"")"),"Makeup brushes are portable")</f>
        <v>Makeup brushes are portable</v>
      </c>
    </row>
    <row r="5242" spans="1:3" ht="15.75" customHeight="1" x14ac:dyDescent="0.25">
      <c r="A5242" s="2" t="s">
        <v>5244</v>
      </c>
      <c r="B5242" s="3" t="s">
        <v>2</v>
      </c>
      <c r="C5242" s="2" t="str">
        <f ca="1">IFERROR(__xludf.DUMMYFUNCTION("GOOGLETRANSLATE(A5242,""bn"",""en"")"),"Size options are somewhat limited")</f>
        <v>Size options are somewhat limited</v>
      </c>
    </row>
    <row r="5243" spans="1:3" ht="15.75" customHeight="1" x14ac:dyDescent="0.25">
      <c r="A5243" s="2" t="s">
        <v>5245</v>
      </c>
      <c r="B5243" s="3" t="s">
        <v>4</v>
      </c>
      <c r="C5243" s="2" t="str">
        <f ca="1">IFERROR(__xludf.DUMMYFUNCTION("GOOGLETRANSLATE(A5243,""bn"",""en"")"),"The product is effective and efficient")</f>
        <v>The product is effective and efficient</v>
      </c>
    </row>
    <row r="5244" spans="1:3" ht="15.75" customHeight="1" x14ac:dyDescent="0.25">
      <c r="A5244" s="2" t="s">
        <v>5246</v>
      </c>
      <c r="B5244" s="3" t="s">
        <v>6</v>
      </c>
      <c r="C5244" s="2" t="str">
        <f ca="1">IFERROR(__xludf.DUMMYFUNCTION("GOOGLETRANSLATE(A5244,""bn"",""en"")"),"Toaster oven timer knobs are difficult to adjust during hard cooking")</f>
        <v>Toaster oven timer knobs are difficult to adjust during hard cooking</v>
      </c>
    </row>
    <row r="5245" spans="1:3" ht="15.75" customHeight="1" x14ac:dyDescent="0.25">
      <c r="A5245" s="2" t="s">
        <v>5247</v>
      </c>
      <c r="B5245" s="3" t="s">
        <v>6</v>
      </c>
      <c r="C5245" s="2" t="str">
        <f ca="1">IFERROR(__xludf.DUMMYFUNCTION("GOOGLETRANSLATE(A5245,""bn"",""en"")"),"The smell was stale which indicated poor quality beans")</f>
        <v>The smell was stale which indicated poor quality beans</v>
      </c>
    </row>
    <row r="5246" spans="1:3" ht="15.75" customHeight="1" x14ac:dyDescent="0.25">
      <c r="A5246" s="2" t="s">
        <v>5248</v>
      </c>
      <c r="B5246" s="3" t="s">
        <v>6</v>
      </c>
      <c r="C5246" s="2" t="str">
        <f ca="1">IFERROR(__xludf.DUMMYFUNCTION("GOOGLETRANSLATE(A5246,""bn"",""en"")"),"The tea had a chemical taste that indicated contamination or poor processing")</f>
        <v>The tea had a chemical taste that indicated contamination or poor processing</v>
      </c>
    </row>
    <row r="5247" spans="1:3" ht="15.75" customHeight="1" x14ac:dyDescent="0.25">
      <c r="A5247" s="2" t="s">
        <v>5249</v>
      </c>
      <c r="B5247" s="3" t="s">
        <v>4</v>
      </c>
      <c r="C5247" s="2" t="str">
        <f ca="1">IFERROR(__xludf.DUMMYFUNCTION("GOOGLETRANSLATE(A5247,""bn"",""en"")"),"It is very convenient and quick to use")</f>
        <v>It is very convenient and quick to use</v>
      </c>
    </row>
    <row r="5248" spans="1:3" ht="15.75" customHeight="1" x14ac:dyDescent="0.25">
      <c r="A5248" s="2" t="s">
        <v>5250</v>
      </c>
      <c r="B5248" s="3" t="s">
        <v>4</v>
      </c>
      <c r="C5248" s="2" t="str">
        <f ca="1">IFERROR(__xludf.DUMMYFUNCTION("GOOGLETRANSLATE(A5248,""bn"",""en"")"),"The design and finishing of the new bag is perfect")</f>
        <v>The design and finishing of the new bag is perfect</v>
      </c>
    </row>
    <row r="5249" spans="1:3" ht="15.75" customHeight="1" x14ac:dyDescent="0.25">
      <c r="A5249" s="2" t="s">
        <v>5251</v>
      </c>
      <c r="B5249" s="3" t="s">
        <v>4</v>
      </c>
      <c r="C5249" s="2" t="str">
        <f ca="1">IFERROR(__xludf.DUMMYFUNCTION("GOOGLETRANSLATE(A5249,""bn"",""en"")"),"The bookcase makes my room look like a library")</f>
        <v>The bookcase makes my room look like a library</v>
      </c>
    </row>
    <row r="5250" spans="1:3" ht="15.75" customHeight="1" x14ac:dyDescent="0.25">
      <c r="A5250" s="2" t="s">
        <v>5252</v>
      </c>
      <c r="B5250" s="3" t="s">
        <v>2</v>
      </c>
      <c r="C5250" s="2" t="str">
        <f ca="1">IFERROR(__xludf.DUMMYFUNCTION("GOOGLETRANSLATE(A5250,""bn"",""en"")"),"Can be used to clean laptop body")</f>
        <v>Can be used to clean laptop body</v>
      </c>
    </row>
    <row r="5251" spans="1:3" ht="15.75" customHeight="1" x14ac:dyDescent="0.25">
      <c r="A5251" s="2" t="s">
        <v>5253</v>
      </c>
      <c r="B5251" s="3" t="s">
        <v>6</v>
      </c>
      <c r="C5251" s="2" t="str">
        <f ca="1">IFERROR(__xludf.DUMMYFUNCTION("GOOGLETRANSLATE(A5251,""bn"",""en"")"),"The handle of the chapata broke after a few uses")</f>
        <v>The handle of the chapata broke after a few uses</v>
      </c>
    </row>
    <row r="5252" spans="1:3" ht="15.75" customHeight="1" x14ac:dyDescent="0.25">
      <c r="A5252" s="2" t="s">
        <v>5254</v>
      </c>
      <c r="B5252" s="3" t="s">
        <v>6</v>
      </c>
      <c r="C5252" s="2" t="str">
        <f ca="1">IFERROR(__xludf.DUMMYFUNCTION("GOOGLETRANSLATE(A5252,""bn"",""en"")"),"  The gel didn't lather well and left my skin feeling unclean")</f>
        <v xml:space="preserve">  The gel didn't lather well and left my skin feeling unclean</v>
      </c>
    </row>
    <row r="5253" spans="1:3" ht="15.75" customHeight="1" x14ac:dyDescent="0.25">
      <c r="A5253" s="2" t="s">
        <v>5255</v>
      </c>
      <c r="B5253" s="3" t="s">
        <v>6</v>
      </c>
      <c r="C5253" s="2" t="str">
        <f ca="1">IFERROR(__xludf.DUMMYFUNCTION("GOOGLETRANSLATE(A5253,""bn"",""en"")"),"Waste of money poor quality flimsy dolls")</f>
        <v>Waste of money poor quality flimsy dolls</v>
      </c>
    </row>
    <row r="5254" spans="1:3" ht="15.75" customHeight="1" x14ac:dyDescent="0.25">
      <c r="A5254" s="2" t="s">
        <v>5256</v>
      </c>
      <c r="B5254" s="3" t="s">
        <v>4</v>
      </c>
      <c r="C5254" s="2" t="str">
        <f ca="1">IFERROR(__xludf.DUMMYFUNCTION("GOOGLETRANSLATE(A5254,""bn"",""en"")"),"The signal range of the remote is good and I can control the AC from any corner of the room")</f>
        <v>The signal range of the remote is good and I can control the AC from any corner of the room</v>
      </c>
    </row>
    <row r="5255" spans="1:3" ht="15.75" customHeight="1" x14ac:dyDescent="0.25">
      <c r="A5255" s="2" t="s">
        <v>5257</v>
      </c>
      <c r="B5255" s="3" t="s">
        <v>6</v>
      </c>
      <c r="C5255" s="2" t="str">
        <f ca="1">IFERROR(__xludf.DUMMYFUNCTION("GOOGLETRANSLATE(A5255,""bn"",""en"")"),"Clothing materials emit a strong chemical odor that indicates poor quality and potentially dangerous manufacturing processes")</f>
        <v>Clothing materials emit a strong chemical odor that indicates poor quality and potentially dangerous manufacturing processes</v>
      </c>
    </row>
    <row r="5256" spans="1:3" ht="15.75" customHeight="1" x14ac:dyDescent="0.25">
      <c r="A5256" s="2" t="s">
        <v>5258</v>
      </c>
      <c r="B5256" s="3" t="s">
        <v>2</v>
      </c>
      <c r="C5256" s="2" t="str">
        <f ca="1">IFERROR(__xludf.DUMMYFUNCTION("GOOGLETRANSLATE(A5256,""bn"",""en"")"),"The design is attractive but the fabric is thin")</f>
        <v>The design is attractive but the fabric is thin</v>
      </c>
    </row>
    <row r="5257" spans="1:3" ht="15.75" customHeight="1" x14ac:dyDescent="0.25">
      <c r="A5257" s="2" t="s">
        <v>5259</v>
      </c>
      <c r="B5257" s="3" t="s">
        <v>6</v>
      </c>
      <c r="C5257" s="2" t="str">
        <f ca="1">IFERROR(__xludf.DUMMYFUNCTION("GOOGLETRANSLATE(A5257,""bn"",""en"")"),"The color is monotonous with no variety")</f>
        <v>The color is monotonous with no variety</v>
      </c>
    </row>
    <row r="5258" spans="1:3" ht="15.75" customHeight="1" x14ac:dyDescent="0.25">
      <c r="A5258" s="2" t="s">
        <v>5260</v>
      </c>
      <c r="B5258" s="3" t="s">
        <v>6</v>
      </c>
      <c r="C5258" s="2" t="str">
        <f ca="1">IFERROR(__xludf.DUMMYFUNCTION("GOOGLETRANSLATE(A5258,""bn"",""en"")"),"Consumption has decreased due to pollution")</f>
        <v>Consumption has decreased due to pollution</v>
      </c>
    </row>
    <row r="5259" spans="1:3" ht="15.75" customHeight="1" x14ac:dyDescent="0.25">
      <c r="A5259" s="2" t="s">
        <v>5261</v>
      </c>
      <c r="B5259" s="3" t="s">
        <v>4</v>
      </c>
      <c r="C5259" s="2" t="str">
        <f ca="1">IFERROR(__xludf.DUMMYFUNCTION("GOOGLETRANSLATE(A5259,""bn"",""en"")"),"Teeth become very clean and shiny")</f>
        <v>Teeth become very clean and shiny</v>
      </c>
    </row>
    <row r="5260" spans="1:3" ht="15.75" customHeight="1" x14ac:dyDescent="0.25">
      <c r="A5260" s="2" t="s">
        <v>5262</v>
      </c>
      <c r="B5260" s="3" t="s">
        <v>6</v>
      </c>
      <c r="C5260" s="2" t="str">
        <f ca="1">IFERROR(__xludf.DUMMYFUNCTION("GOOGLETRANSLATE(A5260,""bn"",""en"")"),"Subpar construction is prone to damage")</f>
        <v>Subpar construction is prone to damage</v>
      </c>
    </row>
    <row r="5261" spans="1:3" ht="15.75" customHeight="1" x14ac:dyDescent="0.25">
      <c r="A5261" s="2" t="s">
        <v>5263</v>
      </c>
      <c r="B5261" s="3" t="s">
        <v>6</v>
      </c>
      <c r="C5261" s="2" t="str">
        <f ca="1">IFERROR(__xludf.DUMMYFUNCTION("GOOGLETRANSLATE(A5261,""bn"",""en"")"),"A dirty and dusty rabbit with a doll was found to be unclean and unsanitary.")</f>
        <v>A dirty and dusty rabbit with a doll was found to be unclean and unsanitary.</v>
      </c>
    </row>
    <row r="5262" spans="1:3" ht="15.75" customHeight="1" x14ac:dyDescent="0.25">
      <c r="A5262" s="2" t="s">
        <v>5264</v>
      </c>
      <c r="B5262" s="3" t="s">
        <v>2</v>
      </c>
      <c r="C5262" s="2" t="str">
        <f ca="1">IFERROR(__xludf.DUMMYFUNCTION("GOOGLETRANSLATE(A5262,""bn"",""en"")"),"No recycled material used")</f>
        <v>No recycled material used</v>
      </c>
    </row>
    <row r="5263" spans="1:3" ht="15.75" customHeight="1" x14ac:dyDescent="0.25">
      <c r="A5263" s="2" t="s">
        <v>5265</v>
      </c>
      <c r="B5263" s="3" t="s">
        <v>6</v>
      </c>
      <c r="C5263" s="2" t="str">
        <f ca="1">IFERROR(__xludf.DUMMYFUNCTION("GOOGLETRANSLATE(A5263,""bn"",""en"")"),"The cups were badly glazed with rough edges that cut my lips")</f>
        <v>The cups were badly glazed with rough edges that cut my lips</v>
      </c>
    </row>
    <row r="5264" spans="1:3" ht="15.75" customHeight="1" x14ac:dyDescent="0.25">
      <c r="A5264" s="2" t="s">
        <v>5266</v>
      </c>
      <c r="B5264" s="3" t="s">
        <v>6</v>
      </c>
      <c r="C5264" s="2" t="str">
        <f ca="1">IFERROR(__xludf.DUMMYFUNCTION("GOOGLETRANSLATE(A5264,""bn"",""en"")")," The color faded unevenly giving it a washed out look")</f>
        <v xml:space="preserve"> The color faded unevenly giving it a washed out look</v>
      </c>
    </row>
    <row r="5265" spans="1:3" ht="15.75" customHeight="1" x14ac:dyDescent="0.25">
      <c r="A5265" s="2" t="s">
        <v>5267</v>
      </c>
      <c r="B5265" s="3" t="s">
        <v>2</v>
      </c>
      <c r="C5265" s="2" t="str">
        <f ca="1">IFERROR(__xludf.DUMMYFUNCTION("GOOGLETRANSLATE(A5265,""bn"",""en"")"),"Paper Size A")</f>
        <v>Paper Size A</v>
      </c>
    </row>
    <row r="5266" spans="1:3" ht="15.75" customHeight="1" x14ac:dyDescent="0.25">
      <c r="A5266" s="2" t="s">
        <v>5268</v>
      </c>
      <c r="B5266" s="3" t="s">
        <v>4</v>
      </c>
      <c r="C5266" s="2" t="str">
        <f ca="1">IFERROR(__xludf.DUMMYFUNCTION("GOOGLETRANSLATE(A5266,""bn"",""en"")"),"The sound quality on this radio is very good")</f>
        <v>The sound quality on this radio is very good</v>
      </c>
    </row>
    <row r="5267" spans="1:3" ht="15.75" customHeight="1" x14ac:dyDescent="0.25">
      <c r="A5267" s="2" t="s">
        <v>5269</v>
      </c>
      <c r="B5267" s="3" t="s">
        <v>6</v>
      </c>
      <c r="C5267" s="2" t="str">
        <f ca="1">IFERROR(__xludf.DUMMYFUNCTION("GOOGLETRANSLATE(A5267,""bn"",""en"")"),"Illness shows false sizing which creates an uncomfortable garment")</f>
        <v>Illness shows false sizing which creates an uncomfortable garment</v>
      </c>
    </row>
    <row r="5268" spans="1:3" ht="15.75" customHeight="1" x14ac:dyDescent="0.25">
      <c r="A5268" s="2" t="s">
        <v>5270</v>
      </c>
      <c r="B5268" s="3" t="s">
        <v>6</v>
      </c>
      <c r="C5268" s="2" t="str">
        <f ca="1">IFERROR(__xludf.DUMMYFUNCTION("GOOGLETRANSLATE(A5268,""bn"",""en"")"),"Unsatisfactory cleanliness is a hygiene concern")</f>
        <v>Unsatisfactory cleanliness is a hygiene concern</v>
      </c>
    </row>
    <row r="5269" spans="1:3" ht="15.75" customHeight="1" x14ac:dyDescent="0.25">
      <c r="A5269" s="2" t="s">
        <v>5271</v>
      </c>
      <c r="B5269" s="3" t="s">
        <v>4</v>
      </c>
      <c r="C5269" s="2" t="str">
        <f ca="1">IFERROR(__xludf.DUMMYFUNCTION("GOOGLETRANSLATE(A5269,""bn"",""en"")"),"The child is very happy with his new book")</f>
        <v>The child is very happy with his new book</v>
      </c>
    </row>
    <row r="5270" spans="1:3" ht="15.75" customHeight="1" x14ac:dyDescent="0.25">
      <c r="A5270" s="2" t="s">
        <v>5272</v>
      </c>
      <c r="B5270" s="3" t="s">
        <v>4</v>
      </c>
      <c r="C5270" s="2" t="str">
        <f ca="1">IFERROR(__xludf.DUMMYFUNCTION("GOOGLETRANSLATE(A5270,""bn"",""en"")"),"This bag is very suitable for traveling")</f>
        <v>This bag is very suitable for traveling</v>
      </c>
    </row>
    <row r="5271" spans="1:3" ht="15.75" customHeight="1" x14ac:dyDescent="0.25">
      <c r="A5271" s="2" t="s">
        <v>5273</v>
      </c>
      <c r="B5271" s="3" t="s">
        <v>2</v>
      </c>
      <c r="C5271" s="2" t="str">
        <f ca="1">IFERROR(__xludf.DUMMYFUNCTION("GOOGLETRANSLATE(A5271,""bn"",""en"")"),"The cups have good capacity but the handle is short")</f>
        <v>The cups have good capacity but the handle is short</v>
      </c>
    </row>
    <row r="5272" spans="1:3" ht="15.75" customHeight="1" x14ac:dyDescent="0.25">
      <c r="A5272" s="2" t="s">
        <v>5274</v>
      </c>
      <c r="B5272" s="3" t="s">
        <v>4</v>
      </c>
      <c r="C5272" s="2" t="str">
        <f ca="1">IFERROR(__xludf.DUMMYFUNCTION("GOOGLETRANSLATE(A5272,""bn"",""en"")"),"The boy has excelled in his exams")</f>
        <v>The boy has excelled in his exams</v>
      </c>
    </row>
    <row r="5273" spans="1:3" ht="15.75" customHeight="1" x14ac:dyDescent="0.25">
      <c r="A5273" s="2" t="s">
        <v>5275</v>
      </c>
      <c r="B5273" s="3" t="s">
        <v>4</v>
      </c>
      <c r="C5273" s="2" t="str">
        <f ca="1">IFERROR(__xludf.DUMMYFUNCTION("GOOGLETRANSLATE(A5273,""bn"",""en"")"),"Bedside tables have hidden drawers for extra storage")</f>
        <v>Bedside tables have hidden drawers for extra storage</v>
      </c>
    </row>
    <row r="5274" spans="1:3" ht="15.75" customHeight="1" x14ac:dyDescent="0.25">
      <c r="A5274" s="2" t="s">
        <v>5276</v>
      </c>
      <c r="B5274" s="3" t="s">
        <v>2</v>
      </c>
      <c r="C5274" s="2" t="str">
        <f ca="1">IFERROR(__xludf.DUMMYFUNCTION("GOOGLETRANSLATE(A5274,""bn"",""en"")"),"Comes in handy on winter nights")</f>
        <v>Comes in handy on winter nights</v>
      </c>
    </row>
    <row r="5275" spans="1:3" ht="15.75" customHeight="1" x14ac:dyDescent="0.25">
      <c r="A5275" s="2" t="s">
        <v>5277</v>
      </c>
      <c r="B5275" s="3" t="s">
        <v>6</v>
      </c>
      <c r="C5275" s="2" t="str">
        <f ca="1">IFERROR(__xludf.DUMMYFUNCTION("GOOGLETRANSLATE(A5275,""bn"",""en"")"),"Despite its water-resistant claim, the laptop bag gets wet easily in rainy weather, leaving my device damp and unprotected.")</f>
        <v>Despite its water-resistant claim, the laptop bag gets wet easily in rainy weather, leaving my device damp and unprotected.</v>
      </c>
    </row>
    <row r="5276" spans="1:3" ht="15.75" customHeight="1" x14ac:dyDescent="0.25">
      <c r="A5276" s="2" t="s">
        <v>5278</v>
      </c>
      <c r="B5276" s="3" t="s">
        <v>2</v>
      </c>
      <c r="C5276" s="2" t="str">
        <f ca="1">IFERROR(__xludf.DUMMYFUNCTION("GOOGLETRANSLATE(A5276,""bn"",""en"")"),"Bose headphones sound good but not perfect")</f>
        <v>Bose headphones sound good but not perfect</v>
      </c>
    </row>
    <row r="5277" spans="1:3" ht="15.75" customHeight="1" x14ac:dyDescent="0.25">
      <c r="A5277" s="2" t="s">
        <v>5279</v>
      </c>
      <c r="B5277" s="3" t="s">
        <v>2</v>
      </c>
      <c r="C5277" s="2" t="str">
        <f ca="1">IFERROR(__xludf.DUMMYFUNCTION("GOOGLETRANSLATE(A5277,""bn"",""en"")"),"Good for fashion but quality needs improvement")</f>
        <v>Good for fashion but quality needs improvement</v>
      </c>
    </row>
    <row r="5278" spans="1:3" ht="15.75" customHeight="1" x14ac:dyDescent="0.25">
      <c r="A5278" s="2" t="s">
        <v>5280</v>
      </c>
      <c r="B5278" s="3" t="s">
        <v>6</v>
      </c>
      <c r="C5278" s="2" t="str">
        <f ca="1">IFERROR(__xludf.DUMMYFUNCTION("GOOGLETRANSLATE(A5278,""bn"",""en"")"),"Dirty dolls detract from the charm of the book")</f>
        <v>Dirty dolls detract from the charm of the book</v>
      </c>
    </row>
    <row r="5279" spans="1:3" ht="15.75" customHeight="1" x14ac:dyDescent="0.25">
      <c r="A5279" s="2" t="s">
        <v>5281</v>
      </c>
      <c r="B5279" s="3" t="s">
        <v>6</v>
      </c>
      <c r="C5279" s="2" t="str">
        <f ca="1">IFERROR(__xludf.DUMMYFUNCTION("GOOGLETRANSLATE(A5279,""bn"",""en"")"),"The lack of breathability of the fabric causes sweating and discomfort especially in warm weather")</f>
        <v>The lack of breathability of the fabric causes sweating and discomfort especially in warm weather</v>
      </c>
    </row>
    <row r="5280" spans="1:3" ht="15.75" customHeight="1" x14ac:dyDescent="0.25">
      <c r="A5280" s="2" t="s">
        <v>5282</v>
      </c>
      <c r="B5280" s="3" t="s">
        <v>6</v>
      </c>
      <c r="C5280" s="2" t="str">
        <f ca="1">IFERROR(__xludf.DUMMYFUNCTION("GOOGLETRANSLATE(A5280,""bn"",""en"")"),"Received a dress with a dirty and deformed doll is unacceptable condition")</f>
        <v>Received a dress with a dirty and deformed doll is unacceptable condition</v>
      </c>
    </row>
    <row r="5281" spans="1:3" ht="15.75" customHeight="1" x14ac:dyDescent="0.25">
      <c r="A5281" s="2" t="s">
        <v>5283</v>
      </c>
      <c r="B5281" s="3" t="s">
        <v>6</v>
      </c>
      <c r="C5281" s="2" t="str">
        <f ca="1">IFERROR(__xludf.DUMMYFUNCTION("GOOGLETRANSLATE(A5281,""bn"",""en"")"),"Electric kettle lids do not open smoothly, creating a safety hazard")</f>
        <v>Electric kettle lids do not open smoothly, creating a safety hazard</v>
      </c>
    </row>
    <row r="5282" spans="1:3" ht="15.75" customHeight="1" x14ac:dyDescent="0.25">
      <c r="A5282" s="2" t="s">
        <v>5284</v>
      </c>
      <c r="B5282" s="3" t="s">
        <v>4</v>
      </c>
      <c r="C5282" s="2" t="str">
        <f ca="1">IFERROR(__xludf.DUMMYFUNCTION("GOOGLETRANSLATE(A5282,""bn"",""en"")"),"It is useful for cold and cough")</f>
        <v>It is useful for cold and cough</v>
      </c>
    </row>
    <row r="5283" spans="1:3" ht="15.75" customHeight="1" x14ac:dyDescent="0.25">
      <c r="A5283" s="2" t="s">
        <v>5285</v>
      </c>
      <c r="B5283" s="3" t="s">
        <v>4</v>
      </c>
      <c r="C5283" s="2" t="str">
        <f ca="1">IFERROR(__xludf.DUMMYFUNCTION("GOOGLETRANSLATE(A5283,""bn"",""en"")"),"It has SPF that protects from the sun's harmful rays")</f>
        <v>It has SPF that protects from the sun's harmful rays</v>
      </c>
    </row>
    <row r="5284" spans="1:3" ht="15.75" customHeight="1" x14ac:dyDescent="0.25">
      <c r="A5284" s="2" t="s">
        <v>5286</v>
      </c>
      <c r="B5284" s="3" t="s">
        <v>4</v>
      </c>
      <c r="C5284" s="2" t="str">
        <f ca="1">IFERROR(__xludf.DUMMYFUNCTION("GOOGLETRANSLATE(A5284,""bn"",""en"")"),"Definitely a good buy for the price")</f>
        <v>Definitely a good buy for the price</v>
      </c>
    </row>
    <row r="5285" spans="1:3" ht="15.75" customHeight="1" x14ac:dyDescent="0.25">
      <c r="A5285" s="2" t="s">
        <v>5287</v>
      </c>
      <c r="B5285" s="3" t="s">
        <v>6</v>
      </c>
      <c r="C5285" s="2" t="str">
        <f ca="1">IFERROR(__xludf.DUMMYFUNCTION("GOOGLETRANSLATE(A5285,""bn"",""en"")"),"Solar powered fountain pumps do not work in the shade limited placement")</f>
        <v>Solar powered fountain pumps do not work in the shade limited placement</v>
      </c>
    </row>
    <row r="5286" spans="1:3" ht="15.75" customHeight="1" x14ac:dyDescent="0.25">
      <c r="A5286" s="2" t="s">
        <v>5288</v>
      </c>
      <c r="B5286" s="3" t="s">
        <v>2</v>
      </c>
      <c r="C5286" s="2" t="str">
        <f ca="1">IFERROR(__xludf.DUMMYFUNCTION("GOOGLETRANSLATE(A5286,""bn"",""en"")"),"Can be ideal for sewing")</f>
        <v>Can be ideal for sewing</v>
      </c>
    </row>
    <row r="5287" spans="1:3" ht="15.75" customHeight="1" x14ac:dyDescent="0.25">
      <c r="A5287" s="2" t="s">
        <v>5289</v>
      </c>
      <c r="B5287" s="3" t="s">
        <v>4</v>
      </c>
      <c r="C5287" s="2" t="str">
        <f ca="1">IFERROR(__xludf.DUMMYFUNCTION("GOOGLETRANSLATE(A5287,""bn"",""en"")"),"I especially like the soup bowls that come with the set, they are deep and big perfect for eating my favorite hot soups")</f>
        <v>I especially like the soup bowls that come with the set, they are deep and big perfect for eating my favorite hot soups</v>
      </c>
    </row>
    <row r="5288" spans="1:3" ht="15.75" customHeight="1" x14ac:dyDescent="0.25">
      <c r="A5288" s="2" t="s">
        <v>5290</v>
      </c>
      <c r="B5288" s="3" t="s">
        <v>6</v>
      </c>
      <c r="C5288" s="2" t="str">
        <f ca="1">IFERROR(__xludf.DUMMYFUNCTION("GOOGLETRANSLATE(A5288,""bn"",""en"")"),"The toy's sound effects were loud and annoying")</f>
        <v>The toy's sound effects were loud and annoying</v>
      </c>
    </row>
    <row r="5289" spans="1:3" ht="15.75" customHeight="1" x14ac:dyDescent="0.25">
      <c r="A5289" s="2" t="s">
        <v>5291</v>
      </c>
      <c r="B5289" s="3" t="s">
        <v>4</v>
      </c>
      <c r="C5289" s="2" t="str">
        <f ca="1">IFERROR(__xludf.DUMMYFUNCTION("GOOGLETRANSLATE(A5289,""bn"",""en"")"),"Good connection is good sound")</f>
        <v>Good connection is good sound</v>
      </c>
    </row>
    <row r="5290" spans="1:3" ht="15.75" customHeight="1" x14ac:dyDescent="0.25">
      <c r="A5290" s="2" t="s">
        <v>5292</v>
      </c>
      <c r="B5290" s="3" t="s">
        <v>6</v>
      </c>
      <c r="C5290" s="2" t="str">
        <f ca="1">IFERROR(__xludf.DUMMYFUNCTION("GOOGLETRANSLATE(A5290,""bn"",""en"")")," A crib mattress is too thin for a baby to be uncomfortable")</f>
        <v xml:space="preserve"> A crib mattress is too thin for a baby to be uncomfortable</v>
      </c>
    </row>
    <row r="5291" spans="1:3" ht="15.75" customHeight="1" x14ac:dyDescent="0.25">
      <c r="A5291" s="2" t="s">
        <v>5293</v>
      </c>
      <c r="B5291" s="3" t="s">
        <v>2</v>
      </c>
      <c r="C5291" s="2" t="str">
        <f ca="1">IFERROR(__xludf.DUMMYFUNCTION("GOOGLETRANSLATE(A5291,""bn"",""en"")"),"Does not take long to dry")</f>
        <v>Does not take long to dry</v>
      </c>
    </row>
    <row r="5292" spans="1:3" ht="15.75" customHeight="1" x14ac:dyDescent="0.25">
      <c r="A5292" s="2" t="s">
        <v>5294</v>
      </c>
      <c r="B5292" s="3" t="s">
        <v>4</v>
      </c>
      <c r="C5292" s="2" t="str">
        <f ca="1">IFERROR(__xludf.DUMMYFUNCTION("GOOGLETRANSLATE(A5292,""bn"",""en"")"),"Drinking this coffee makes my mind happy")</f>
        <v>Drinking this coffee makes my mind happy</v>
      </c>
    </row>
    <row r="5293" spans="1:3" ht="15.75" customHeight="1" x14ac:dyDescent="0.25">
      <c r="A5293" s="2" t="s">
        <v>5295</v>
      </c>
      <c r="B5293" s="3" t="s">
        <v>4</v>
      </c>
      <c r="C5293" s="2" t="str">
        <f ca="1">IFERROR(__xludf.DUMMYFUNCTION("GOOGLETRANSLATE(A5293,""bn"",""en"")"),"This charger is very useful for me")</f>
        <v>This charger is very useful for me</v>
      </c>
    </row>
    <row r="5294" spans="1:3" ht="15.75" customHeight="1" x14ac:dyDescent="0.25">
      <c r="A5294" s="2" t="s">
        <v>5296</v>
      </c>
      <c r="B5294" s="3" t="s">
        <v>6</v>
      </c>
      <c r="C5294" s="2" t="str">
        <f ca="1">IFERROR(__xludf.DUMMYFUNCTION("GOOGLETRANSLATE(A5294,""bn"",""en"")"),"Heat protectant sprays make my hair feel sticky and weigh it down")</f>
        <v>Heat protectant sprays make my hair feel sticky and weigh it down</v>
      </c>
    </row>
    <row r="5295" spans="1:3" ht="15.75" customHeight="1" x14ac:dyDescent="0.25">
      <c r="A5295" s="2" t="s">
        <v>5297</v>
      </c>
      <c r="B5295" s="3" t="s">
        <v>4</v>
      </c>
      <c r="C5295" s="2" t="str">
        <f ca="1">IFERROR(__xludf.DUMMYFUNCTION("GOOGLETRANSLATE(A5295,""bn"",""en"")"),"Improves the patient's quality of life")</f>
        <v>Improves the patient's quality of life</v>
      </c>
    </row>
    <row r="5296" spans="1:3" ht="15.75" customHeight="1" x14ac:dyDescent="0.25">
      <c r="A5296" s="2" t="s">
        <v>5298</v>
      </c>
      <c r="B5296" s="3" t="s">
        <v>6</v>
      </c>
      <c r="C5296" s="2" t="str">
        <f ca="1">IFERROR(__xludf.DUMMYFUNCTION("GOOGLETRANSLATE(A5296,""bn"",""en"")"),"The item's components were flimsy and prone to breakage")</f>
        <v>The item's components were flimsy and prone to breakage</v>
      </c>
    </row>
    <row r="5297" spans="1:3" ht="15.75" customHeight="1" x14ac:dyDescent="0.25">
      <c r="A5297" s="2" t="s">
        <v>5299</v>
      </c>
      <c r="B5297" s="3" t="s">
        <v>6</v>
      </c>
      <c r="C5297" s="2" t="str">
        <f ca="1">IFERROR(__xludf.DUMMYFUNCTION("GOOGLETRANSLATE(A5297,""bn"",""en"")"),"Despite being marketed as versatile, the design of the dress is impractical and not suitable for limited casual or formal occasions")</f>
        <v>Despite being marketed as versatile, the design of the dress is impractical and not suitable for limited casual or formal occasions</v>
      </c>
    </row>
    <row r="5298" spans="1:3" ht="15.75" customHeight="1" x14ac:dyDescent="0.25">
      <c r="A5298" s="2" t="s">
        <v>5300</v>
      </c>
      <c r="B5298" s="3" t="s">
        <v>2</v>
      </c>
      <c r="C5298" s="2" t="str">
        <f ca="1">IFERROR(__xludf.DUMMYFUNCTION("GOOGLETRANSLATE(A5298,""bn"",""en"")"),"Does not break easily but scratches easily")</f>
        <v>Does not break easily but scratches easily</v>
      </c>
    </row>
    <row r="5299" spans="1:3" ht="15.75" customHeight="1" x14ac:dyDescent="0.25">
      <c r="A5299" s="2" t="s">
        <v>5301</v>
      </c>
      <c r="B5299" s="3" t="s">
        <v>4</v>
      </c>
      <c r="C5299" s="2" t="str">
        <f ca="1">IFERROR(__xludf.DUMMYFUNCTION("GOOGLETRANSLATE(A5299,""bn"",""en"")"),"The fragrance of the shampoo stays on the hair for a long time")</f>
        <v>The fragrance of the shampoo stays on the hair for a long time</v>
      </c>
    </row>
    <row r="5300" spans="1:3" ht="15.75" customHeight="1" x14ac:dyDescent="0.25">
      <c r="A5300" s="2" t="s">
        <v>5302</v>
      </c>
      <c r="B5300" s="3" t="s">
        <v>4</v>
      </c>
      <c r="C5300" s="2" t="str">
        <f ca="1">IFERROR(__xludf.DUMMYFUNCTION("GOOGLETRANSLATE(A5300,""bn"",""en"")"),"Quality good value worked so well I bought a second one great product I am very happy")</f>
        <v>Quality good value worked so well I bought a second one great product I am very happy</v>
      </c>
    </row>
    <row r="5301" spans="1:3" ht="15.75" customHeight="1" x14ac:dyDescent="0.25">
      <c r="A5301" s="2" t="s">
        <v>5303</v>
      </c>
      <c r="B5301" s="3" t="s">
        <v>4</v>
      </c>
      <c r="C5301" s="2" t="str">
        <f ca="1">IFERROR(__xludf.DUMMYFUNCTION("GOOGLETRANSLATE(A5301,""bn"",""en"")"),"Perfect for my needs")</f>
        <v>Perfect for my needs</v>
      </c>
    </row>
    <row r="5302" spans="1:3" ht="15.75" customHeight="1" x14ac:dyDescent="0.25">
      <c r="A5302" s="2" t="s">
        <v>5304</v>
      </c>
      <c r="B5302" s="3" t="s">
        <v>2</v>
      </c>
      <c r="C5302" s="2" t="str">
        <f ca="1">IFERROR(__xludf.DUMMYFUNCTION("GOOGLETRANSLATE(A5302,""bn"",""en"")"),"Very useful although some pieces are less practical")</f>
        <v>Very useful although some pieces are less practical</v>
      </c>
    </row>
    <row r="5303" spans="1:3" ht="15.75" customHeight="1" x14ac:dyDescent="0.25">
      <c r="A5303" s="2" t="s">
        <v>5305</v>
      </c>
      <c r="B5303" s="3" t="s">
        <v>4</v>
      </c>
      <c r="C5303" s="2" t="str">
        <f ca="1">IFERROR(__xludf.DUMMYFUNCTION("GOOGLETRANSLATE(A5303,""bn"",""en"")"),"The instructions that come with the set are very helpful with all the information on how to care for the pillows")</f>
        <v>The instructions that come with the set are very helpful with all the information on how to care for the pillows</v>
      </c>
    </row>
    <row r="5304" spans="1:3" ht="15.75" customHeight="1" x14ac:dyDescent="0.25">
      <c r="A5304" s="2" t="s">
        <v>5306</v>
      </c>
      <c r="B5304" s="3" t="s">
        <v>2</v>
      </c>
      <c r="C5304" s="2" t="str">
        <f ca="1">IFERROR(__xludf.DUMMYFUNCTION("GOOGLETRANSLATE(A5304,""bn"",""en"")"),"Fabric quality is good but color is not liked")</f>
        <v>Fabric quality is good but color is not liked</v>
      </c>
    </row>
    <row r="5305" spans="1:3" ht="15.75" customHeight="1" x14ac:dyDescent="0.25">
      <c r="A5305" s="2" t="s">
        <v>5307</v>
      </c>
      <c r="B5305" s="3" t="s">
        <v>2</v>
      </c>
      <c r="C5305" s="2" t="str">
        <f ca="1">IFERROR(__xludf.DUMMYFUNCTION("GOOGLETRANSLATE(A5305,""bn"",""en"")"),"Global support is not available in all locations but is available in some locations")</f>
        <v>Global support is not available in all locations but is available in some locations</v>
      </c>
    </row>
    <row r="5306" spans="1:3" ht="15.75" customHeight="1" x14ac:dyDescent="0.25">
      <c r="A5306" s="2" t="s">
        <v>5308</v>
      </c>
      <c r="B5306" s="3" t="s">
        <v>4</v>
      </c>
      <c r="C5306" s="2" t="str">
        <f ca="1">IFERROR(__xludf.DUMMYFUNCTION("GOOGLETRANSLATE(A5306,""bn"",""en"")"),"The shelf below the coffee table provides additional storage space")</f>
        <v>The shelf below the coffee table provides additional storage space</v>
      </c>
    </row>
    <row r="5307" spans="1:3" ht="15.75" customHeight="1" x14ac:dyDescent="0.25">
      <c r="A5307" s="2" t="s">
        <v>5309</v>
      </c>
      <c r="B5307" s="3" t="s">
        <v>2</v>
      </c>
      <c r="C5307" s="2" t="str">
        <f ca="1">IFERROR(__xludf.DUMMYFUNCTION("GOOGLETRANSLATE(A5307,""bn"",""en"")"),"Satisfied in many cases Dissatisfied in some cases")</f>
        <v>Satisfied in many cases Dissatisfied in some cases</v>
      </c>
    </row>
    <row r="5308" spans="1:3" ht="15.75" customHeight="1" x14ac:dyDescent="0.25">
      <c r="A5308" s="2" t="s">
        <v>5310</v>
      </c>
      <c r="B5308" s="3" t="s">
        <v>6</v>
      </c>
      <c r="C5308" s="2" t="str">
        <f ca="1">IFERROR(__xludf.DUMMYFUNCTION("GOOGLETRANSLATE(A5308,""bn"",""en"")"),"The product did not come with the required components")</f>
        <v>The product did not come with the required components</v>
      </c>
    </row>
    <row r="5309" spans="1:3" ht="15.75" customHeight="1" x14ac:dyDescent="0.25">
      <c r="A5309" s="2" t="s">
        <v>5311</v>
      </c>
      <c r="B5309" s="3" t="s">
        <v>4</v>
      </c>
      <c r="C5309" s="2" t="str">
        <f ca="1">IFERROR(__xludf.DUMMYFUNCTION("GOOGLETRANSLATE(A5309,""bn"",""en"")"),"The fan is very durable and performs fast")</f>
        <v>The fan is very durable and performs fast</v>
      </c>
    </row>
    <row r="5310" spans="1:3" ht="15.75" customHeight="1" x14ac:dyDescent="0.25">
      <c r="A5310" s="2" t="s">
        <v>5312</v>
      </c>
      <c r="B5310" s="3" t="s">
        <v>4</v>
      </c>
      <c r="C5310" s="2" t="str">
        <f ca="1">IFERROR(__xludf.DUMMYFUNCTION("GOOGLETRANSLATE(A5310,""bn"",""en"")"),"Brake system of bicycle is very reliable")</f>
        <v>Brake system of bicycle is very reliable</v>
      </c>
    </row>
    <row r="5311" spans="1:3" ht="15.75" customHeight="1" x14ac:dyDescent="0.25">
      <c r="A5311" s="2" t="s">
        <v>5313</v>
      </c>
      <c r="B5311" s="3" t="s">
        <v>2</v>
      </c>
      <c r="C5311" s="2" t="str">
        <f ca="1">IFERROR(__xludf.DUMMYFUNCTION("GOOGLETRANSLATE(A5311,""bn"",""en"")"),"Replacement parts are readily available")</f>
        <v>Replacement parts are readily available</v>
      </c>
    </row>
    <row r="5312" spans="1:3" ht="15.75" customHeight="1" x14ac:dyDescent="0.25">
      <c r="A5312" s="2" t="s">
        <v>5314</v>
      </c>
      <c r="B5312" s="3" t="s">
        <v>4</v>
      </c>
      <c r="C5312" s="2" t="str">
        <f ca="1">IFERROR(__xludf.DUMMYFUNCTION("GOOGLETRANSLATE(A5312,""bn"",""en"")"),"Very easy and intuitive to run")</f>
        <v>Very easy and intuitive to run</v>
      </c>
    </row>
    <row r="5313" spans="1:3" ht="15.75" customHeight="1" x14ac:dyDescent="0.25">
      <c r="A5313" s="2" t="s">
        <v>5315</v>
      </c>
      <c r="B5313" s="3" t="s">
        <v>6</v>
      </c>
      <c r="C5313" s="2" t="str">
        <f ca="1">IFERROR(__xludf.DUMMYFUNCTION("GOOGLETRANSLATE(A5313,""bn"",""en"")"),"The hemming is done very poorly with the threads loosening and exposed after a single wear")</f>
        <v>The hemming is done very poorly with the threads loosening and exposed after a single wear</v>
      </c>
    </row>
    <row r="5314" spans="1:3" ht="15.75" customHeight="1" x14ac:dyDescent="0.25">
      <c r="A5314" s="2" t="s">
        <v>5316</v>
      </c>
      <c r="B5314" s="3" t="s">
        <v>2</v>
      </c>
      <c r="C5314" s="2" t="str">
        <f ca="1">IFERROR(__xludf.DUMMYFUNCTION("GOOGLETRANSLATE(A5314,""bn"",""en"")"),"The potassium fertilizer of the soil worked fairly well")</f>
        <v>The potassium fertilizer of the soil worked fairly well</v>
      </c>
    </row>
    <row r="5315" spans="1:3" ht="15.75" customHeight="1" x14ac:dyDescent="0.25">
      <c r="A5315" s="2" t="s">
        <v>5317</v>
      </c>
      <c r="B5315" s="3" t="s">
        <v>4</v>
      </c>
      <c r="C5315" s="2" t="str">
        <f ca="1">IFERROR(__xludf.DUMMYFUNCTION("GOOGLETRANSLATE(A5315,""bn"",""en"")"),"This shampoo is great for softening hair")</f>
        <v>This shampoo is great for softening hair</v>
      </c>
    </row>
    <row r="5316" spans="1:3" ht="15.75" customHeight="1" x14ac:dyDescent="0.25">
      <c r="A5316" s="2" t="s">
        <v>5318</v>
      </c>
      <c r="B5316" s="3" t="s">
        <v>6</v>
      </c>
      <c r="C5316" s="2" t="str">
        <f ca="1">IFERROR(__xludf.DUMMYFUNCTION("GOOGLETRANSLATE(A5316,""bn"",""en"")"),"Unusual appearance detracts from the aesthetics of the kitchen")</f>
        <v>Unusual appearance detracts from the aesthetics of the kitchen</v>
      </c>
    </row>
    <row r="5317" spans="1:3" ht="15.75" customHeight="1" x14ac:dyDescent="0.25">
      <c r="A5317" s="2" t="s">
        <v>5319</v>
      </c>
      <c r="B5317" s="3" t="s">
        <v>2</v>
      </c>
      <c r="C5317" s="2" t="str">
        <f ca="1">IFERROR(__xludf.DUMMYFUNCTION("GOOGLETRANSLATE(A5317,""bn"",""en"")"),"It looks nice but not durable")</f>
        <v>It looks nice but not durable</v>
      </c>
    </row>
    <row r="5318" spans="1:3" ht="15.75" customHeight="1" x14ac:dyDescent="0.25">
      <c r="A5318" s="2" t="s">
        <v>5320</v>
      </c>
      <c r="B5318" s="3" t="s">
        <v>4</v>
      </c>
      <c r="C5318" s="2" t="str">
        <f ca="1">IFERROR(__xludf.DUMMYFUNCTION("GOOGLETRANSLATE(A5318,""bn"",""en"")"),"The device's haptic feedback is highly improved")</f>
        <v>The device's haptic feedback is highly improved</v>
      </c>
    </row>
    <row r="5319" spans="1:3" ht="15.75" customHeight="1" x14ac:dyDescent="0.25">
      <c r="A5319" s="2" t="s">
        <v>5321</v>
      </c>
      <c r="B5319" s="3" t="s">
        <v>4</v>
      </c>
      <c r="C5319" s="2" t="str">
        <f ca="1">IFERROR(__xludf.DUMMYFUNCTION("GOOGLETRANSLATE(A5319,""bn"",""en"")"),"I am really impressed with this biscuit")</f>
        <v>I am really impressed with this biscuit</v>
      </c>
    </row>
    <row r="5320" spans="1:3" ht="15.75" customHeight="1" x14ac:dyDescent="0.25">
      <c r="A5320" s="2" t="s">
        <v>5322</v>
      </c>
      <c r="B5320" s="3" t="s">
        <v>4</v>
      </c>
      <c r="C5320" s="2" t="str">
        <f ca="1">IFERROR(__xludf.DUMMYFUNCTION("GOOGLETRANSLATE(A5320,""bn"",""en"")"),"With every kiss I feel the gift of nature behind it")</f>
        <v>With every kiss I feel the gift of nature behind it</v>
      </c>
    </row>
    <row r="5321" spans="1:3" ht="15.75" customHeight="1" x14ac:dyDescent="0.25">
      <c r="A5321" s="2" t="s">
        <v>5323</v>
      </c>
      <c r="B5321" s="3" t="s">
        <v>4</v>
      </c>
      <c r="C5321" s="2" t="str">
        <f ca="1">IFERROR(__xludf.DUMMYFUNCTION("GOOGLETRANSLATE(A5321,""bn"",""en"")"),"I am really impressed by this painting")</f>
        <v>I am really impressed by this painting</v>
      </c>
    </row>
    <row r="5322" spans="1:3" ht="15.75" customHeight="1" x14ac:dyDescent="0.25">
      <c r="A5322" s="2" t="s">
        <v>5324</v>
      </c>
      <c r="B5322" s="3" t="s">
        <v>6</v>
      </c>
      <c r="C5322" s="2" t="str">
        <f ca="1">IFERROR(__xludf.DUMMYFUNCTION("GOOGLETRANSLATE(A5322,""bn"",""en"")"),"Loose refrigerator door seals cause food to spoil quickly")</f>
        <v>Loose refrigerator door seals cause food to spoil quickly</v>
      </c>
    </row>
    <row r="5323" spans="1:3" ht="15.75" customHeight="1" x14ac:dyDescent="0.25">
      <c r="A5323" s="2" t="s">
        <v>5325</v>
      </c>
      <c r="B5323" s="3" t="s">
        <v>6</v>
      </c>
      <c r="C5323" s="2" t="str">
        <f ca="1">IFERROR(__xludf.DUMMYFUNCTION("GOOGLETRANSLATE(A5323,""bn"",""en"")"),"The cups were too shallow and spilled the tea when tilted")</f>
        <v>The cups were too shallow and spilled the tea when tilted</v>
      </c>
    </row>
    <row r="5324" spans="1:3" ht="15.75" customHeight="1" x14ac:dyDescent="0.25">
      <c r="A5324" s="2" t="s">
        <v>5326</v>
      </c>
      <c r="B5324" s="3" t="s">
        <v>2</v>
      </c>
      <c r="C5324" s="2" t="str">
        <f ca="1">IFERROR(__xludf.DUMMYFUNCTION("GOOGLETRANSLATE(A5324,""bn"",""en"")"),"The price is low but the quality is not that good")</f>
        <v>The price is low but the quality is not that good</v>
      </c>
    </row>
    <row r="5325" spans="1:3" ht="15.75" customHeight="1" x14ac:dyDescent="0.25">
      <c r="A5325" s="2" t="s">
        <v>5327</v>
      </c>
      <c r="B5325" s="3" t="s">
        <v>6</v>
      </c>
      <c r="C5325" s="2" t="str">
        <f ca="1">IFERROR(__xludf.DUMMYFUNCTION("GOOGLETRANSLATE(A5325,""bn"",""en"")"),"The canned chili had a strange metallic taste and lacked spice")</f>
        <v>The canned chili had a strange metallic taste and lacked spice</v>
      </c>
    </row>
    <row r="5326" spans="1:3" ht="15.75" customHeight="1" x14ac:dyDescent="0.25">
      <c r="A5326" s="2" t="s">
        <v>5328</v>
      </c>
      <c r="B5326" s="3" t="s">
        <v>2</v>
      </c>
      <c r="C5326" s="2" t="str">
        <f ca="1">IFERROR(__xludf.DUMMYFUNCTION("GOOGLETRANSLATE(A5326,""bn"",""en"")"),"Keeps warm and uncomfortable at times")</f>
        <v>Keeps warm and uncomfortable at times</v>
      </c>
    </row>
    <row r="5327" spans="1:3" ht="15.75" customHeight="1" x14ac:dyDescent="0.25">
      <c r="A5327" s="2" t="s">
        <v>5329</v>
      </c>
      <c r="B5327" s="3" t="s">
        <v>2</v>
      </c>
      <c r="C5327" s="2" t="str">
        <f ca="1">IFERROR(__xludf.DUMMYFUNCTION("GOOGLETRANSLATE(A5327,""bn"",""en"")"),"High quality and beautiful but has some flaws")</f>
        <v>High quality and beautiful but has some flaws</v>
      </c>
    </row>
    <row r="5328" spans="1:3" ht="15.75" customHeight="1" x14ac:dyDescent="0.25">
      <c r="A5328" s="2" t="s">
        <v>5330</v>
      </c>
      <c r="B5328" s="3" t="s">
        <v>2</v>
      </c>
      <c r="C5328" s="2" t="str">
        <f ca="1">IFERROR(__xludf.DUMMYFUNCTION("GOOGLETRANSLATE(A5328,""bn"",""en"")"),"Color white slightly smooth texture")</f>
        <v>Color white slightly smooth texture</v>
      </c>
    </row>
    <row r="5329" spans="1:3" ht="15.75" customHeight="1" x14ac:dyDescent="0.25">
      <c r="A5329" s="2" t="s">
        <v>5331</v>
      </c>
      <c r="B5329" s="3" t="s">
        <v>2</v>
      </c>
      <c r="C5329" s="2" t="str">
        <f ca="1">IFERROR(__xludf.DUMMYFUNCTION("GOOGLETRANSLATE(A5329,""bn"",""en"")"),"It's not very easy, a bit not brilliant and works occasionally")</f>
        <v>It's not very easy, a bit not brilliant and works occasionally</v>
      </c>
    </row>
    <row r="5330" spans="1:3" ht="15.75" customHeight="1" x14ac:dyDescent="0.25">
      <c r="A5330" s="2" t="s">
        <v>5332</v>
      </c>
      <c r="B5330" s="3" t="s">
        <v>6</v>
      </c>
      <c r="C5330" s="2" t="str">
        <f ca="1">IFERROR(__xludf.DUMMYFUNCTION("GOOGLETRANSLATE(A5330,""bn"",""en"")"),"The camera app crashes frequently making it impossible to capture important moments")</f>
        <v>The camera app crashes frequently making it impossible to capture important moments</v>
      </c>
    </row>
    <row r="5331" spans="1:3" ht="15.75" customHeight="1" x14ac:dyDescent="0.25">
      <c r="A5331" s="2" t="s">
        <v>5333</v>
      </c>
      <c r="B5331" s="3" t="s">
        <v>2</v>
      </c>
      <c r="C5331" s="2" t="str">
        <f ca="1">IFERROR(__xludf.DUMMYFUNCTION("GOOGLETRANSLATE(A5331,""bn"",""en"")"),"Good for the price but very strong taste")</f>
        <v>Good for the price but very strong taste</v>
      </c>
    </row>
    <row r="5332" spans="1:3" ht="15.75" customHeight="1" x14ac:dyDescent="0.25">
      <c r="A5332" s="2" t="s">
        <v>5334</v>
      </c>
      <c r="B5332" s="3" t="s">
        <v>4</v>
      </c>
      <c r="C5332" s="2" t="str">
        <f ca="1">IFERROR(__xludf.DUMMYFUNCTION("GOOGLETRANSLATE(A5332,""bn"",""en"")"),"Wall hanger hooks are sturdy and easy to hang")</f>
        <v>Wall hanger hooks are sturdy and easy to hang</v>
      </c>
    </row>
    <row r="5333" spans="1:3" ht="15.75" customHeight="1" x14ac:dyDescent="0.25">
      <c r="A5333" s="2" t="s">
        <v>5335</v>
      </c>
      <c r="B5333" s="3" t="s">
        <v>4</v>
      </c>
      <c r="C5333" s="2" t="str">
        <f ca="1">IFERROR(__xludf.DUMMYFUNCTION("GOOGLETRANSLATE(A5333,""bn"",""en"")"),"Using a makeup brush demands attention")</f>
        <v>Using a makeup brush demands attention</v>
      </c>
    </row>
    <row r="5334" spans="1:3" ht="15.75" customHeight="1" x14ac:dyDescent="0.25">
      <c r="A5334" s="2" t="s">
        <v>5336</v>
      </c>
      <c r="B5334" s="3" t="s">
        <v>6</v>
      </c>
      <c r="C5334" s="2" t="str">
        <f ca="1">IFERROR(__xludf.DUMMYFUNCTION("GOOGLETRANSLATE(A5334,""bn"",""en"")")," The volume control button is responsive and inconsistent making it challenging to adjust the sound level")</f>
        <v xml:space="preserve"> The volume control button is responsive and inconsistent making it challenging to adjust the sound level</v>
      </c>
    </row>
    <row r="5335" spans="1:3" ht="15.75" customHeight="1" x14ac:dyDescent="0.25">
      <c r="A5335" s="2" t="s">
        <v>5337</v>
      </c>
      <c r="B5335" s="3" t="s">
        <v>6</v>
      </c>
      <c r="C5335" s="2" t="str">
        <f ca="1">IFERROR(__xludf.DUMMYFUNCTION("GOOGLETRANSLATE(A5335,""bn"",""en"")"),"The toy had a strong chemical smell that is harmful to children's health")</f>
        <v>The toy had a strong chemical smell that is harmful to children's health</v>
      </c>
    </row>
    <row r="5336" spans="1:3" ht="15.75" customHeight="1" x14ac:dyDescent="0.25">
      <c r="A5336" s="2" t="s">
        <v>5338</v>
      </c>
      <c r="B5336" s="3" t="s">
        <v>2</v>
      </c>
      <c r="C5336" s="2" t="str">
        <f ca="1">IFERROR(__xludf.DUMMYFUNCTION("GOOGLETRANSLATE(A5336,""bn"",""en"")"),"The wireless mini projector shows the picture but the speaker is weak")</f>
        <v>The wireless mini projector shows the picture but the speaker is weak</v>
      </c>
    </row>
    <row r="5337" spans="1:3" ht="15.75" customHeight="1" x14ac:dyDescent="0.25">
      <c r="A5337" s="2" t="s">
        <v>5339</v>
      </c>
      <c r="B5337" s="3" t="s">
        <v>2</v>
      </c>
      <c r="C5337" s="2" t="str">
        <f ca="1">IFERROR(__xludf.DUMMYFUNCTION("GOOGLETRANSLATE(A5337,""bn"",""en"")"),"Very simple taste but fresh")</f>
        <v>Very simple taste but fresh</v>
      </c>
    </row>
    <row r="5338" spans="1:3" ht="15.75" customHeight="1" x14ac:dyDescent="0.25">
      <c r="A5338" s="2" t="s">
        <v>5340</v>
      </c>
      <c r="B5338" s="3" t="s">
        <v>4</v>
      </c>
      <c r="C5338" s="2" t="str">
        <f ca="1">IFERROR(__xludf.DUMMYFUNCTION("GOOGLETRANSLATE(A5338,""bn"",""en"")"),"Exceeded all expectations")</f>
        <v>Exceeded all expectations</v>
      </c>
    </row>
    <row r="5339" spans="1:3" ht="15.75" customHeight="1" x14ac:dyDescent="0.25">
      <c r="A5339" s="2" t="s">
        <v>5341</v>
      </c>
      <c r="B5339" s="3" t="s">
        <v>6</v>
      </c>
      <c r="C5339" s="2" t="str">
        <f ca="1">IFERROR(__xludf.DUMMYFUNCTION("GOOGLETRANSLATE(A5339,""bn"",""en"")"),"The temperature control knob of the iron is stuck so the heat setting cannot be adjusted")</f>
        <v>The temperature control knob of the iron is stuck so the heat setting cannot be adjusted</v>
      </c>
    </row>
    <row r="5340" spans="1:3" ht="15.75" customHeight="1" x14ac:dyDescent="0.25">
      <c r="A5340" s="2" t="s">
        <v>5342</v>
      </c>
      <c r="B5340" s="3" t="s">
        <v>6</v>
      </c>
      <c r="C5340" s="2" t="str">
        <f ca="1">IFERROR(__xludf.DUMMYFUNCTION("GOOGLETRANSLATE(A5340,""bn"",""en"")"),"When wet it becomes slippery and difficult to hold")</f>
        <v>When wet it becomes slippery and difficult to hold</v>
      </c>
    </row>
    <row r="5341" spans="1:3" ht="15.75" customHeight="1" x14ac:dyDescent="0.25">
      <c r="A5341" s="2" t="s">
        <v>5343</v>
      </c>
      <c r="B5341" s="3" t="s">
        <v>4</v>
      </c>
      <c r="C5341" s="2" t="str">
        <f ca="1">IFERROR(__xludf.DUMMYFUNCTION("GOOGLETRANSLATE(A5341,""bn"",""en"")"),"Its display and performance is very good")</f>
        <v>Its display and performance is very good</v>
      </c>
    </row>
    <row r="5342" spans="1:3" ht="15.75" customHeight="1" x14ac:dyDescent="0.25">
      <c r="A5342" s="2" t="s">
        <v>5344</v>
      </c>
      <c r="B5342" s="3" t="s">
        <v>2</v>
      </c>
      <c r="C5342" s="2" t="str">
        <f ca="1">IFERROR(__xludf.DUMMYFUNCTION("GOOGLETRANSLATE(A5342,""bn"",""en"")"),"The child is playing with his toys all day")</f>
        <v>The child is playing with his toys all day</v>
      </c>
    </row>
    <row r="5343" spans="1:3" ht="15.75" customHeight="1" x14ac:dyDescent="0.25">
      <c r="A5343" s="2" t="s">
        <v>5345</v>
      </c>
      <c r="B5343" s="3" t="s">
        <v>2</v>
      </c>
      <c r="C5343" s="2" t="str">
        <f ca="1">IFERROR(__xludf.DUMMYFUNCTION("GOOGLETRANSLATE(A5343,""bn"",""en"")"),"The tea is quite good but can be overly sweet")</f>
        <v>The tea is quite good but can be overly sweet</v>
      </c>
    </row>
    <row r="5344" spans="1:3" ht="15.75" customHeight="1" x14ac:dyDescent="0.25">
      <c r="A5344" s="2" t="s">
        <v>5346</v>
      </c>
      <c r="B5344" s="3" t="s">
        <v>2</v>
      </c>
      <c r="C5344" s="2" t="str">
        <f ca="1">IFERROR(__xludf.DUMMYFUNCTION("GOOGLETRANSLATE(A5344,""bn"",""en"")"),"The travel adapter works but is bulky")</f>
        <v>The travel adapter works but is bulky</v>
      </c>
    </row>
    <row r="5345" spans="1:3" ht="15.75" customHeight="1" x14ac:dyDescent="0.25">
      <c r="A5345" s="2" t="s">
        <v>5347</v>
      </c>
      <c r="B5345" s="3" t="s">
        <v>2</v>
      </c>
      <c r="C5345" s="2" t="str">
        <f ca="1">IFERROR(__xludf.DUMMYFUNCTION("GOOGLETRANSLATE(A5345,""bn"",""en"")"),"Customer service was average")</f>
        <v>Customer service was average</v>
      </c>
    </row>
    <row r="5346" spans="1:3" ht="15.75" customHeight="1" x14ac:dyDescent="0.25">
      <c r="A5346" s="2" t="s">
        <v>5348</v>
      </c>
      <c r="B5346" s="3" t="s">
        <v>4</v>
      </c>
      <c r="C5346" s="2" t="str">
        <f ca="1">IFERROR(__xludf.DUMMYFUNCTION("GOOGLETRANSLATE(A5346,""bn"",""en"")"),"Fits a variety of interior designs")</f>
        <v>Fits a variety of interior designs</v>
      </c>
    </row>
    <row r="5347" spans="1:3" ht="15.75" customHeight="1" x14ac:dyDescent="0.25">
      <c r="A5347" s="2" t="s">
        <v>5349</v>
      </c>
      <c r="B5347" s="3" t="s">
        <v>6</v>
      </c>
      <c r="C5347" s="2" t="str">
        <f ca="1">IFERROR(__xludf.DUMMYFUNCTION("GOOGLETRANSLATE(A5347,""bn"",""en"")"),"Product reliability was questionable under normal conditions")</f>
        <v>Product reliability was questionable under normal conditions</v>
      </c>
    </row>
    <row r="5348" spans="1:3" ht="15.75" customHeight="1" x14ac:dyDescent="0.25">
      <c r="A5348" s="2" t="s">
        <v>5350</v>
      </c>
      <c r="B5348" s="3" t="s">
        <v>6</v>
      </c>
      <c r="C5348" s="2" t="str">
        <f ca="1">IFERROR(__xludf.DUMMYFUNCTION("GOOGLETRANSLATE(A5348,""bn"",""en"")"),"Narrow opening hinders thorough cleaning")</f>
        <v>Narrow opening hinders thorough cleaning</v>
      </c>
    </row>
    <row r="5349" spans="1:3" ht="15.75" customHeight="1" x14ac:dyDescent="0.25">
      <c r="A5349" s="2" t="s">
        <v>5351</v>
      </c>
      <c r="B5349" s="3" t="s">
        <v>2</v>
      </c>
      <c r="C5349" s="2" t="str">
        <f ca="1">IFERROR(__xludf.DUMMYFUNCTION("GOOGLETRANSLATE(A5349,""bn"",""en"")"),"The smart blind opener opens the curtain but the motor is slow")</f>
        <v>The smart blind opener opens the curtain but the motor is slow</v>
      </c>
    </row>
    <row r="5350" spans="1:3" ht="15.75" customHeight="1" x14ac:dyDescent="0.25">
      <c r="A5350" s="2" t="s">
        <v>5352</v>
      </c>
      <c r="B5350" s="3" t="s">
        <v>4</v>
      </c>
      <c r="C5350" s="2" t="str">
        <f ca="1">IFERROR(__xludf.DUMMYFUNCTION("GOOGLETRANSLATE(A5350,""bn"",""en"")"),"It is perfect as a snack but also good as a dessert")</f>
        <v>It is perfect as a snack but also good as a dessert</v>
      </c>
    </row>
    <row r="5351" spans="1:3" ht="15.75" customHeight="1" x14ac:dyDescent="0.25">
      <c r="A5351" s="2" t="s">
        <v>5353</v>
      </c>
      <c r="B5351" s="3" t="s">
        <v>4</v>
      </c>
      <c r="C5351" s="2" t="str">
        <f ca="1">IFERROR(__xludf.DUMMYFUNCTION("GOOGLETRANSLATE(A5351,""bn"",""en"")"),"Although the price is a bit high, considering the quality, I think it is a good investment")</f>
        <v>Although the price is a bit high, considering the quality, I think it is a good investment</v>
      </c>
    </row>
    <row r="5352" spans="1:3" ht="15.75" customHeight="1" x14ac:dyDescent="0.25">
      <c r="A5352" s="2" t="s">
        <v>5354</v>
      </c>
      <c r="B5352" s="3" t="s">
        <v>2</v>
      </c>
      <c r="C5352" s="2" t="str">
        <f ca="1">IFERROR(__xludf.DUMMYFUNCTION("GOOGLETRANSLATE(A5352,""bn"",""en"")"),"JBL Tune BT Unrivaled wireless sound in a stylish package Some users prefer other options")</f>
        <v>JBL Tune BT Unrivaled wireless sound in a stylish package Some users prefer other options</v>
      </c>
    </row>
    <row r="5353" spans="1:3" ht="15.75" customHeight="1" x14ac:dyDescent="0.25">
      <c r="A5353" s="2" t="s">
        <v>5355</v>
      </c>
      <c r="B5353" s="3" t="s">
        <v>2</v>
      </c>
      <c r="C5353" s="2" t="str">
        <f ca="1">IFERROR(__xludf.DUMMYFUNCTION("GOOGLETRANSLATE(A5353,""bn"",""en"")"),"Use is limited")</f>
        <v>Use is limited</v>
      </c>
    </row>
    <row r="5354" spans="1:3" ht="15.75" customHeight="1" x14ac:dyDescent="0.25">
      <c r="A5354" s="2" t="s">
        <v>5356</v>
      </c>
      <c r="B5354" s="3" t="s">
        <v>6</v>
      </c>
      <c r="C5354" s="2" t="str">
        <f ca="1">IFERROR(__xludf.DUMMYFUNCTION("GOOGLETRANSLATE(A5354,""bn"",""en"")"),"Unstable foundation disappointing quality")</f>
        <v>Unstable foundation disappointing quality</v>
      </c>
    </row>
    <row r="5355" spans="1:3" ht="15.75" customHeight="1" x14ac:dyDescent="0.25">
      <c r="A5355" s="2" t="s">
        <v>5357</v>
      </c>
      <c r="B5355" s="3" t="s">
        <v>2</v>
      </c>
      <c r="C5355" s="2" t="str">
        <f ca="1">IFERROR(__xludf.DUMMYFUNCTION("GOOGLETRANSLATE(A5355,""bn"",""en"")"),"Arrived on time but quality is not good")</f>
        <v>Arrived on time but quality is not good</v>
      </c>
    </row>
    <row r="5356" spans="1:3" ht="15.75" customHeight="1" x14ac:dyDescent="0.25">
      <c r="A5356" s="2" t="s">
        <v>5358</v>
      </c>
      <c r="B5356" s="3" t="s">
        <v>4</v>
      </c>
      <c r="C5356" s="2" t="str">
        <f ca="1">IFERROR(__xludf.DUMMYFUNCTION("GOOGLETRANSLATE(A5356,""bn"",""en"")"),"You will feel confident using this body wash")</f>
        <v>You will feel confident using this body wash</v>
      </c>
    </row>
    <row r="5357" spans="1:3" ht="15.75" customHeight="1" x14ac:dyDescent="0.25">
      <c r="A5357" s="2" t="s">
        <v>5359</v>
      </c>
      <c r="B5357" s="3" t="s">
        <v>6</v>
      </c>
      <c r="C5357" s="2" t="str">
        <f ca="1">IFERROR(__xludf.DUMMYFUNCTION("GOOGLETRANSLATE(A5357,""bn"",""en"")"),"The item's size or dimensions are misrepresented")</f>
        <v>The item's size or dimensions are misrepresented</v>
      </c>
    </row>
    <row r="5358" spans="1:3" ht="15.75" customHeight="1" x14ac:dyDescent="0.25">
      <c r="A5358" s="2" t="s">
        <v>5360</v>
      </c>
      <c r="B5358" s="3" t="s">
        <v>2</v>
      </c>
      <c r="C5358" s="2" t="str">
        <f ca="1">IFERROR(__xludf.DUMMYFUNCTION("GOOGLETRANSLATE(A5358,""bn"",""en"")"),"Chips packet size is ok taste not so good")</f>
        <v>Chips packet size is ok taste not so good</v>
      </c>
    </row>
    <row r="5359" spans="1:3" ht="15.75" customHeight="1" x14ac:dyDescent="0.25">
      <c r="A5359" s="2" t="s">
        <v>5361</v>
      </c>
      <c r="B5359" s="3" t="s">
        <v>2</v>
      </c>
      <c r="C5359" s="2" t="str">
        <f ca="1">IFERROR(__xludf.DUMMYFUNCTION("GOOGLETRANSLATE(A5359,""bn"",""en"")"),"It arrived on time but the quality is low")</f>
        <v>It arrived on time but the quality is low</v>
      </c>
    </row>
    <row r="5360" spans="1:3" ht="15.75" customHeight="1" x14ac:dyDescent="0.25">
      <c r="A5360" s="2" t="s">
        <v>5362</v>
      </c>
      <c r="B5360" s="3" t="s">
        <v>6</v>
      </c>
      <c r="C5360" s="2" t="str">
        <f ca="1">IFERROR(__xludf.DUMMYFUNCTION("GOOGLETRANSLATE(A5360,""bn"",""en"")"),"Colors dry very quickly making blending difficult")</f>
        <v>Colors dry very quickly making blending difficult</v>
      </c>
    </row>
    <row r="5361" spans="1:3" ht="15.75" customHeight="1" x14ac:dyDescent="0.25">
      <c r="A5361" s="2" t="s">
        <v>5363</v>
      </c>
      <c r="B5361" s="3" t="s">
        <v>2</v>
      </c>
      <c r="C5361" s="2" t="str">
        <f ca="1">IFERROR(__xludf.DUMMYFUNCTION("GOOGLETRANSLATE(A5361,""bn"",""en"")"),"Clothes are comfortable but lose quality after wash")</f>
        <v>Clothes are comfortable but lose quality after wash</v>
      </c>
    </row>
    <row r="5362" spans="1:3" ht="15.75" customHeight="1" x14ac:dyDescent="0.25">
      <c r="A5362" s="2" t="s">
        <v>5364</v>
      </c>
      <c r="B5362" s="3" t="s">
        <v>2</v>
      </c>
      <c r="C5362" s="2" t="str">
        <f ca="1">IFERROR(__xludf.DUMMYFUNCTION("GOOGLETRANSLATE(A5362,""bn"",""en"")"),"Soil quality has improved slightly but not completely")</f>
        <v>Soil quality has improved slightly but not completely</v>
      </c>
    </row>
    <row r="5363" spans="1:3" ht="15.75" customHeight="1" x14ac:dyDescent="0.25">
      <c r="A5363" s="2" t="s">
        <v>5365</v>
      </c>
      <c r="B5363" s="3" t="s">
        <v>6</v>
      </c>
      <c r="C5363" s="2" t="str">
        <f ca="1">IFERROR(__xludf.DUMMYFUNCTION("GOOGLETRANSLATE(A5363,""bn"",""en"")"),"Electric blankets are too hot to sleep under")</f>
        <v>Electric blankets are too hot to sleep under</v>
      </c>
    </row>
    <row r="5364" spans="1:3" ht="15.75" customHeight="1" x14ac:dyDescent="0.25">
      <c r="A5364" s="2" t="s">
        <v>5366</v>
      </c>
      <c r="B5364" s="3" t="s">
        <v>4</v>
      </c>
      <c r="C5364" s="2" t="str">
        <f ca="1">IFERROR(__xludf.DUMMYFUNCTION("GOOGLETRANSLATE(A5364,""bn"",""en"")"),"The bookshelf is very affordable")</f>
        <v>The bookshelf is very affordable</v>
      </c>
    </row>
    <row r="5365" spans="1:3" ht="15.75" customHeight="1" x14ac:dyDescent="0.25">
      <c r="A5365" s="2" t="s">
        <v>5367</v>
      </c>
      <c r="B5365" s="3" t="s">
        <v>6</v>
      </c>
      <c r="C5365" s="2" t="str">
        <f ca="1">IFERROR(__xludf.DUMMYFUNCTION("GOOGLETRANSLATE(A5365,""bn"",""en"")"),"The frozen pizza had a rubbery texture and didn't resemble real pizza that tasted like cardboard.")</f>
        <v>The frozen pizza had a rubbery texture and didn't resemble real pizza that tasted like cardboard.</v>
      </c>
    </row>
    <row r="5366" spans="1:3" ht="15.75" customHeight="1" x14ac:dyDescent="0.25">
      <c r="A5366" s="2" t="s">
        <v>5368</v>
      </c>
      <c r="B5366" s="3" t="s">
        <v>4</v>
      </c>
      <c r="C5366" s="2" t="str">
        <f ca="1">IFERROR(__xludf.DUMMYFUNCTION("GOOGLETRANSLATE(A5366,""bn"",""en"")"),"There are no harmful ingredients for health either")</f>
        <v>There are no harmful ingredients for health either</v>
      </c>
    </row>
    <row r="5367" spans="1:3" ht="15.75" customHeight="1" x14ac:dyDescent="0.25">
      <c r="A5367" s="2" t="s">
        <v>5369</v>
      </c>
      <c r="B5367" s="3" t="s">
        <v>4</v>
      </c>
      <c r="C5367" s="2" t="str">
        <f ca="1">IFERROR(__xludf.DUMMYFUNCTION("GOOGLETRANSLATE(A5367,""bn"",""en"")"),"It is available in various forms")</f>
        <v>It is available in various forms</v>
      </c>
    </row>
    <row r="5368" spans="1:3" ht="15.75" customHeight="1" x14ac:dyDescent="0.25">
      <c r="A5368" s="2" t="s">
        <v>5370</v>
      </c>
      <c r="B5368" s="3" t="s">
        <v>4</v>
      </c>
      <c r="C5368" s="2" t="str">
        <f ca="1">IFERROR(__xludf.DUMMYFUNCTION("GOOGLETRANSLATE(A5368,""bn"",""en"")"),"A very reliable product")</f>
        <v>A very reliable product</v>
      </c>
    </row>
    <row r="5369" spans="1:3" ht="15.75" customHeight="1" x14ac:dyDescent="0.25">
      <c r="A5369" s="2" t="s">
        <v>5371</v>
      </c>
      <c r="B5369" s="3" t="s">
        <v>6</v>
      </c>
      <c r="C5369" s="2" t="str">
        <f ca="1">IFERROR(__xludf.DUMMYFUNCTION("GOOGLETRANSLATE(A5369,""bn"",""en"")"),"The clasp of the jewelry was difficult to fasten and required assistance every time I wanted to wear it which was inconvenient.")</f>
        <v>The clasp of the jewelry was difficult to fasten and required assistance every time I wanted to wear it which was inconvenient.</v>
      </c>
    </row>
    <row r="5370" spans="1:3" ht="15.75" customHeight="1" x14ac:dyDescent="0.25">
      <c r="A5370" s="2" t="s">
        <v>5372</v>
      </c>
      <c r="B5370" s="3" t="s">
        <v>4</v>
      </c>
      <c r="C5370" s="2" t="str">
        <f ca="1">IFERROR(__xludf.DUMMYFUNCTION("GOOGLETRANSLATE(A5370,""bn"",""en"")"),"The volume control is very sensitive and I get the sound exactly as I want it")</f>
        <v>The volume control is very sensitive and I get the sound exactly as I want it</v>
      </c>
    </row>
    <row r="5371" spans="1:3" ht="15.75" customHeight="1" x14ac:dyDescent="0.25">
      <c r="A5371" s="2" t="s">
        <v>5373</v>
      </c>
      <c r="B5371" s="3" t="s">
        <v>2</v>
      </c>
      <c r="C5371" s="2" t="str">
        <f ca="1">IFERROR(__xludf.DUMMYFUNCTION("GOOGLETRANSLATE(A5371,""bn"",""en"")"),"Cheap and tasty but a little high in sugar")</f>
        <v>Cheap and tasty but a little high in sugar</v>
      </c>
    </row>
    <row r="5372" spans="1:3" ht="15.75" customHeight="1" x14ac:dyDescent="0.25">
      <c r="A5372" s="2" t="s">
        <v>5374</v>
      </c>
      <c r="B5372" s="3" t="s">
        <v>4</v>
      </c>
      <c r="C5372" s="2" t="str">
        <f ca="1">IFERROR(__xludf.DUMMYFUNCTION("GOOGLETRANSLATE(A5372,""bn"",""en"")"),"The plastic flower can be easily moved to another place")</f>
        <v>The plastic flower can be easily moved to another place</v>
      </c>
    </row>
    <row r="5373" spans="1:3" ht="15.75" customHeight="1" x14ac:dyDescent="0.25">
      <c r="A5373" s="2" t="s">
        <v>5375</v>
      </c>
      <c r="B5373" s="3" t="s">
        <v>6</v>
      </c>
      <c r="C5373" s="2" t="str">
        <f ca="1">IFERROR(__xludf.DUMMYFUNCTION("GOOGLETRANSLATE(A5373,""bn"",""en"")"),"  There was an itchy tag that irritated the skin and had to be removed")</f>
        <v xml:space="preserve">  There was an itchy tag that irritated the skin and had to be removed</v>
      </c>
    </row>
    <row r="5374" spans="1:3" ht="15.75" customHeight="1" x14ac:dyDescent="0.25">
      <c r="A5374" s="2" t="s">
        <v>5376</v>
      </c>
      <c r="B5374" s="3" t="s">
        <v>6</v>
      </c>
      <c r="C5374" s="2" t="str">
        <f ca="1">IFERROR(__xludf.DUMMYFUNCTION("GOOGLETRANSLATE(A5374,""bn"",""en"")"),"Parts not fitting together properly cause frustration")</f>
        <v>Parts not fitting together properly cause frustration</v>
      </c>
    </row>
    <row r="5375" spans="1:3" ht="15.75" customHeight="1" x14ac:dyDescent="0.25">
      <c r="A5375" s="2" t="s">
        <v>5377</v>
      </c>
      <c r="B5375" s="3" t="s">
        <v>2</v>
      </c>
      <c r="C5375" s="2" t="str">
        <f ca="1">IFERROR(__xludf.DUMMYFUNCTION("GOOGLETRANSLATE(A5375,""bn"",""en"")"),"Quality performance may be limited")</f>
        <v>Quality performance may be limited</v>
      </c>
    </row>
    <row r="5376" spans="1:3" ht="15.75" customHeight="1" x14ac:dyDescent="0.25">
      <c r="A5376" s="2" t="s">
        <v>5378</v>
      </c>
      <c r="B5376" s="3" t="s">
        <v>6</v>
      </c>
      <c r="C5376" s="2" t="str">
        <f ca="1">IFERROR(__xludf.DUMMYFUNCTION("GOOGLETRANSLATE(A5376,""bn"",""en"")"),"The smell was too bitter to overpower any subtlety")</f>
        <v>The smell was too bitter to overpower any subtlety</v>
      </c>
    </row>
    <row r="5377" spans="1:3" ht="15.75" customHeight="1" x14ac:dyDescent="0.25">
      <c r="A5377" s="2" t="s">
        <v>5379</v>
      </c>
      <c r="B5377" s="3" t="s">
        <v>4</v>
      </c>
      <c r="C5377" s="2" t="str">
        <f ca="1">IFERROR(__xludf.DUMMYFUNCTION("GOOGLETRANSLATE(A5377,""bn"",""en"")"),"Every day brings new discoveries")</f>
        <v>Every day brings new discoveries</v>
      </c>
    </row>
    <row r="5378" spans="1:3" ht="15.75" customHeight="1" x14ac:dyDescent="0.25">
      <c r="A5378" s="2" t="s">
        <v>5380</v>
      </c>
      <c r="B5378" s="3" t="s">
        <v>6</v>
      </c>
      <c r="C5378" s="2" t="str">
        <f ca="1">IFERROR(__xludf.DUMMYFUNCTION("GOOGLETRANSLATE(A5378,""bn"",""en"")"),"  Smaller than advertised size provides insufficient space for dining or working")</f>
        <v xml:space="preserve">  Smaller than advertised size provides insufficient space for dining or working</v>
      </c>
    </row>
    <row r="5379" spans="1:3" ht="15.75" customHeight="1" x14ac:dyDescent="0.25">
      <c r="A5379" s="2" t="s">
        <v>5381</v>
      </c>
      <c r="B5379" s="3" t="s">
        <v>4</v>
      </c>
      <c r="C5379" s="2" t="str">
        <f ca="1">IFERROR(__xludf.DUMMYFUNCTION("GOOGLETRANSLATE(A5379,""bn"",""en"")"),"The design of the watch is very stylish and modern")</f>
        <v>The design of the watch is very stylish and modern</v>
      </c>
    </row>
    <row r="5380" spans="1:3" ht="15.75" customHeight="1" x14ac:dyDescent="0.25">
      <c r="A5380" s="2" t="s">
        <v>5382</v>
      </c>
      <c r="B5380" s="3" t="s">
        <v>4</v>
      </c>
      <c r="C5380" s="2" t="str">
        <f ca="1">IFERROR(__xludf.DUMMYFUNCTION("GOOGLETRANSLATE(A5380,""bn"",""en"")"),"The pillow covers are very soft and smooth which is very comfortable for my skin")</f>
        <v>The pillow covers are very soft and smooth which is very comfortable for my skin</v>
      </c>
    </row>
    <row r="5381" spans="1:3" ht="15.75" customHeight="1" x14ac:dyDescent="0.25">
      <c r="A5381" s="2" t="s">
        <v>5383</v>
      </c>
      <c r="B5381" s="3" t="s">
        <v>6</v>
      </c>
      <c r="C5381" s="2" t="str">
        <f ca="1">IFERROR(__xludf.DUMMYFUNCTION("GOOGLETRANSLATE(A5381,""bn"",""en"")"),"The compressor noise of the refrigerator disturbs the peace of the household")</f>
        <v>The compressor noise of the refrigerator disturbs the peace of the household</v>
      </c>
    </row>
    <row r="5382" spans="1:3" ht="15.75" customHeight="1" x14ac:dyDescent="0.25">
      <c r="A5382" s="2" t="s">
        <v>5384</v>
      </c>
      <c r="B5382" s="3" t="s">
        <v>6</v>
      </c>
      <c r="C5382" s="2" t="str">
        <f ca="1">IFERROR(__xludf.DUMMYFUNCTION("GOOGLETRANSLATE(A5382,""bn"",""en"")"),"The bike lock key gets stuck in the lock making it difficult to open the lock")</f>
        <v>The bike lock key gets stuck in the lock making it difficult to open the lock</v>
      </c>
    </row>
    <row r="5383" spans="1:3" ht="15.75" customHeight="1" x14ac:dyDescent="0.25">
      <c r="A5383" s="2" t="s">
        <v>5385</v>
      </c>
      <c r="B5383" s="3" t="s">
        <v>4</v>
      </c>
      <c r="C5383" s="2" t="str">
        <f ca="1">IFERROR(__xludf.DUMMYFUNCTION("GOOGLETRANSLATE(A5383,""bn"",""en"")"),"The use of shampoo reduces the dryness of the hair")</f>
        <v>The use of shampoo reduces the dryness of the hair</v>
      </c>
    </row>
    <row r="5384" spans="1:3" ht="15.75" customHeight="1" x14ac:dyDescent="0.25">
      <c r="A5384" s="2" t="s">
        <v>5386</v>
      </c>
      <c r="B5384" s="3" t="s">
        <v>6</v>
      </c>
      <c r="C5384" s="2" t="str">
        <f ca="1">IFERROR(__xludf.DUMMYFUNCTION("GOOGLETRANSLATE(A5384,""bn"",""en"")"),"Poor lathering is similar to cheap shampoo")</f>
        <v>Poor lathering is similar to cheap shampoo</v>
      </c>
    </row>
    <row r="5385" spans="1:3" ht="15.75" customHeight="1" x14ac:dyDescent="0.25">
      <c r="A5385" s="2" t="s">
        <v>5387</v>
      </c>
      <c r="B5385" s="3" t="s">
        <v>2</v>
      </c>
      <c r="C5385" s="2" t="str">
        <f ca="1">IFERROR(__xludf.DUMMYFUNCTION("GOOGLETRANSLATE(A5385,""bn"",""en"")"),"The wireless earbuds work but aren't great")</f>
        <v>The wireless earbuds work but aren't great</v>
      </c>
    </row>
    <row r="5386" spans="1:3" ht="15.75" customHeight="1" x14ac:dyDescent="0.25">
      <c r="A5386" s="2" t="s">
        <v>5388</v>
      </c>
      <c r="B5386" s="3" t="s">
        <v>6</v>
      </c>
      <c r="C5386" s="2" t="str">
        <f ca="1">IFERROR(__xludf.DUMMYFUNCTION("GOOGLETRANSLATE(A5386,""bn"",""en"")"),"Got one with crooked seams and uneven stitching")</f>
        <v>Got one with crooked seams and uneven stitching</v>
      </c>
    </row>
    <row r="5387" spans="1:3" ht="15.75" customHeight="1" x14ac:dyDescent="0.25">
      <c r="A5387" s="2" t="s">
        <v>5389</v>
      </c>
      <c r="B5387" s="3" t="s">
        <v>2</v>
      </c>
      <c r="C5387" s="2" t="str">
        <f ca="1">IFERROR(__xludf.DUMMYFUNCTION("GOOGLETRANSLATE(A5387,""bn"",""en"")"),"Can be cleaned but the stain will not go away completely")</f>
        <v>Can be cleaned but the stain will not go away completely</v>
      </c>
    </row>
    <row r="5388" spans="1:3" ht="15.75" customHeight="1" x14ac:dyDescent="0.25">
      <c r="A5388" s="2" t="s">
        <v>5390</v>
      </c>
      <c r="B5388" s="3" t="s">
        <v>2</v>
      </c>
      <c r="C5388" s="2" t="str">
        <f ca="1">IFERROR(__xludf.DUMMYFUNCTION("GOOGLETRANSLATE(A5388,""bn"",""en"")"),"A digital meat thermometer measures temperature accurately even though the probe can be longer")</f>
        <v>A digital meat thermometer measures temperature accurately even though the probe can be longer</v>
      </c>
    </row>
    <row r="5389" spans="1:3" ht="15.75" customHeight="1" x14ac:dyDescent="0.25">
      <c r="A5389" s="2" t="s">
        <v>5391</v>
      </c>
      <c r="B5389" s="3" t="s">
        <v>6</v>
      </c>
      <c r="C5389" s="2" t="str">
        <f ca="1">IFERROR(__xludf.DUMMYFUNCTION("GOOGLETRANSLATE(A5389,""bn"",""en"")"),"The construction of the product was weak and prone to collapse")</f>
        <v>The construction of the product was weak and prone to collapse</v>
      </c>
    </row>
    <row r="5390" spans="1:3" ht="15.75" customHeight="1" x14ac:dyDescent="0.25">
      <c r="A5390" s="2" t="s">
        <v>5392</v>
      </c>
      <c r="B5390" s="3" t="s">
        <v>6</v>
      </c>
      <c r="C5390" s="2" t="str">
        <f ca="1">IFERROR(__xludf.DUMMYFUNCTION("GOOGLETRANSLATE(A5390,""bn"",""en"")"),"After cooking the microwave food had an uneven and unappetizing appearance")</f>
        <v>After cooking the microwave food had an uneven and unappetizing appearance</v>
      </c>
    </row>
    <row r="5391" spans="1:3" ht="15.75" customHeight="1" x14ac:dyDescent="0.25">
      <c r="A5391" s="2" t="s">
        <v>5393</v>
      </c>
      <c r="B5391" s="3" t="s">
        <v>6</v>
      </c>
      <c r="C5391" s="2" t="str">
        <f ca="1">IFERROR(__xludf.DUMMYFUNCTION("GOOGLETRANSLATE(A5391,""bn"",""en"")"),"The paintbrush bristles were broken and uneven")</f>
        <v>The paintbrush bristles were broken and uneven</v>
      </c>
    </row>
    <row r="5392" spans="1:3" ht="15.75" customHeight="1" x14ac:dyDescent="0.25">
      <c r="A5392" s="2" t="s">
        <v>5394</v>
      </c>
      <c r="B5392" s="3" t="s">
        <v>4</v>
      </c>
      <c r="C5392" s="2" t="str">
        <f ca="1">IFERROR(__xludf.DUMMYFUNCTION("GOOGLETRANSLATE(A5392,""bn"",""en"")"),"A very low quality headphone for the price")</f>
        <v>A very low quality headphone for the price</v>
      </c>
    </row>
    <row r="5393" spans="1:3" ht="15.75" customHeight="1" x14ac:dyDescent="0.25">
      <c r="A5393" s="2" t="s">
        <v>5395</v>
      </c>
      <c r="B5393" s="3" t="s">
        <v>2</v>
      </c>
      <c r="C5393" s="2" t="str">
        <f ca="1">IFERROR(__xludf.DUMMYFUNCTION("GOOGLETRANSLATE(A5393,""bn"",""en"")"),"Sweet and fresh but slightly unusual in taste")</f>
        <v>Sweet and fresh but slightly unusual in taste</v>
      </c>
    </row>
    <row r="5394" spans="1:3" ht="15.75" customHeight="1" x14ac:dyDescent="0.25">
      <c r="A5394" s="2" t="s">
        <v>5396</v>
      </c>
      <c r="B5394" s="3" t="s">
        <v>4</v>
      </c>
      <c r="C5394" s="2" t="str">
        <f ca="1">IFERROR(__xludf.DUMMYFUNCTION("GOOGLETRANSLATE(A5394,""bn"",""en"")"),"The eyeshadow palette of the makeup kit is very colorful")</f>
        <v>The eyeshadow palette of the makeup kit is very colorful</v>
      </c>
    </row>
    <row r="5395" spans="1:3" ht="15.75" customHeight="1" x14ac:dyDescent="0.25">
      <c r="A5395" s="2" t="s">
        <v>5397</v>
      </c>
      <c r="B5395" s="3" t="s">
        <v>2</v>
      </c>
      <c r="C5395" s="2" t="str">
        <f ca="1">IFERROR(__xludf.DUMMYFUNCTION("GOOGLETRANSLATE(A5395,""bn"",""en"")"),"Easy to clean but nothing special")</f>
        <v>Easy to clean but nothing special</v>
      </c>
    </row>
    <row r="5396" spans="1:3" ht="15.75" customHeight="1" x14ac:dyDescent="0.25">
      <c r="A5396" s="2" t="s">
        <v>5398</v>
      </c>
      <c r="B5396" s="3" t="s">
        <v>6</v>
      </c>
      <c r="C5396" s="2" t="str">
        <f ca="1">IFERROR(__xludf.DUMMYFUNCTION("GOOGLETRANSLATE(A5396,""bn"",""en"")"),"Slow reading speed is frustratingly slow")</f>
        <v>Slow reading speed is frustratingly slow</v>
      </c>
    </row>
    <row r="5397" spans="1:3" ht="15.75" customHeight="1" x14ac:dyDescent="0.25">
      <c r="A5397" s="2" t="s">
        <v>5399</v>
      </c>
      <c r="B5397" s="3" t="s">
        <v>6</v>
      </c>
      <c r="C5397" s="2" t="str">
        <f ca="1">IFERROR(__xludf.DUMMYFUNCTION("GOOGLETRANSLATE(A5397,""bn"",""en"")"),"The food gets cold over time because the material does not retain much heat")</f>
        <v>The food gets cold over time because the material does not retain much heat</v>
      </c>
    </row>
    <row r="5398" spans="1:3" ht="15.75" customHeight="1" x14ac:dyDescent="0.25">
      <c r="A5398" s="2" t="s">
        <v>5400</v>
      </c>
      <c r="B5398" s="3" t="s">
        <v>4</v>
      </c>
      <c r="C5398" s="2" t="str">
        <f ca="1">IFERROR(__xludf.DUMMYFUNCTION("GOOGLETRANSLATE(A5398,""bn"",""en"")"),"The soap is easy to wash off")</f>
        <v>The soap is easy to wash off</v>
      </c>
    </row>
    <row r="5399" spans="1:3" ht="15.75" customHeight="1" x14ac:dyDescent="0.25">
      <c r="A5399" s="2" t="s">
        <v>5401</v>
      </c>
      <c r="B5399" s="3" t="s">
        <v>2</v>
      </c>
      <c r="C5399" s="2" t="str">
        <f ca="1">IFERROR(__xludf.DUMMYFUNCTION("GOOGLETRANSLATE(A5399,""bn"",""en"")"),"The mouth of the bottle is wide")</f>
        <v>The mouth of the bottle is wide</v>
      </c>
    </row>
    <row r="5400" spans="1:3" ht="15.75" customHeight="1" x14ac:dyDescent="0.25">
      <c r="A5400" s="2" t="s">
        <v>5402</v>
      </c>
      <c r="B5400" s="3" t="s">
        <v>4</v>
      </c>
      <c r="C5400" s="2" t="str">
        <f ca="1">IFERROR(__xludf.DUMMYFUNCTION("GOOGLETRANSLATE(A5400,""bn"",""en"")"),"My hands are moist for hours after use")</f>
        <v>My hands are moist for hours after use</v>
      </c>
    </row>
    <row r="5401" spans="1:3" ht="15.75" customHeight="1" x14ac:dyDescent="0.25">
      <c r="A5401" s="2" t="s">
        <v>5403</v>
      </c>
      <c r="B5401" s="3" t="s">
        <v>6</v>
      </c>
      <c r="C5401" s="2" t="str">
        <f ca="1">IFERROR(__xludf.DUMMYFUNCTION("GOOGLETRANSLATE(A5401,""bn"",""en"")"),"The soap bar left a residue on my skin making it feel slippery")</f>
        <v>The soap bar left a residue on my skin making it feel slippery</v>
      </c>
    </row>
    <row r="5402" spans="1:3" ht="15.75" customHeight="1" x14ac:dyDescent="0.25">
      <c r="A5402" s="2" t="s">
        <v>5404</v>
      </c>
      <c r="B5402" s="3" t="s">
        <v>6</v>
      </c>
      <c r="C5402" s="2" t="str">
        <f ca="1">IFERROR(__xludf.DUMMYFUNCTION("GOOGLETRANSLATE(A5402,""bn"",""en"")"),"Visual monotony fails to generate interest")</f>
        <v>Visual monotony fails to generate interest</v>
      </c>
    </row>
    <row r="5403" spans="1:3" ht="15.75" customHeight="1" x14ac:dyDescent="0.25">
      <c r="A5403" s="2" t="s">
        <v>5405</v>
      </c>
      <c r="B5403" s="3" t="s">
        <v>2</v>
      </c>
      <c r="C5403" s="2" t="str">
        <f ca="1">IFERROR(__xludf.DUMMYFUNCTION("GOOGLETRANSLATE(A5403,""bn"",""en"")"),"Quality is ok could have been better")</f>
        <v>Quality is ok could have been better</v>
      </c>
    </row>
    <row r="5404" spans="1:3" ht="15.75" customHeight="1" x14ac:dyDescent="0.25">
      <c r="A5404" s="2" t="s">
        <v>5406</v>
      </c>
      <c r="B5404" s="3" t="s">
        <v>4</v>
      </c>
      <c r="C5404" s="2" t="str">
        <f ca="1">IFERROR(__xludf.DUMMYFUNCTION("GOOGLETRANSLATE(A5404,""bn"",""en"")"),"The design of this ring is very beautiful and rich")</f>
        <v>The design of this ring is very beautiful and rich</v>
      </c>
    </row>
    <row r="5405" spans="1:3" ht="15.75" customHeight="1" x14ac:dyDescent="0.25">
      <c r="A5405" s="2" t="s">
        <v>5407</v>
      </c>
      <c r="B5405" s="3" t="s">
        <v>2</v>
      </c>
      <c r="C5405" s="2" t="str">
        <f ca="1">IFERROR(__xludf.DUMMYFUNCTION("GOOGLETRANSLATE(A5405,""bn"",""en"")"),"The handle can be bent ")</f>
        <v xml:space="preserve">The handle can be bent </v>
      </c>
    </row>
    <row r="5406" spans="1:3" ht="15.75" customHeight="1" x14ac:dyDescent="0.25">
      <c r="A5406" s="2" t="s">
        <v>5408</v>
      </c>
      <c r="B5406" s="3" t="s">
        <v>2</v>
      </c>
      <c r="C5406" s="2" t="str">
        <f ca="1">IFERROR(__xludf.DUMMYFUNCTION("GOOGLETRANSLATE(A5406,""bn"",""en"")"),"It has potential but is usable")</f>
        <v>It has potential but is usable</v>
      </c>
    </row>
    <row r="5407" spans="1:3" ht="15.75" customHeight="1" x14ac:dyDescent="0.25">
      <c r="A5407" s="2" t="s">
        <v>5409</v>
      </c>
      <c r="B5407" s="3" t="s">
        <v>6</v>
      </c>
      <c r="C5407" s="2" t="str">
        <f ca="1">IFERROR(__xludf.DUMMYFUNCTION("GOOGLETRANSLATE(A5407,""bn"",""en"")"),"It does not work as expected and is not as effective as advertised")</f>
        <v>It does not work as expected and is not as effective as advertised</v>
      </c>
    </row>
    <row r="5408" spans="1:3" ht="15.75" customHeight="1" x14ac:dyDescent="0.25">
      <c r="A5408" s="2" t="s">
        <v>5410</v>
      </c>
      <c r="B5408" s="3" t="s">
        <v>6</v>
      </c>
      <c r="C5408" s="2" t="str">
        <f ca="1">IFERROR(__xludf.DUMMYFUNCTION("GOOGLETRANSLATE(A5408,""bn"",""en"")"),"Discoloration has turned it into an unappealing shade")</f>
        <v>Discoloration has turned it into an unappealing shade</v>
      </c>
    </row>
    <row r="5409" spans="1:3" ht="15.75" customHeight="1" x14ac:dyDescent="0.25">
      <c r="A5409" s="2" t="s">
        <v>5411</v>
      </c>
      <c r="B5409" s="3" t="s">
        <v>6</v>
      </c>
      <c r="C5409" s="2" t="str">
        <f ca="1">IFERROR(__xludf.DUMMYFUNCTION("GOOGLETRANSLATE(A5409,""bn"",""en"")"),"The timer of the UV sterilizer does not work and runs continuously")</f>
        <v>The timer of the UV sterilizer does not work and runs continuously</v>
      </c>
    </row>
    <row r="5410" spans="1:3" ht="15.75" customHeight="1" x14ac:dyDescent="0.25">
      <c r="A5410" s="2" t="s">
        <v>5412</v>
      </c>
      <c r="B5410" s="3" t="s">
        <v>4</v>
      </c>
      <c r="C5410" s="2" t="str">
        <f ca="1">IFERROR(__xludf.DUMMYFUNCTION("GOOGLETRANSLATE(A5410,""bn"",""en"")"),"Brickhouse Protection Weatherproof Magnetic Case for Car Built-in GPS Tracker Love it ")</f>
        <v xml:space="preserve">Brickhouse Protection Weatherproof Magnetic Case for Car Built-in GPS Tracker Love it </v>
      </c>
    </row>
    <row r="5411" spans="1:3" ht="15.75" customHeight="1" x14ac:dyDescent="0.25">
      <c r="A5411" s="2" t="s">
        <v>5413</v>
      </c>
      <c r="B5411" s="3" t="s">
        <v>2</v>
      </c>
      <c r="C5411" s="2" t="str">
        <f ca="1">IFERROR(__xludf.DUMMYFUNCTION("GOOGLETRANSLATE(A5411,""bn"",""en"")"),"The packaging is good but the taste needs a little change")</f>
        <v>The packaging is good but the taste needs a little change</v>
      </c>
    </row>
    <row r="5412" spans="1:3" ht="15.75" customHeight="1" x14ac:dyDescent="0.25">
      <c r="A5412" s="2" t="s">
        <v>5414</v>
      </c>
      <c r="B5412" s="3" t="s">
        <v>4</v>
      </c>
      <c r="C5412" s="2" t="str">
        <f ca="1">IFERROR(__xludf.DUMMYFUNCTION("GOOGLETRANSLATE(A5412,""bn"",""en"")"),"Setup was very easy and I started using it as soon as I plugged it in")</f>
        <v>Setup was very easy and I started using it as soon as I plugged it in</v>
      </c>
    </row>
    <row r="5413" spans="1:3" ht="15.75" customHeight="1" x14ac:dyDescent="0.25">
      <c r="A5413" s="2" t="s">
        <v>5415</v>
      </c>
      <c r="B5413" s="3" t="s">
        <v>2</v>
      </c>
      <c r="C5413" s="2" t="str">
        <f ca="1">IFERROR(__xludf.DUMMYFUNCTION("GOOGLETRANSLATE(A5413,""bn"",""en"")"),"A bit better for crafting")</f>
        <v>A bit better for crafting</v>
      </c>
    </row>
    <row r="5414" spans="1:3" ht="15.75" customHeight="1" x14ac:dyDescent="0.25">
      <c r="A5414" s="2" t="s">
        <v>5416</v>
      </c>
      <c r="B5414" s="3" t="s">
        <v>6</v>
      </c>
      <c r="C5414" s="2" t="str">
        <f ca="1">IFERROR(__xludf.DUMMYFUNCTION("GOOGLETRANSLATE(A5414,""bn"",""en"")"),"The lid of the portable blender does not seal tightly and leaks during blending")</f>
        <v>The lid of the portable blender does not seal tightly and leaks during blending</v>
      </c>
    </row>
    <row r="5415" spans="1:3" ht="15.75" customHeight="1" x14ac:dyDescent="0.25">
      <c r="A5415" s="2" t="s">
        <v>5417</v>
      </c>
      <c r="B5415" s="3" t="s">
        <v>2</v>
      </c>
      <c r="C5415" s="2" t="str">
        <f ca="1">IFERROR(__xludf.DUMMYFUNCTION("GOOGLETRANSLATE(A5415,""bn"",""en"")"),"The Anker Soundcore Life Q is a decent but not exceptional headphone for the price")</f>
        <v>The Anker Soundcore Life Q is a decent but not exceptional headphone for the price</v>
      </c>
    </row>
    <row r="5416" spans="1:3" ht="15.75" customHeight="1" x14ac:dyDescent="0.25">
      <c r="A5416" s="2" t="s">
        <v>5418</v>
      </c>
      <c r="B5416" s="3" t="s">
        <v>4</v>
      </c>
      <c r="C5416" s="2" t="str">
        <f ca="1">IFERROR(__xludf.DUMMYFUNCTION("GOOGLETRANSLATE(A5416,""bn"",""en"")"),"The new carpet suits the room very well")</f>
        <v>The new carpet suits the room very well</v>
      </c>
    </row>
    <row r="5417" spans="1:3" ht="15.75" customHeight="1" x14ac:dyDescent="0.25">
      <c r="A5417" s="2" t="s">
        <v>5419</v>
      </c>
      <c r="B5417" s="3" t="s">
        <v>4</v>
      </c>
      <c r="C5417" s="2" t="str">
        <f ca="1">IFERROR(__xludf.DUMMYFUNCTION("GOOGLETRANSLATE(A5417,""bn"",""en"")"),"The structure of the fan is very quick and easy to trust")</f>
        <v>The structure of the fan is very quick and easy to trust</v>
      </c>
    </row>
    <row r="5418" spans="1:3" ht="15.75" customHeight="1" x14ac:dyDescent="0.25">
      <c r="A5418" s="2" t="s">
        <v>5420</v>
      </c>
      <c r="B5418" s="3" t="s">
        <v>2</v>
      </c>
      <c r="C5418" s="2" t="str">
        <f ca="1">IFERROR(__xludf.DUMMYFUNCTION("GOOGLETRANSLATE(A5418,""bn"",""en"")"),"Talking options are pretty good")</f>
        <v>Talking options are pretty good</v>
      </c>
    </row>
    <row r="5419" spans="1:3" ht="15.75" customHeight="1" x14ac:dyDescent="0.25">
      <c r="A5419" s="2" t="s">
        <v>5421</v>
      </c>
      <c r="B5419" s="3" t="s">
        <v>2</v>
      </c>
      <c r="C5419" s="2" t="str">
        <f ca="1">IFERROR(__xludf.DUMMYFUNCTION("GOOGLETRANSLATE(A5419,""bn"",""en"")"),"The mouth of the bottle is a little wide")</f>
        <v>The mouth of the bottle is a little wide</v>
      </c>
    </row>
    <row r="5420" spans="1:3" ht="15.75" customHeight="1" x14ac:dyDescent="0.25">
      <c r="A5420" s="2" t="s">
        <v>5422</v>
      </c>
      <c r="B5420" s="3" t="s">
        <v>2</v>
      </c>
      <c r="C5420" s="2" t="str">
        <f ca="1">IFERROR(__xludf.DUMMYFUNCTION("GOOGLETRANSLATE(A5420,""bn"",""en"")"),"It can be called a mediocre product")</f>
        <v>It can be called a mediocre product</v>
      </c>
    </row>
    <row r="5421" spans="1:3" ht="15.75" customHeight="1" x14ac:dyDescent="0.25">
      <c r="A5421" s="2" t="s">
        <v>5423</v>
      </c>
      <c r="B5421" s="3" t="s">
        <v>6</v>
      </c>
      <c r="C5421" s="2" t="str">
        <f ca="1">IFERROR(__xludf.DUMMYFUNCTION("GOOGLETRANSLATE(A5421,""bn"",""en"")"),"The price of the item was disproportionately high for its quality")</f>
        <v>The price of the item was disproportionately high for its quality</v>
      </c>
    </row>
    <row r="5422" spans="1:3" ht="15.75" customHeight="1" x14ac:dyDescent="0.25">
      <c r="A5422" s="2" t="s">
        <v>5424</v>
      </c>
      <c r="B5422" s="3" t="s">
        <v>6</v>
      </c>
      <c r="C5422" s="2" t="str">
        <f ca="1">IFERROR(__xludf.DUMMYFUNCTION("GOOGLETRANSLATE(A5422,""bn"",""en"")"),"Product instructions are unclear or poorly translated")</f>
        <v>Product instructions are unclear or poorly translated</v>
      </c>
    </row>
    <row r="5423" spans="1:3" ht="15.75" customHeight="1" x14ac:dyDescent="0.25">
      <c r="A5423" s="2" t="s">
        <v>5425</v>
      </c>
      <c r="B5423" s="3" t="s">
        <v>4</v>
      </c>
      <c r="C5423" s="2" t="str">
        <f ca="1">IFERROR(__xludf.DUMMYFUNCTION("GOOGLETRANSLATE(A5423,""bn"",""en"")"),"The gravy boat that comes with the set is very functional as it is leak free and works perfectly while serving")</f>
        <v>The gravy boat that comes with the set is very functional as it is leak free and works perfectly while serving</v>
      </c>
    </row>
    <row r="5424" spans="1:3" ht="15.75" customHeight="1" x14ac:dyDescent="0.25">
      <c r="A5424" s="2" t="s">
        <v>5426</v>
      </c>
      <c r="B5424" s="3" t="s">
        <v>4</v>
      </c>
      <c r="C5424" s="2" t="str">
        <f ca="1">IFERROR(__xludf.DUMMYFUNCTION("GOOGLETRANSLATE(A5424,""bn"",""en"")"),"Met my expectations")</f>
        <v>Met my expectations</v>
      </c>
    </row>
    <row r="5425" spans="1:3" ht="15.75" customHeight="1" x14ac:dyDescent="0.25">
      <c r="A5425" s="2" t="s">
        <v>5427</v>
      </c>
      <c r="B5425" s="3" t="s">
        <v>6</v>
      </c>
      <c r="C5425" s="2" t="str">
        <f ca="1">IFERROR(__xludf.DUMMYFUNCTION("GOOGLETRANSLATE(A5425,""bn"",""en"")"),"Self-cleaning litter boxes clog the waste drawer and are difficult to empty")</f>
        <v>Self-cleaning litter boxes clog the waste drawer and are difficult to empty</v>
      </c>
    </row>
    <row r="5426" spans="1:3" ht="15.75" customHeight="1" x14ac:dyDescent="0.25">
      <c r="A5426" s="2" t="s">
        <v>5428</v>
      </c>
      <c r="B5426" s="3" t="s">
        <v>4</v>
      </c>
      <c r="C5426" s="2" t="str">
        <f ca="1">IFERROR(__xludf.DUMMYFUNCTION("GOOGLETRANSLATE(A5426,""bn"",""en"")"),"Battery backup is very good")</f>
        <v>Battery backup is very good</v>
      </c>
    </row>
    <row r="5427" spans="1:3" ht="15.75" customHeight="1" x14ac:dyDescent="0.25">
      <c r="A5427" s="2" t="s">
        <v>5429</v>
      </c>
      <c r="B5427" s="3" t="s">
        <v>2</v>
      </c>
      <c r="C5427" s="2" t="str">
        <f ca="1">IFERROR(__xludf.DUMMYFUNCTION("GOOGLETRANSLATE(A5427,""bn"",""en"")"),"The design was simple")</f>
        <v>The design was simple</v>
      </c>
    </row>
    <row r="5428" spans="1:3" ht="15.75" customHeight="1" x14ac:dyDescent="0.25">
      <c r="A5428" s="2" t="s">
        <v>5430</v>
      </c>
      <c r="B5428" s="3" t="s">
        <v>6</v>
      </c>
      <c r="C5428" s="2" t="str">
        <f ca="1">IFERROR(__xludf.DUMMYFUNCTION("GOOGLETRANSLATE(A5428,""bn"",""en"")"),"The size of the item was too small to be easily lost or swallowed")</f>
        <v>The size of the item was too small to be easily lost or swallowed</v>
      </c>
    </row>
    <row r="5429" spans="1:3" ht="15.75" customHeight="1" x14ac:dyDescent="0.25">
      <c r="A5429" s="2" t="s">
        <v>5431</v>
      </c>
      <c r="B5429" s="3" t="s">
        <v>6</v>
      </c>
      <c r="C5429" s="2" t="str">
        <f ca="1">IFERROR(__xludf.DUMMYFUNCTION("GOOGLETRANSLATE(A5429,""bn"",""en"")"),"The product's compatibility with other devices was limited")</f>
        <v>The product's compatibility with other devices was limited</v>
      </c>
    </row>
    <row r="5430" spans="1:3" ht="15.75" customHeight="1" x14ac:dyDescent="0.25">
      <c r="A5430" s="2" t="s">
        <v>5432</v>
      </c>
      <c r="B5430" s="3" t="s">
        <v>6</v>
      </c>
      <c r="C5430" s="2" t="str">
        <f ca="1">IFERROR(__xludf.DUMMYFUNCTION("GOOGLETRANSLATE(A5430,""bn"",""en"")"),"Steam vents in rice cookers get clogged causing the rice to become spicy")</f>
        <v>Steam vents in rice cookers get clogged causing the rice to become spicy</v>
      </c>
    </row>
    <row r="5431" spans="1:3" ht="15.75" customHeight="1" x14ac:dyDescent="0.25">
      <c r="A5431" s="2" t="s">
        <v>5433</v>
      </c>
      <c r="B5431" s="3" t="s">
        <v>2</v>
      </c>
      <c r="C5431" s="2" t="str">
        <f ca="1">IFERROR(__xludf.DUMMYFUNCTION("GOOGLETRANSLATE(A5431,""bn"",""en"")"),"There may be connectivity issues with the security camera system")</f>
        <v>There may be connectivity issues with the security camera system</v>
      </c>
    </row>
    <row r="5432" spans="1:3" ht="15.75" customHeight="1" x14ac:dyDescent="0.25">
      <c r="A5432" s="2" t="s">
        <v>5434</v>
      </c>
      <c r="B5432" s="3" t="s">
        <v>4</v>
      </c>
      <c r="C5432" s="2" t="str">
        <f ca="1">IFERROR(__xludf.DUMMYFUNCTION("GOOGLETRANSLATE(A5432,""bn"",""en"")"),"The filter is very effective")</f>
        <v>The filter is very effective</v>
      </c>
    </row>
    <row r="5433" spans="1:3" ht="15.75" customHeight="1" x14ac:dyDescent="0.25">
      <c r="A5433" s="2" t="s">
        <v>5435</v>
      </c>
      <c r="B5433" s="3" t="s">
        <v>6</v>
      </c>
      <c r="C5433" s="2" t="str">
        <f ca="1">IFERROR(__xludf.DUMMYFUNCTION("GOOGLETRANSLATE(A5433,""bn"",""en"")"),"The color does not last long")</f>
        <v>The color does not last long</v>
      </c>
    </row>
    <row r="5434" spans="1:3" ht="15.75" customHeight="1" x14ac:dyDescent="0.25">
      <c r="A5434" s="2" t="s">
        <v>5436</v>
      </c>
      <c r="B5434" s="3" t="s">
        <v>2</v>
      </c>
      <c r="C5434" s="2" t="str">
        <f ca="1">IFERROR(__xludf.DUMMYFUNCTION("GOOGLETRANSLATE(A5434,""bn"",""en"")"),"The laptop cooling pad keeps the laptop cool but makes noise")</f>
        <v>The laptop cooling pad keeps the laptop cool but makes noise</v>
      </c>
    </row>
    <row r="5435" spans="1:3" ht="15.75" customHeight="1" x14ac:dyDescent="0.25">
      <c r="A5435" s="2" t="s">
        <v>5437</v>
      </c>
      <c r="B5435" s="3" t="s">
        <v>6</v>
      </c>
      <c r="C5435" s="2" t="str">
        <f ca="1">IFERROR(__xludf.DUMMYFUNCTION("GOOGLETRANSLATE(A5435,""bn"",""en"")"),"The eyeliner smudges easily throughout the day creating a messy look")</f>
        <v>The eyeliner smudges easily throughout the day creating a messy look</v>
      </c>
    </row>
    <row r="5436" spans="1:3" ht="15.75" customHeight="1" x14ac:dyDescent="0.25">
      <c r="A5436" s="2" t="s">
        <v>5438</v>
      </c>
      <c r="B5436" s="3" t="s">
        <v>4</v>
      </c>
      <c r="C5436" s="2" t="str">
        <f ca="1">IFERROR(__xludf.DUMMYFUNCTION("GOOGLETRANSLATE(A5436,""bn"",""en"")"),"Fashionable and modern design")</f>
        <v>Fashionable and modern design</v>
      </c>
    </row>
    <row r="5437" spans="1:3" ht="15.75" customHeight="1" x14ac:dyDescent="0.25">
      <c r="A5437" s="2" t="s">
        <v>5439</v>
      </c>
      <c r="B5437" s="3" t="s">
        <v>2</v>
      </c>
      <c r="C5437" s="2" t="str">
        <f ca="1">IFERROR(__xludf.DUMMYFUNCTION("GOOGLETRANSLATE(A5437,""bn"",""en"")"),"Makes the house attractive but not overwhelming")</f>
        <v>Makes the house attractive but not overwhelming</v>
      </c>
    </row>
    <row r="5438" spans="1:3" ht="15.75" customHeight="1" x14ac:dyDescent="0.25">
      <c r="A5438" s="2" t="s">
        <v>5440</v>
      </c>
      <c r="B5438" s="3" t="s">
        <v>6</v>
      </c>
      <c r="C5438" s="2" t="str">
        <f ca="1">IFERROR(__xludf.DUMMYFUNCTION("GOOGLETRANSLATE(A5438,""bn"",""en"")"),"Its performance is below expectations")</f>
        <v>Its performance is below expectations</v>
      </c>
    </row>
    <row r="5439" spans="1:3" ht="15.75" customHeight="1" x14ac:dyDescent="0.25">
      <c r="A5439" s="2" t="s">
        <v>5441</v>
      </c>
      <c r="B5439" s="3" t="s">
        <v>4</v>
      </c>
      <c r="C5439" s="2" t="str">
        <f ca="1">IFERROR(__xludf.DUMMYFUNCTION("GOOGLETRANSLATE(A5439,""bn"",""en"")"),"Awesome product cover very beautiful and priceless quality I am very happy and thank you Daraj")</f>
        <v>Awesome product cover very beautiful and priceless quality I am very happy and thank you Daraj</v>
      </c>
    </row>
    <row r="5440" spans="1:3" ht="15.75" customHeight="1" x14ac:dyDescent="0.25">
      <c r="A5440" s="2" t="s">
        <v>5442</v>
      </c>
      <c r="B5440" s="3" t="s">
        <v>6</v>
      </c>
      <c r="C5440" s="2" t="str">
        <f ca="1">IFERROR(__xludf.DUMMYFUNCTION("GOOGLETRANSLATE(A5440,""bn"",""en"")")," Power settings are not adjustable enough resulting in limited control over cooking")</f>
        <v xml:space="preserve"> Power settings are not adjustable enough resulting in limited control over cooking</v>
      </c>
    </row>
    <row r="5441" spans="1:3" ht="15.75" customHeight="1" x14ac:dyDescent="0.25">
      <c r="A5441" s="2" t="s">
        <v>5443</v>
      </c>
      <c r="B5441" s="3" t="s">
        <v>4</v>
      </c>
      <c r="C5441" s="2" t="str">
        <f ca="1">IFERROR(__xludf.DUMMYFUNCTION("GOOGLETRANSLATE(A5441,""bn"",""en"")"),"Helps create a romantic atmosphere")</f>
        <v>Helps create a romantic atmosphere</v>
      </c>
    </row>
    <row r="5442" spans="1:3" ht="15.75" customHeight="1" x14ac:dyDescent="0.25">
      <c r="A5442" s="2" t="s">
        <v>5444</v>
      </c>
      <c r="B5442" s="3" t="s">
        <v>4</v>
      </c>
      <c r="C5442" s="2" t="str">
        <f ca="1">IFERROR(__xludf.DUMMYFUNCTION("GOOGLETRANSLATE(A5442,""bn"",""en"")"),"Can be kept in the office")</f>
        <v>Can be kept in the office</v>
      </c>
    </row>
    <row r="5443" spans="1:3" ht="15.75" customHeight="1" x14ac:dyDescent="0.25">
      <c r="A5443" s="2" t="s">
        <v>5445</v>
      </c>
      <c r="B5443" s="3" t="s">
        <v>4</v>
      </c>
      <c r="C5443" s="2" t="str">
        <f ca="1">IFERROR(__xludf.DUMMYFUNCTION("GOOGLETRANSLATE(A5443,""bn"",""en"")"),"It makes makeup application perfect")</f>
        <v>It makes makeup application perfect</v>
      </c>
    </row>
    <row r="5444" spans="1:3" ht="15.75" customHeight="1" x14ac:dyDescent="0.25">
      <c r="A5444" s="2" t="s">
        <v>5446</v>
      </c>
      <c r="B5444" s="3" t="s">
        <v>2</v>
      </c>
      <c r="C5444" s="2" t="str">
        <f ca="1">IFERROR(__xludf.DUMMYFUNCTION("GOOGLETRANSLATE(A5444,""bn"",""en"")"),"Should be washed and used regularly")</f>
        <v>Should be washed and used regularly</v>
      </c>
    </row>
    <row r="5445" spans="1:3" ht="15.75" customHeight="1" x14ac:dyDescent="0.25">
      <c r="A5445" s="2" t="s">
        <v>5447</v>
      </c>
      <c r="B5445" s="3" t="s">
        <v>6</v>
      </c>
      <c r="C5445" s="2" t="str">
        <f ca="1">IFERROR(__xludf.DUMMYFUNCTION("GOOGLETRANSLATE(A5445,""bn"",""en"")"),"The dry shampoo left a white residue on my hair that was hard to brush out")</f>
        <v>The dry shampoo left a white residue on my hair that was hard to brush out</v>
      </c>
    </row>
    <row r="5446" spans="1:3" ht="15.75" customHeight="1" x14ac:dyDescent="0.25">
      <c r="A5446" s="2" t="s">
        <v>5448</v>
      </c>
      <c r="B5446" s="3" t="s">
        <v>6</v>
      </c>
      <c r="C5446" s="2" t="str">
        <f ca="1">IFERROR(__xludf.DUMMYFUNCTION("GOOGLETRANSLATE(A5446,""bn"",""en"")"),"The paint had a gritty texture that affected the finish")</f>
        <v>The paint had a gritty texture that affected the finish</v>
      </c>
    </row>
    <row r="5447" spans="1:3" ht="15.75" customHeight="1" x14ac:dyDescent="0.25">
      <c r="A5447" s="2" t="s">
        <v>5449</v>
      </c>
      <c r="B5447" s="3" t="s">
        <v>6</v>
      </c>
      <c r="C5447" s="2" t="str">
        <f ca="1">IFERROR(__xludf.DUMMYFUNCTION("GOOGLETRANSLATE(A5447,""bn"",""en"")"),"Cheap materials are disappointing products")</f>
        <v>Cheap materials are disappointing products</v>
      </c>
    </row>
    <row r="5448" spans="1:3" ht="15.75" customHeight="1" x14ac:dyDescent="0.25">
      <c r="A5448" s="2" t="s">
        <v>5450</v>
      </c>
      <c r="B5448" s="3" t="s">
        <v>6</v>
      </c>
      <c r="C5448" s="2" t="str">
        <f ca="1">IFERROR(__xludf.DUMMYFUNCTION("GOOGLETRANSLATE(A5448,""bn"",""en"")"),"The smart doorbell's camera lens fogs up in humid weather, obscuring vision")</f>
        <v>The smart doorbell's camera lens fogs up in humid weather, obscuring vision</v>
      </c>
    </row>
    <row r="5449" spans="1:3" ht="15.75" customHeight="1" x14ac:dyDescent="0.25">
      <c r="A5449" s="2" t="s">
        <v>5451</v>
      </c>
      <c r="B5449" s="3" t="s">
        <v>6</v>
      </c>
      <c r="C5449" s="2" t="str">
        <f ca="1">IFERROR(__xludf.DUMMYFUNCTION("GOOGLETRANSLATE(A5449,""bn"",""en"")")," The kit promised hours of creative fun but turned out to be a frustrating endeavor with unclear instructions and missing ingredients")</f>
        <v xml:space="preserve"> The kit promised hours of creative fun but turned out to be a frustrating endeavor with unclear instructions and missing ingredients</v>
      </c>
    </row>
    <row r="5450" spans="1:3" ht="15.75" customHeight="1" x14ac:dyDescent="0.25">
      <c r="A5450" s="2" t="s">
        <v>5452</v>
      </c>
      <c r="B5450" s="3" t="s">
        <v>6</v>
      </c>
      <c r="C5450" s="2" t="str">
        <f ca="1">IFERROR(__xludf.DUMMYFUNCTION("GOOGLETRANSLATE(A5450,""bn"",""en"")"),"The unstable base makes it prone to tipping")</f>
        <v>The unstable base makes it prone to tipping</v>
      </c>
    </row>
    <row r="5451" spans="1:3" ht="15.75" customHeight="1" x14ac:dyDescent="0.25">
      <c r="A5451" s="2" t="s">
        <v>5453</v>
      </c>
      <c r="B5451" s="3" t="s">
        <v>6</v>
      </c>
      <c r="C5451" s="2" t="str">
        <f ca="1">IFERROR(__xludf.DUMMYFUNCTION("GOOGLETRANSLATE(A5451,""bn"",""en"")"),"Inconsistencies in sizing charts lead to an unqualified disaster")</f>
        <v>Inconsistencies in sizing charts lead to an unqualified disaster</v>
      </c>
    </row>
    <row r="5452" spans="1:3" ht="15.75" customHeight="1" x14ac:dyDescent="0.25">
      <c r="A5452" s="2" t="s">
        <v>5454</v>
      </c>
      <c r="B5452" s="3" t="s">
        <v>4</v>
      </c>
      <c r="C5452" s="2" t="str">
        <f ca="1">IFERROR(__xludf.DUMMYFUNCTION("GOOGLETRANSLATE(A5452,""bn"",""en"")"),"Once you eat it, you want to eat it again and again")</f>
        <v>Once you eat it, you want to eat it again and again</v>
      </c>
    </row>
    <row r="5453" spans="1:3" ht="15.75" customHeight="1" x14ac:dyDescent="0.25">
      <c r="A5453" s="2" t="s">
        <v>5455</v>
      </c>
      <c r="B5453" s="3" t="s">
        <v>2</v>
      </c>
      <c r="C5453" s="2" t="str">
        <f ca="1">IFERROR(__xludf.DUMMYFUNCTION("GOOGLETRANSLATE(A5453,""bn"",""en"")"),"Don't expect anything more than mediocre")</f>
        <v>Don't expect anything more than mediocre</v>
      </c>
    </row>
    <row r="5454" spans="1:3" ht="15.75" customHeight="1" x14ac:dyDescent="0.25">
      <c r="A5454" s="2" t="s">
        <v>5456</v>
      </c>
      <c r="B5454" s="3" t="s">
        <v>2</v>
      </c>
      <c r="C5454" s="2" t="str">
        <f ca="1">IFERROR(__xludf.DUMMYFUNCTION("GOOGLETRANSLATE(A5454,""bn"",""en"")"),"Spin is not that effective")</f>
        <v>Spin is not that effective</v>
      </c>
    </row>
    <row r="5455" spans="1:3" ht="15.75" customHeight="1" x14ac:dyDescent="0.25">
      <c r="A5455" s="2" t="s">
        <v>5457</v>
      </c>
      <c r="B5455" s="3" t="s">
        <v>6</v>
      </c>
      <c r="C5455" s="2" t="str">
        <f ca="1">IFERROR(__xludf.DUMMYFUNCTION("GOOGLETRANSLATE(A5455,""bn"",""en"")"),"The wheels of the baby stroller make a loud noise that disturbs the baby's sleep")</f>
        <v>The wheels of the baby stroller make a loud noise that disturbs the baby's sleep</v>
      </c>
    </row>
    <row r="5456" spans="1:3" ht="15.75" customHeight="1" x14ac:dyDescent="0.25">
      <c r="A5456" s="2" t="s">
        <v>5458</v>
      </c>
      <c r="B5456" s="3" t="s">
        <v>2</v>
      </c>
      <c r="C5456" s="2" t="str">
        <f ca="1">IFERROR(__xludf.DUMMYFUNCTION("GOOGLETRANSLATE(A5456,""bn"",""en"")"),"Perfect for a perceived quiet book but not extraordinary")</f>
        <v>Perfect for a perceived quiet book but not extraordinary</v>
      </c>
    </row>
    <row r="5457" spans="1:3" ht="15.75" customHeight="1" x14ac:dyDescent="0.25">
      <c r="A5457" s="2" t="s">
        <v>5459</v>
      </c>
      <c r="B5457" s="3" t="s">
        <v>6</v>
      </c>
      <c r="C5457" s="2" t="str">
        <f ca="1">IFERROR(__xludf.DUMMYFUNCTION("GOOGLETRANSLATE(A5457,""bn"",""en"")"),"The design lacks functionality making it totally impractical for daily wear")</f>
        <v>The design lacks functionality making it totally impractical for daily wear</v>
      </c>
    </row>
    <row r="5458" spans="1:3" ht="15.75" customHeight="1" x14ac:dyDescent="0.25">
      <c r="A5458" s="2" t="s">
        <v>5460</v>
      </c>
      <c r="B5458" s="3" t="s">
        <v>2</v>
      </c>
      <c r="C5458" s="2" t="str">
        <f ca="1">IFERROR(__xludf.DUMMYFUNCTION("GOOGLETRANSLATE(A5458,""bn"",""en"")"),"The drone camera flies but is difficult to control")</f>
        <v>The drone camera flies but is difficult to control</v>
      </c>
    </row>
    <row r="5459" spans="1:3" ht="15.75" customHeight="1" x14ac:dyDescent="0.25">
      <c r="A5459" s="2" t="s">
        <v>5461</v>
      </c>
      <c r="B5459" s="3" t="s">
        <v>6</v>
      </c>
      <c r="C5459" s="2" t="str">
        <f ca="1">IFERROR(__xludf.DUMMYFUNCTION("GOOGLETRANSLATE(A5459,""bn"",""en"")"),"The alarm clock buttons have become unresponsive making it impossible to set the alarm")</f>
        <v>The alarm clock buttons have become unresponsive making it impossible to set the alarm</v>
      </c>
    </row>
    <row r="5460" spans="1:3" ht="15.75" customHeight="1" x14ac:dyDescent="0.25">
      <c r="A5460" s="2" t="s">
        <v>5462</v>
      </c>
      <c r="B5460" s="3" t="s">
        <v>4</v>
      </c>
      <c r="C5460" s="2" t="str">
        <f ca="1">IFERROR(__xludf.DUMMYFUNCTION("GOOGLETRANSLATE(A5460,""bn"",""en"")"),"Every time you see it, it gives you a new feeling")</f>
        <v>Every time you see it, it gives you a new feeling</v>
      </c>
    </row>
    <row r="5461" spans="1:3" ht="15.75" customHeight="1" x14ac:dyDescent="0.25">
      <c r="A5461" s="2" t="s">
        <v>5463</v>
      </c>
      <c r="B5461" s="3" t="s">
        <v>6</v>
      </c>
      <c r="C5461" s="2" t="str">
        <f ca="1">IFERROR(__xludf.DUMMYFUNCTION("GOOGLETRANSLATE(A5461,""bn"",""en"")"),"The scent of the bath salts was so weak it was barely noticeable in the water")</f>
        <v>The scent of the bath salts was so weak it was barely noticeable in the water</v>
      </c>
    </row>
    <row r="5462" spans="1:3" ht="15.75" customHeight="1" x14ac:dyDescent="0.25">
      <c r="A5462" s="2" t="s">
        <v>5464</v>
      </c>
      <c r="B5462" s="3" t="s">
        <v>4</v>
      </c>
      <c r="C5462" s="2" t="str">
        <f ca="1">IFERROR(__xludf.DUMMYFUNCTION("GOOGLETRANSLATE(A5462,""bn"",""en"")"),"The water filter works very well")</f>
        <v>The water filter works very well</v>
      </c>
    </row>
    <row r="5463" spans="1:3" ht="15.75" customHeight="1" x14ac:dyDescent="0.25">
      <c r="A5463" s="2" t="s">
        <v>5465</v>
      </c>
      <c r="B5463" s="3" t="s">
        <v>6</v>
      </c>
      <c r="C5463" s="2" t="str">
        <f ca="1">IFERROR(__xludf.DUMMYFUNCTION("GOOGLETRANSLATE(A5463,""bn"",""en"")"),"The product did not arrive on time causing inconvenience")</f>
        <v>The product did not arrive on time causing inconvenience</v>
      </c>
    </row>
    <row r="5464" spans="1:3" ht="15.75" customHeight="1" x14ac:dyDescent="0.25">
      <c r="A5464" s="2" t="s">
        <v>5466</v>
      </c>
      <c r="B5464" s="3" t="s">
        <v>4</v>
      </c>
      <c r="C5464" s="2" t="str">
        <f ca="1">IFERROR(__xludf.DUMMYFUNCTION("GOOGLETRANSLATE(A5464,""bn"",""en"")"),"Teeth feel smooth and shiny after use")</f>
        <v>Teeth feel smooth and shiny after use</v>
      </c>
    </row>
    <row r="5465" spans="1:3" ht="15.75" customHeight="1" x14ac:dyDescent="0.25">
      <c r="A5465" s="2" t="s">
        <v>5467</v>
      </c>
      <c r="B5465" s="3" t="s">
        <v>4</v>
      </c>
      <c r="C5465" s="2" t="str">
        <f ca="1">IFERROR(__xludf.DUMMYFUNCTION("GOOGLETRANSLATE(A5465,""bn"",""en"")"),"The new TV remote is very easy to use")</f>
        <v>The new TV remote is very easy to use</v>
      </c>
    </row>
    <row r="5466" spans="1:3" ht="15.75" customHeight="1" x14ac:dyDescent="0.25">
      <c r="A5466" s="2" t="s">
        <v>5468</v>
      </c>
      <c r="B5466" s="3" t="s">
        <v>4</v>
      </c>
      <c r="C5466" s="2" t="str">
        <f ca="1">IFERROR(__xludf.DUMMYFUNCTION("GOOGLETRANSLATE(A5466,""bn"",""en"")"),"Each pillow in the set is of equal quality with none more or less filled than the other")</f>
        <v>Each pillow in the set is of equal quality with none more or less filled than the other</v>
      </c>
    </row>
    <row r="5467" spans="1:3" ht="15.75" customHeight="1" x14ac:dyDescent="0.25">
      <c r="A5467" s="2" t="s">
        <v>5469</v>
      </c>
      <c r="B5467" s="3" t="s">
        <v>4</v>
      </c>
      <c r="C5467" s="2" t="str">
        <f ca="1">IFERROR(__xludf.DUMMYFUNCTION("GOOGLETRANSLATE(A5467,""bn"",""en"")"),"Works for all my needs")</f>
        <v>Works for all my needs</v>
      </c>
    </row>
    <row r="5468" spans="1:3" ht="15.75" customHeight="1" x14ac:dyDescent="0.25">
      <c r="A5468" s="2" t="s">
        <v>5470</v>
      </c>
      <c r="B5468" s="3" t="s">
        <v>2</v>
      </c>
      <c r="C5468" s="2" t="str">
        <f ca="1">IFERROR(__xludf.DUMMYFUNCTION("GOOGLETRANSLATE(A5468,""bn"",""en"")"),"Gloves are comfortable but tear very quickly")</f>
        <v>Gloves are comfortable but tear very quickly</v>
      </c>
    </row>
    <row r="5469" spans="1:3" ht="15.75" customHeight="1" x14ac:dyDescent="0.25">
      <c r="A5469" s="2" t="s">
        <v>5471</v>
      </c>
      <c r="B5469" s="3" t="s">
        <v>2</v>
      </c>
      <c r="C5469" s="2" t="str">
        <f ca="1">IFERROR(__xludf.DUMMYFUNCTION("GOOGLETRANSLATE(A5469,""bn"",""en"")"),"Clothing is comfortable but color fades")</f>
        <v>Clothing is comfortable but color fades</v>
      </c>
    </row>
    <row r="5470" spans="1:3" ht="15.75" customHeight="1" x14ac:dyDescent="0.25">
      <c r="A5470" s="2" t="s">
        <v>5472</v>
      </c>
      <c r="B5470" s="3" t="s">
        <v>2</v>
      </c>
      <c r="C5470" s="2" t="str">
        <f ca="1">IFERROR(__xludf.DUMMYFUNCTION("GOOGLETRANSLATE(A5470,""bn"",""en"")"),"The snow shovel moves snow but the handle is short")</f>
        <v>The snow shovel moves snow but the handle is short</v>
      </c>
    </row>
    <row r="5471" spans="1:3" ht="15.75" customHeight="1" x14ac:dyDescent="0.25">
      <c r="A5471" s="2" t="s">
        <v>5473</v>
      </c>
      <c r="B5471" s="3" t="s">
        <v>4</v>
      </c>
      <c r="C5471" s="2" t="str">
        <f ca="1">IFERROR(__xludf.DUMMYFUNCTION("GOOGLETRANSLATE(A5471,""bn"",""en"")"),"A lot of fun time can be spent in this playground")</f>
        <v>A lot of fun time can be spent in this playground</v>
      </c>
    </row>
    <row r="5472" spans="1:3" ht="15.75" customHeight="1" x14ac:dyDescent="0.25">
      <c r="A5472" s="2" t="s">
        <v>5474</v>
      </c>
      <c r="B5472" s="3" t="s">
        <v>6</v>
      </c>
      <c r="C5472" s="2" t="str">
        <f ca="1">IFERROR(__xludf.DUMMYFUNCTION("GOOGLETRANSLATE(A5472,""bn"",""en"")"),"Poor quality is not worth the investment")</f>
        <v>Poor quality is not worth the investment</v>
      </c>
    </row>
    <row r="5473" spans="1:3" ht="15.75" customHeight="1" x14ac:dyDescent="0.25">
      <c r="A5473" s="2" t="s">
        <v>5475</v>
      </c>
      <c r="B5473" s="3" t="s">
        <v>4</v>
      </c>
      <c r="C5473" s="2" t="str">
        <f ca="1">IFERROR(__xludf.DUMMYFUNCTION("GOOGLETRANSLATE(A5473,""bn"",""en"")"),"Use of shampoo restores natural shine to hair")</f>
        <v>Use of shampoo restores natural shine to hair</v>
      </c>
    </row>
    <row r="5474" spans="1:3" ht="15.75" customHeight="1" x14ac:dyDescent="0.25">
      <c r="A5474" s="2" t="s">
        <v>5476</v>
      </c>
      <c r="B5474" s="3" t="s">
        <v>4</v>
      </c>
      <c r="C5474" s="2" t="str">
        <f ca="1">IFERROR(__xludf.DUMMYFUNCTION("GOOGLETRANSLATE(A5474,""bn"",""en"")"),"It has a mild fruity flavor hidden in it")</f>
        <v>It has a mild fruity flavor hidden in it</v>
      </c>
    </row>
    <row r="5475" spans="1:3" ht="15.75" customHeight="1" x14ac:dyDescent="0.25">
      <c r="A5475" s="2" t="s">
        <v>5477</v>
      </c>
      <c r="B5475" s="3" t="s">
        <v>4</v>
      </c>
      <c r="C5475" s="2" t="str">
        <f ca="1">IFERROR(__xludf.DUMMYFUNCTION("GOOGLETRANSLATE(A5475,""bn"",""en"")"),"Each level of the shelf is wide enough")</f>
        <v>Each level of the shelf is wide enough</v>
      </c>
    </row>
    <row r="5476" spans="1:3" ht="15.75" customHeight="1" x14ac:dyDescent="0.25">
      <c r="A5476" s="2" t="s">
        <v>5478</v>
      </c>
      <c r="B5476" s="3" t="s">
        <v>2</v>
      </c>
      <c r="C5476" s="2" t="str">
        <f ca="1">IFERROR(__xludf.DUMMYFUNCTION("GOOGLETRANSLATE(A5476,""bn"",""en"")"),"It helps strengthen baby's hand muscles")</f>
        <v>It helps strengthen baby's hand muscles</v>
      </c>
    </row>
    <row r="5477" spans="1:3" ht="15.75" customHeight="1" x14ac:dyDescent="0.25">
      <c r="A5477" s="2" t="s">
        <v>5479</v>
      </c>
      <c r="B5477" s="3" t="s">
        <v>6</v>
      </c>
      <c r="C5477" s="2" t="str">
        <f ca="1">IFERROR(__xludf.DUMMYFUNCTION("GOOGLETRANSLATE(A5477,""bn"",""en"")"),"The dye does not react with the skin")</f>
        <v>The dye does not react with the skin</v>
      </c>
    </row>
    <row r="5478" spans="1:3" ht="15.75" customHeight="1" x14ac:dyDescent="0.25">
      <c r="A5478" s="2" t="s">
        <v>5480</v>
      </c>
      <c r="B5478" s="3" t="s">
        <v>4</v>
      </c>
      <c r="C5478" s="2" t="str">
        <f ca="1">IFERROR(__xludf.DUMMYFUNCTION("GOOGLETRANSLATE(A5478,""bn"",""en"")"),"Each product in the kit is allergy free")</f>
        <v>Each product in the kit is allergy free</v>
      </c>
    </row>
    <row r="5479" spans="1:3" ht="15.75" customHeight="1" x14ac:dyDescent="0.25">
      <c r="A5479" s="2" t="s">
        <v>5481</v>
      </c>
      <c r="B5479" s="3" t="s">
        <v>4</v>
      </c>
      <c r="C5479" s="2" t="str">
        <f ca="1">IFERROR(__xludf.DUMMYFUNCTION("GOOGLETRANSLATE(A5479,""bn"",""en"")"),"The mop doesn't take long to work with")</f>
        <v>The mop doesn't take long to work with</v>
      </c>
    </row>
    <row r="5480" spans="1:3" ht="15.75" customHeight="1" x14ac:dyDescent="0.25">
      <c r="A5480" s="2" t="s">
        <v>5482</v>
      </c>
      <c r="B5480" s="3" t="s">
        <v>6</v>
      </c>
      <c r="C5480" s="2" t="str">
        <f ca="1">IFERROR(__xludf.DUMMYFUNCTION("GOOGLETRANSLATE(A5480,""bn"",""en"")"),"The assembly of the item was overly complicated and time consuming")</f>
        <v>The assembly of the item was overly complicated and time consuming</v>
      </c>
    </row>
    <row r="5481" spans="1:3" ht="15.75" customHeight="1" x14ac:dyDescent="0.25">
      <c r="A5481" s="2" t="s">
        <v>5483</v>
      </c>
      <c r="B5481" s="3" t="s">
        <v>6</v>
      </c>
      <c r="C5481" s="2" t="str">
        <f ca="1">IFERROR(__xludf.DUMMYFUNCTION("GOOGLETRANSLATE(A5481,""bn"",""en"")"),"Doesn't look cheap")</f>
        <v>Doesn't look cheap</v>
      </c>
    </row>
    <row r="5482" spans="1:3" ht="15.75" customHeight="1" x14ac:dyDescent="0.25">
      <c r="A5482" s="2" t="s">
        <v>5484</v>
      </c>
      <c r="B5482" s="3" t="s">
        <v>2</v>
      </c>
      <c r="C5482" s="2" t="str">
        <f ca="1">IFERROR(__xludf.DUMMYFUNCTION("GOOGLETRANSLATE(A5482,""bn"",""en"")"),"Budget earbuds are good but not perfect")</f>
        <v>Budget earbuds are good but not perfect</v>
      </c>
    </row>
    <row r="5483" spans="1:3" ht="15.75" customHeight="1" x14ac:dyDescent="0.25">
      <c r="A5483" s="2" t="s">
        <v>5485</v>
      </c>
      <c r="B5483" s="3" t="s">
        <v>2</v>
      </c>
      <c r="C5483" s="2" t="str">
        <f ca="1">IFERROR(__xludf.DUMMYFUNCTION("GOOGLETRANSLATE(A5483,""bn"",""en"")"),"The design is attractive but not durable")</f>
        <v>The design is attractive but not durable</v>
      </c>
    </row>
    <row r="5484" spans="1:3" ht="15.75" customHeight="1" x14ac:dyDescent="0.25">
      <c r="A5484" s="2" t="s">
        <v>5486</v>
      </c>
      <c r="B5484" s="3" t="s">
        <v>4</v>
      </c>
      <c r="C5484" s="2" t="str">
        <f ca="1">IFERROR(__xludf.DUMMYFUNCTION("GOOGLETRANSLATE(A5484,""bn"",""en"")"),"Never had such delicious biscuits with tea before")</f>
        <v>Never had such delicious biscuits with tea before</v>
      </c>
    </row>
    <row r="5485" spans="1:3" ht="15.75" customHeight="1" x14ac:dyDescent="0.25">
      <c r="A5485" s="2" t="s">
        <v>5487</v>
      </c>
      <c r="B5485" s="3" t="s">
        <v>2</v>
      </c>
      <c r="C5485" s="2" t="str">
        <f ca="1">IFERROR(__xludf.DUMMYFUNCTION("GOOGLETRANSLATE(A5485,""bn"",""en"")"),"It gets used later")</f>
        <v>It gets used later</v>
      </c>
    </row>
    <row r="5486" spans="1:3" ht="15.75" customHeight="1" x14ac:dyDescent="0.25">
      <c r="A5486" s="2" t="s">
        <v>5488</v>
      </c>
      <c r="B5486" s="3" t="s">
        <v>2</v>
      </c>
      <c r="C5486" s="2" t="str">
        <f ca="1">IFERROR(__xludf.DUMMYFUNCTION("GOOGLETRANSLATE(A5486,""bn"",""en"")"),"Prices are mid range not too cheap or too expensive")</f>
        <v>Prices are mid range not too cheap or too expensive</v>
      </c>
    </row>
    <row r="5487" spans="1:3" ht="15.75" customHeight="1" x14ac:dyDescent="0.25">
      <c r="A5487" s="2" t="s">
        <v>5489</v>
      </c>
      <c r="B5487" s="3" t="s">
        <v>2</v>
      </c>
      <c r="C5487" s="2" t="str">
        <f ca="1">IFERROR(__xludf.DUMMYFUNCTION("GOOGLETRANSLATE(A5487,""bn"",""en"")"),"The handle can be adjusted for convenience")</f>
        <v>The handle can be adjusted for convenience</v>
      </c>
    </row>
    <row r="5488" spans="1:3" ht="15.75" customHeight="1" x14ac:dyDescent="0.25">
      <c r="A5488" s="2" t="s">
        <v>5490</v>
      </c>
      <c r="B5488" s="3" t="s">
        <v>6</v>
      </c>
      <c r="C5488" s="2" t="str">
        <f ca="1">IFERROR(__xludf.DUMMYFUNCTION("GOOGLETRANSLATE(A5488,""bn"",""en"")"),"Hair gel left my strands stiff and frizzy like straw")</f>
        <v>Hair gel left my strands stiff and frizzy like straw</v>
      </c>
    </row>
    <row r="5489" spans="1:3" ht="15.75" customHeight="1" x14ac:dyDescent="0.25">
      <c r="A5489" s="2" t="s">
        <v>5491</v>
      </c>
      <c r="B5489" s="3" t="s">
        <v>2</v>
      </c>
      <c r="C5489" s="2" t="str">
        <f ca="1">IFERROR(__xludf.DUMMYFUNCTION("GOOGLETRANSLATE(A5489,""bn"",""en"")"),"The design is unique but may not be to everyone's liking")</f>
        <v>The design is unique but may not be to everyone's liking</v>
      </c>
    </row>
    <row r="5490" spans="1:3" ht="15.75" customHeight="1" x14ac:dyDescent="0.25">
      <c r="A5490" s="2" t="s">
        <v>5492</v>
      </c>
      <c r="B5490" s="3" t="s">
        <v>2</v>
      </c>
      <c r="C5490" s="2" t="str">
        <f ca="1">IFERROR(__xludf.DUMMYFUNCTION("GOOGLETRANSLATE(A5490,""bn"",""en"")"),"Light but feels unstable because of it")</f>
        <v>Light but feels unstable because of it</v>
      </c>
    </row>
    <row r="5491" spans="1:3" ht="15.75" customHeight="1" x14ac:dyDescent="0.25">
      <c r="A5491" s="2" t="s">
        <v>5493</v>
      </c>
      <c r="B5491" s="3" t="s">
        <v>6</v>
      </c>
      <c r="C5491" s="2" t="str">
        <f ca="1">IFERROR(__xludf.DUMMYFUNCTION("GOOGLETRANSLATE(A5491,""bn"",""en"")")," Unfortunately the fit of the dress did not flatter the figure but rather accentuated the problem areas")</f>
        <v xml:space="preserve"> Unfortunately the fit of the dress did not flatter the figure but rather accentuated the problem areas</v>
      </c>
    </row>
    <row r="5492" spans="1:3" ht="15.75" customHeight="1" x14ac:dyDescent="0.25">
      <c r="A5492" s="2" t="s">
        <v>5494</v>
      </c>
      <c r="B5492" s="3" t="s">
        <v>2</v>
      </c>
      <c r="C5492" s="2" t="str">
        <f ca="1">IFERROR(__xludf.DUMMYFUNCTION("GOOGLETRANSLATE(A5492,""bn"",""en"")"),"Item is in good condition but some hinges are misaligned")</f>
        <v>Item is in good condition but some hinges are misaligned</v>
      </c>
    </row>
    <row r="5493" spans="1:3" ht="15.75" customHeight="1" x14ac:dyDescent="0.25">
      <c r="A5493" s="2" t="s">
        <v>5495</v>
      </c>
      <c r="B5493" s="3" t="s">
        <v>6</v>
      </c>
      <c r="C5493" s="2" t="str">
        <f ca="1">IFERROR(__xludf.DUMMYFUNCTION("GOOGLETRANSLATE(A5493,""bn"",""en"")"),"The experience did not live up to expectations")</f>
        <v>The experience did not live up to expectations</v>
      </c>
    </row>
    <row r="5494" spans="1:3" ht="15.75" customHeight="1" x14ac:dyDescent="0.25">
      <c r="A5494" s="2" t="s">
        <v>5496</v>
      </c>
      <c r="B5494" s="3" t="s">
        <v>4</v>
      </c>
      <c r="C5494" s="2" t="str">
        <f ca="1">IFERROR(__xludf.DUMMYFUNCTION("GOOGLETRANSLATE(A5494,""bn"",""en"")"),"The fan is very fun and stylish")</f>
        <v>The fan is very fun and stylish</v>
      </c>
    </row>
    <row r="5495" spans="1:3" ht="15.75" customHeight="1" x14ac:dyDescent="0.25">
      <c r="A5495" s="2" t="s">
        <v>5497</v>
      </c>
      <c r="B5495" s="3" t="s">
        <v>6</v>
      </c>
      <c r="C5495" s="2" t="str">
        <f ca="1">IFERROR(__xludf.DUMMYFUNCTION("GOOGLETRANSLATE(A5495,""bn"",""en"")"),"The packaging lacked information about the origin and processing of the tea")</f>
        <v>The packaging lacked information about the origin and processing of the tea</v>
      </c>
    </row>
    <row r="5496" spans="1:3" ht="15.75" customHeight="1" x14ac:dyDescent="0.25">
      <c r="A5496" s="2" t="s">
        <v>5498</v>
      </c>
      <c r="B5496" s="3" t="s">
        <v>2</v>
      </c>
      <c r="C5496" s="2" t="str">
        <f ca="1">IFERROR(__xludf.DUMMYFUNCTION("GOOGLETRANSLATE(A5496,""bn"",""en"")"),"If I were to rate it, I would")</f>
        <v>If I were to rate it, I would</v>
      </c>
    </row>
    <row r="5497" spans="1:3" ht="15.75" customHeight="1" x14ac:dyDescent="0.25">
      <c r="A5497" s="2" t="s">
        <v>5499</v>
      </c>
      <c r="B5497" s="3" t="s">
        <v>4</v>
      </c>
      <c r="C5497" s="2" t="str">
        <f ca="1">IFERROR(__xludf.DUMMYFUNCTION("GOOGLETRANSLATE(A5497,""bn"",""en"")"),"The structure of the watch is very strong")</f>
        <v>The structure of the watch is very strong</v>
      </c>
    </row>
    <row r="5498" spans="1:3" ht="15.75" customHeight="1" x14ac:dyDescent="0.25">
      <c r="A5498" s="2" t="s">
        <v>5500</v>
      </c>
      <c r="B5498" s="3" t="s">
        <v>2</v>
      </c>
      <c r="C5498" s="2" t="str">
        <f ca="1">IFERROR(__xludf.DUMMYFUNCTION("GOOGLETRANSLATE(A5498,""bn"",""en"")"),"Felt a bit soft")</f>
        <v>Felt a bit soft</v>
      </c>
    </row>
    <row r="5499" spans="1:3" ht="15.75" customHeight="1" x14ac:dyDescent="0.25">
      <c r="A5499" s="2" t="s">
        <v>5501</v>
      </c>
      <c r="B5499" s="3" t="s">
        <v>6</v>
      </c>
      <c r="C5499" s="2" t="str">
        <f ca="1">IFERROR(__xludf.DUMMYFUNCTION("GOOGLETRANSLATE(A5499,""bn"",""en"")"),"Due to double base or extra weight there are some inconveniences which hinder the user satisfaction")</f>
        <v>Due to double base or extra weight there are some inconveniences which hinder the user satisfaction</v>
      </c>
    </row>
    <row r="5500" spans="1:3" ht="15.75" customHeight="1" x14ac:dyDescent="0.25">
      <c r="A5500" s="2" t="s">
        <v>5502</v>
      </c>
      <c r="B5500" s="3" t="s">
        <v>2</v>
      </c>
      <c r="C5500" s="2" t="str">
        <f ca="1">IFERROR(__xludf.DUMMYFUNCTION("GOOGLETRANSLATE(A5500,""bn"",""en"")"),"The brush felt soft")</f>
        <v>The brush felt soft</v>
      </c>
    </row>
    <row r="5501" spans="1:3" ht="15.75" customHeight="1" x14ac:dyDescent="0.25">
      <c r="A5501" s="2" t="s">
        <v>5503</v>
      </c>
      <c r="B5501" s="3" t="s">
        <v>6</v>
      </c>
      <c r="C5501" s="2" t="str">
        <f ca="1">IFERROR(__xludf.DUMMYFUNCTION("GOOGLETRANSLATE(A5501,""bn"",""en"")"),"The bottle does not keep the water cold ")</f>
        <v xml:space="preserve">The bottle does not keep the water cold </v>
      </c>
    </row>
    <row r="5502" spans="1:3" ht="15.75" customHeight="1" x14ac:dyDescent="0.25">
      <c r="A5502" s="2" t="s">
        <v>5504</v>
      </c>
      <c r="B5502" s="3" t="s">
        <v>4</v>
      </c>
      <c r="C5502" s="2" t="str">
        <f ca="1">IFERROR(__xludf.DUMMYFUNCTION("GOOGLETRANSLATE(A5502,""bn"",""en"")"),"My winter nights are much more comfortable now")</f>
        <v>My winter nights are much more comfortable now</v>
      </c>
    </row>
    <row r="5503" spans="1:3" ht="15.75" customHeight="1" x14ac:dyDescent="0.25">
      <c r="A5503" s="2" t="s">
        <v>5505</v>
      </c>
      <c r="B5503" s="3" t="s">
        <v>4</v>
      </c>
      <c r="C5503" s="2" t="str">
        <f ca="1">IFERROR(__xludf.DUMMYFUNCTION("GOOGLETRANSLATE(A5503,""bn"",""en"")"),"This is an option for people who move around a lot and don't have time to charge")</f>
        <v>This is an option for people who move around a lot and don't have time to charge</v>
      </c>
    </row>
    <row r="5504" spans="1:3" ht="15.75" customHeight="1" x14ac:dyDescent="0.25">
      <c r="A5504" s="2" t="s">
        <v>5506</v>
      </c>
      <c r="B5504" s="3" t="s">
        <v>2</v>
      </c>
      <c r="C5504" s="2" t="str">
        <f ca="1">IFERROR(__xludf.DUMMYFUNCTION("GOOGLETRANSLATE(A5504,""bn"",""en"")"),"Color looks fashionable")</f>
        <v>Color looks fashionable</v>
      </c>
    </row>
    <row r="5505" spans="1:3" ht="15.75" customHeight="1" x14ac:dyDescent="0.25">
      <c r="A5505" s="2" t="s">
        <v>5507</v>
      </c>
      <c r="B5505" s="3" t="s">
        <v>2</v>
      </c>
      <c r="C5505" s="2" t="str">
        <f ca="1">IFERROR(__xludf.DUMMYFUNCTION("GOOGLETRANSLATE(A5505,""bn"",""en"")"),"The packaging is good but the quantity of the drink is a little less")</f>
        <v>The packaging is good but the quantity of the drink is a little less</v>
      </c>
    </row>
    <row r="5506" spans="1:3" ht="15.75" customHeight="1" x14ac:dyDescent="0.25">
      <c r="A5506" s="2" t="s">
        <v>5508</v>
      </c>
      <c r="B5506" s="3" t="s">
        <v>4</v>
      </c>
      <c r="C5506" s="2" t="str">
        <f ca="1">IFERROR(__xludf.DUMMYFUNCTION("GOOGLETRANSLATE(A5506,""bn"",""en"")"),"The fabric is skin friendly")</f>
        <v>The fabric is skin friendly</v>
      </c>
    </row>
    <row r="5507" spans="1:3" ht="15.75" customHeight="1" x14ac:dyDescent="0.25">
      <c r="A5507" s="2" t="s">
        <v>5509</v>
      </c>
      <c r="B5507" s="3" t="s">
        <v>2</v>
      </c>
      <c r="C5507" s="2" t="str">
        <f ca="1">IFERROR(__xludf.DUMMYFUNCTION("GOOGLETRANSLATE(A5507,""bn"",""en"")"),"I bought this mobile phone last month this mid budget device gives fairly good performance")</f>
        <v>I bought this mobile phone last month this mid budget device gives fairly good performance</v>
      </c>
    </row>
    <row r="5508" spans="1:3" ht="15.75" customHeight="1" x14ac:dyDescent="0.25">
      <c r="A5508" s="2" t="s">
        <v>5510</v>
      </c>
      <c r="B5508" s="3" t="s">
        <v>2</v>
      </c>
      <c r="C5508" s="2" t="str">
        <f ca="1">IFERROR(__xludf.DUMMYFUNCTION("GOOGLETRANSLATE(A5508,""bn"",""en"")"),"The color was very bright and the work was excellent with some satisfaction")</f>
        <v>The color was very bright and the work was excellent with some satisfaction</v>
      </c>
    </row>
    <row r="5509" spans="1:3" ht="15.75" customHeight="1" x14ac:dyDescent="0.25">
      <c r="A5509" s="2" t="s">
        <v>5511</v>
      </c>
      <c r="B5509" s="3" t="s">
        <v>4</v>
      </c>
      <c r="C5509" s="2" t="str">
        <f ca="1">IFERROR(__xludf.DUMMYFUNCTION("GOOGLETRANSLATE(A5509,""bn"",""en"")"),"The absorbency of this diaper is very good")</f>
        <v>The absorbency of this diaper is very good</v>
      </c>
    </row>
    <row r="5510" spans="1:3" ht="15.75" customHeight="1" x14ac:dyDescent="0.25">
      <c r="A5510" s="2" t="s">
        <v>5512</v>
      </c>
      <c r="B5510" s="3" t="s">
        <v>2</v>
      </c>
      <c r="C5510" s="2" t="str">
        <f ca="1">IFERROR(__xludf.DUMMYFUNCTION("GOOGLETRANSLATE(A5510,""bn"",""en"")"),"The electric kettle heats water but the auto shutoff does not work")</f>
        <v>The electric kettle heats water but the auto shutoff does not work</v>
      </c>
    </row>
    <row r="5511" spans="1:3" ht="15.75" customHeight="1" x14ac:dyDescent="0.25">
      <c r="A5511" s="2" t="s">
        <v>5513</v>
      </c>
      <c r="B5511" s="3" t="s">
        <v>4</v>
      </c>
      <c r="C5511" s="2" t="str">
        <f ca="1">IFERROR(__xludf.DUMMYFUNCTION("GOOGLETRANSLATE(A5511,""bn"",""en"")"),"Exam average is good according to me")</f>
        <v>Exam average is good according to me</v>
      </c>
    </row>
    <row r="5512" spans="1:3" ht="15.75" customHeight="1" x14ac:dyDescent="0.25">
      <c r="A5512" s="2" t="s">
        <v>5514</v>
      </c>
      <c r="B5512" s="3" t="s">
        <v>6</v>
      </c>
      <c r="C5512" s="2" t="str">
        <f ca="1">IFERROR(__xludf.DUMMYFUNCTION("GOOGLETRANSLATE(A5512,""bn"",""en"")")," The carrying pouch is too small to fit comfortably, causing pressure on the earpiece and possible damage")</f>
        <v xml:space="preserve"> The carrying pouch is too small to fit comfortably, causing pressure on the earpiece and possible damage</v>
      </c>
    </row>
    <row r="5513" spans="1:3" ht="15.75" customHeight="1" x14ac:dyDescent="0.25">
      <c r="A5513" s="2" t="s">
        <v>5515</v>
      </c>
      <c r="B5513" s="3" t="s">
        <v>4</v>
      </c>
      <c r="C5513" s="2" t="str">
        <f ca="1">IFERROR(__xludf.DUMMYFUNCTION("GOOGLETRANSLATE(A5513,""bn"",""en"")"),"This body wash improves skin health")</f>
        <v>This body wash improves skin health</v>
      </c>
    </row>
    <row r="5514" spans="1:3" ht="15.75" customHeight="1" x14ac:dyDescent="0.25">
      <c r="A5514" s="2" t="s">
        <v>5516</v>
      </c>
      <c r="B5514" s="3" t="s">
        <v>2</v>
      </c>
      <c r="C5514" s="2" t="str">
        <f ca="1">IFERROR(__xludf.DUMMYFUNCTION("GOOGLETRANSLATE(A5514,""bn"",""en"")"),"Usable but no extras")</f>
        <v>Usable but no extras</v>
      </c>
    </row>
    <row r="5515" spans="1:3" ht="15.75" customHeight="1" x14ac:dyDescent="0.25">
      <c r="A5515" s="2" t="s">
        <v>5517</v>
      </c>
      <c r="B5515" s="3" t="s">
        <v>4</v>
      </c>
      <c r="C5515" s="2" t="str">
        <f ca="1">IFERROR(__xludf.DUMMYFUNCTION("GOOGLETRANSLATE(A5515,""bn"",""en"")"),"Very quick delivery and I am very happy with the product")</f>
        <v>Very quick delivery and I am very happy with the product</v>
      </c>
    </row>
    <row r="5516" spans="1:3" ht="15.75" customHeight="1" x14ac:dyDescent="0.25">
      <c r="A5516" s="2" t="s">
        <v>5518</v>
      </c>
      <c r="B5516" s="3" t="s">
        <v>2</v>
      </c>
      <c r="C5516" s="2" t="str">
        <f ca="1">IFERROR(__xludf.DUMMYFUNCTION("GOOGLETRANSLATE(A5516,""bn"",""en"")"),"Overuse may cause slight reddening of the skin")</f>
        <v>Overuse may cause slight reddening of the skin</v>
      </c>
    </row>
    <row r="5517" spans="1:3" ht="15.75" customHeight="1" x14ac:dyDescent="0.25">
      <c r="A5517" s="2" t="s">
        <v>5519</v>
      </c>
      <c r="B5517" s="3" t="s">
        <v>4</v>
      </c>
      <c r="C5517" s="2" t="str">
        <f ca="1">IFERROR(__xludf.DUMMYFUNCTION("GOOGLETRANSLATE(A5517,""bn"",""en"")"),"Honey is healthy and delicious")</f>
        <v>Honey is healthy and delicious</v>
      </c>
    </row>
    <row r="5518" spans="1:3" ht="15.75" customHeight="1" x14ac:dyDescent="0.25">
      <c r="A5518" s="2" t="s">
        <v>5520</v>
      </c>
      <c r="B5518" s="3" t="s">
        <v>4</v>
      </c>
      <c r="C5518" s="2" t="str">
        <f ca="1">IFERROR(__xludf.DUMMYFUNCTION("GOOGLETRANSLATE(A5518,""bn"",""en"")"),"Using shampoo removes roughness of hair")</f>
        <v>Using shampoo removes roughness of hair</v>
      </c>
    </row>
    <row r="5519" spans="1:3" ht="15.75" customHeight="1" x14ac:dyDescent="0.25">
      <c r="A5519" s="2" t="s">
        <v>5521</v>
      </c>
      <c r="B5519" s="3" t="s">
        <v>6</v>
      </c>
      <c r="C5519" s="2" t="str">
        <f ca="1">IFERROR(__xludf.DUMMYFUNCTION("GOOGLETRANSLATE(A5519,""bn"",""en"")"),"Facial cleansers strip the skin of its natural oils, leaving it feeling tight and dry")</f>
        <v>Facial cleansers strip the skin of its natural oils, leaving it feeling tight and dry</v>
      </c>
    </row>
    <row r="5520" spans="1:3" ht="15.75" customHeight="1" x14ac:dyDescent="0.25">
      <c r="A5520" s="2" t="s">
        <v>5522</v>
      </c>
      <c r="B5520" s="3" t="s">
        <v>2</v>
      </c>
      <c r="C5520" s="2" t="str">
        <f ca="1">IFERROR(__xludf.DUMMYFUNCTION("GOOGLETRANSLATE(A5520,""bn"",""en"")"),"Mop cloth can absorb water well")</f>
        <v>Mop cloth can absorb water well</v>
      </c>
    </row>
    <row r="5521" spans="1:3" ht="15.75" customHeight="1" x14ac:dyDescent="0.25">
      <c r="A5521" s="2" t="s">
        <v>5523</v>
      </c>
      <c r="B5521" s="3" t="s">
        <v>2</v>
      </c>
      <c r="C5521" s="2" t="str">
        <f ca="1">IFERROR(__xludf.DUMMYFUNCTION("GOOGLETRANSLATE(A5521,""bn"",""en"")"),"The item may be stiff and slightly uncomfortable")</f>
        <v>The item may be stiff and slightly uncomfortable</v>
      </c>
    </row>
    <row r="5522" spans="1:3" ht="15.75" customHeight="1" x14ac:dyDescent="0.25">
      <c r="A5522" s="2" t="s">
        <v>5524</v>
      </c>
      <c r="B5522" s="3" t="s">
        <v>2</v>
      </c>
      <c r="C5522" s="2" t="str">
        <f ca="1">IFERROR(__xludf.DUMMYFUNCTION("GOOGLETRANSLATE(A5522,""bn"",""en"")"),"Overheating can soften plastic")</f>
        <v>Overheating can soften plastic</v>
      </c>
    </row>
    <row r="5523" spans="1:3" ht="15.75" customHeight="1" x14ac:dyDescent="0.25">
      <c r="A5523" s="2" t="s">
        <v>5525</v>
      </c>
      <c r="B5523" s="3" t="s">
        <v>6</v>
      </c>
      <c r="C5523" s="2" t="str">
        <f ca="1">IFERROR(__xludf.DUMMYFUNCTION("GOOGLETRANSLATE(A5523,""bn"",""en"")"),"Eyelash curlers pull out the lashes causing them to become sparser over time")</f>
        <v>Eyelash curlers pull out the lashes causing them to become sparser over time</v>
      </c>
    </row>
    <row r="5524" spans="1:3" ht="15.75" customHeight="1" x14ac:dyDescent="0.25">
      <c r="A5524" s="2" t="s">
        <v>5526</v>
      </c>
      <c r="B5524" s="3" t="s">
        <v>6</v>
      </c>
      <c r="C5524" s="2" t="str">
        <f ca="1">IFERROR(__xludf.DUMMYFUNCTION("GOOGLETRANSLATE(A5524,""bn"",""en"")"),"Despite being advertised as high quality, fabric pills wear out quickly and reduce its appearance and lifespan")</f>
        <v>Despite being advertised as high quality, fabric pills wear out quickly and reduce its appearance and lifespan</v>
      </c>
    </row>
    <row r="5525" spans="1:3" ht="15.75" customHeight="1" x14ac:dyDescent="0.25">
      <c r="A5525" s="2" t="s">
        <v>5527</v>
      </c>
      <c r="B5525" s="3" t="s">
        <v>6</v>
      </c>
      <c r="C5525" s="2" t="str">
        <f ca="1">IFERROR(__xludf.DUMMYFUNCTION("GOOGLETRANSLATE(A5525,""bn"",""en"")"),"Overall disappointment in scent performance and packaging integrity suggest others to avoid the product")</f>
        <v>Overall disappointment in scent performance and packaging integrity suggest others to avoid the product</v>
      </c>
    </row>
    <row r="5526" spans="1:3" ht="15.75" customHeight="1" x14ac:dyDescent="0.25">
      <c r="A5526" s="2" t="s">
        <v>5528</v>
      </c>
      <c r="B5526" s="3" t="s">
        <v>4</v>
      </c>
      <c r="C5526" s="2" t="str">
        <f ca="1">IFERROR(__xludf.DUMMYFUNCTION("GOOGLETRANSLATE(A5526,""bn"",""en"")"),"The stuff is good it works very well over makeup ")</f>
        <v xml:space="preserve">The stuff is good it works very well over makeup </v>
      </c>
    </row>
    <row r="5527" spans="1:3" ht="15.75" customHeight="1" x14ac:dyDescent="0.25">
      <c r="A5527" s="2" t="s">
        <v>5529</v>
      </c>
      <c r="B5527" s="3" t="s">
        <v>2</v>
      </c>
      <c r="C5527" s="2" t="str">
        <f ca="1">IFERROR(__xludf.DUMMYFUNCTION("GOOGLETRANSLATE(A5527,""bn"",""en"")"),"Great performance for girls and women may be limited")</f>
        <v>Great performance for girls and women may be limited</v>
      </c>
    </row>
    <row r="5528" spans="1:3" ht="15.75" customHeight="1" x14ac:dyDescent="0.25">
      <c r="A5528" s="2" t="s">
        <v>5530</v>
      </c>
      <c r="B5528" s="3" t="s">
        <v>6</v>
      </c>
      <c r="C5528" s="2" t="str">
        <f ca="1">IFERROR(__xludf.DUMMYFUNCTION("GOOGLETRANSLATE(A5528,""bn"",""en"")"),"  The exfoliant was too harsh and left my skin raw")</f>
        <v xml:space="preserve">  The exfoliant was too harsh and left my skin raw</v>
      </c>
    </row>
    <row r="5529" spans="1:3" ht="15.75" customHeight="1" x14ac:dyDescent="0.25">
      <c r="A5529" s="2" t="s">
        <v>5531</v>
      </c>
      <c r="B5529" s="3" t="s">
        <v>4</v>
      </c>
      <c r="C5529" s="2" t="str">
        <f ca="1">IFERROR(__xludf.DUMMYFUNCTION("GOOGLETRANSLATE(A5529,""bn"",""en"")"),"I was surprised by the quality of the tea which is much better than the price")</f>
        <v>I was surprised by the quality of the tea which is much better than the price</v>
      </c>
    </row>
    <row r="5530" spans="1:3" ht="15.75" customHeight="1" x14ac:dyDescent="0.25">
      <c r="A5530" s="2" t="s">
        <v>5532</v>
      </c>
      <c r="B5530" s="3" t="s">
        <v>6</v>
      </c>
      <c r="C5530" s="2" t="str">
        <f ca="1">IFERROR(__xludf.DUMMYFUNCTION("GOOGLETRANSLATE(A5530,""bn"",""en"")")," Cooking power is not consistent resulting in hot spots and cold spots in food")</f>
        <v xml:space="preserve"> Cooking power is not consistent resulting in hot spots and cold spots in food</v>
      </c>
    </row>
    <row r="5531" spans="1:3" ht="15.75" customHeight="1" x14ac:dyDescent="0.25">
      <c r="A5531" s="2" t="s">
        <v>5533</v>
      </c>
      <c r="B5531" s="3" t="s">
        <v>2</v>
      </c>
      <c r="C5531" s="2" t="str">
        <f ca="1">IFERROR(__xludf.DUMMYFUNCTION("GOOGLETRANSLATE(A5531,""bn"",""en"")"),"Satisfied as a new user but needs improvement")</f>
        <v>Satisfied as a new user but needs improvement</v>
      </c>
    </row>
    <row r="5532" spans="1:3" ht="15.75" customHeight="1" x14ac:dyDescent="0.25">
      <c r="A5532" s="2" t="s">
        <v>5534</v>
      </c>
      <c r="B5532" s="3" t="s">
        <v>2</v>
      </c>
      <c r="C5532" s="2" t="str">
        <f ca="1">IFERROR(__xludf.DUMMYFUNCTION("GOOGLETRANSLATE(A5532,""bn"",""en"")"),"The beans are slightly shiny and not overly oily")</f>
        <v>The beans are slightly shiny and not overly oily</v>
      </c>
    </row>
    <row r="5533" spans="1:3" ht="15.75" customHeight="1" x14ac:dyDescent="0.25">
      <c r="A5533" s="2" t="s">
        <v>5535</v>
      </c>
      <c r="B5533" s="3" t="s">
        <v>2</v>
      </c>
      <c r="C5533" s="2" t="str">
        <f ca="1">IFERROR(__xludf.DUMMYFUNCTION("GOOGLETRANSLATE(A5533,""bn"",""en"")"),"The frame is durable but nothing special")</f>
        <v>The frame is durable but nothing special</v>
      </c>
    </row>
    <row r="5534" spans="1:3" ht="15.75" customHeight="1" x14ac:dyDescent="0.25">
      <c r="A5534" s="2" t="s">
        <v>5536</v>
      </c>
      <c r="B5534" s="3" t="s">
        <v>4</v>
      </c>
      <c r="C5534" s="2" t="str">
        <f ca="1">IFERROR(__xludf.DUMMYFUNCTION("GOOGLETRANSLATE(A5534,""bn"",""en"")"),"The shampoo keeps the hair moisturized")</f>
        <v>The shampoo keeps the hair moisturized</v>
      </c>
    </row>
    <row r="5535" spans="1:3" ht="15.75" customHeight="1" x14ac:dyDescent="0.25">
      <c r="A5535" s="2" t="s">
        <v>5537</v>
      </c>
      <c r="B5535" s="3" t="s">
        <v>2</v>
      </c>
      <c r="C5535" s="2" t="str">
        <f ca="1">IFERROR(__xludf.DUMMYFUNCTION("GOOGLETRANSLATE(A5535,""bn"",""en"")"),"I went online to buy a brush")</f>
        <v>I went online to buy a brush</v>
      </c>
    </row>
    <row r="5536" spans="1:3" ht="15.75" customHeight="1" x14ac:dyDescent="0.25">
      <c r="A5536" s="2" t="s">
        <v>5538</v>
      </c>
      <c r="B5536" s="3" t="s">
        <v>4</v>
      </c>
      <c r="C5536" s="2" t="str">
        <f ca="1">IFERROR(__xludf.DUMMYFUNCTION("GOOGLETRANSLATE(A5536,""bn"",""en"")"),"The design of the coffee table is very contemporary and stylish")</f>
        <v>The design of the coffee table is very contemporary and stylish</v>
      </c>
    </row>
    <row r="5537" spans="1:3" ht="15.75" customHeight="1" x14ac:dyDescent="0.25">
      <c r="A5537" s="2" t="s">
        <v>5539</v>
      </c>
      <c r="B5537" s="3" t="s">
        <v>2</v>
      </c>
      <c r="C5537" s="2" t="str">
        <f ca="1">IFERROR(__xludf.DUMMYFUNCTION("GOOGLETRANSLATE(A5537,""bn"",""en"")"),"Not very applicable for my needs")</f>
        <v>Not very applicable for my needs</v>
      </c>
    </row>
    <row r="5538" spans="1:3" ht="15.75" customHeight="1" x14ac:dyDescent="0.25">
      <c r="A5538" s="2" t="s">
        <v>5540</v>
      </c>
      <c r="B5538" s="3" t="s">
        <v>2</v>
      </c>
      <c r="C5538" s="2" t="str">
        <f ca="1">IFERROR(__xludf.DUMMYFUNCTION("GOOGLETRANSLATE(A5538,""bn"",""en"")"),"The portable charger charges the phone but it gets hot")</f>
        <v>The portable charger charges the phone but it gets hot</v>
      </c>
    </row>
    <row r="5539" spans="1:3" ht="15.75" customHeight="1" x14ac:dyDescent="0.25">
      <c r="A5539" s="2" t="s">
        <v>5541</v>
      </c>
      <c r="B5539" s="3" t="s">
        <v>2</v>
      </c>
      <c r="C5539" s="2" t="str">
        <f ca="1">IFERROR(__xludf.DUMMYFUNCTION("GOOGLETRANSLATE(A5539,""bn"",""en"")"),"Reliability of unsustainable return is still uncertain")</f>
        <v>Reliability of unsustainable return is still uncertain</v>
      </c>
    </row>
    <row r="5540" spans="1:3" ht="15.75" customHeight="1" x14ac:dyDescent="0.25">
      <c r="A5540" s="2" t="s">
        <v>5542</v>
      </c>
      <c r="B5540" s="3" t="s">
        <v>2</v>
      </c>
      <c r="C5540" s="2" t="str">
        <f ca="1">IFERROR(__xludf.DUMMYFUNCTION("GOOGLETRANSLATE(A5540,""bn"",""en"")"),"Can be used on tablets")</f>
        <v>Can be used on tablets</v>
      </c>
    </row>
    <row r="5541" spans="1:3" ht="15.75" customHeight="1" x14ac:dyDescent="0.25">
      <c r="A5541" s="2" t="s">
        <v>5543</v>
      </c>
      <c r="B5541" s="3" t="s">
        <v>4</v>
      </c>
      <c r="C5541" s="2" t="str">
        <f ca="1">IFERROR(__xludf.DUMMYFUNCTION("GOOGLETRANSLATE(A5541,""bn"",""en"")"),"Fan blades are designed in such a way that the air reaches a greater distance")</f>
        <v>Fan blades are designed in such a way that the air reaches a greater distance</v>
      </c>
    </row>
    <row r="5542" spans="1:3" ht="15.75" customHeight="1" x14ac:dyDescent="0.25">
      <c r="A5542" s="2" t="s">
        <v>5544</v>
      </c>
      <c r="B5542" s="3" t="s">
        <v>2</v>
      </c>
      <c r="C5542" s="2" t="str">
        <f ca="1">IFERROR(__xludf.DUMMYFUNCTION("GOOGLETRANSLATE(A5542,""bn"",""en"")"),"Light but some are easily damaged")</f>
        <v>Light but some are easily damaged</v>
      </c>
    </row>
    <row r="5543" spans="1:3" ht="15.75" customHeight="1" x14ac:dyDescent="0.25">
      <c r="A5543" s="2" t="s">
        <v>5545</v>
      </c>
      <c r="B5543" s="3" t="s">
        <v>2</v>
      </c>
      <c r="C5543" s="2" t="str">
        <f ca="1">IFERROR(__xludf.DUMMYFUNCTION("GOOGLETRANSLATE(A5543,""bn"",""en"")"),"The price of the book seems a bit high but the content is fine")</f>
        <v>The price of the book seems a bit high but the content is fine</v>
      </c>
    </row>
    <row r="5544" spans="1:3" ht="15.75" customHeight="1" x14ac:dyDescent="0.25">
      <c r="A5544" s="2" t="s">
        <v>5546</v>
      </c>
      <c r="B5544" s="3" t="s">
        <v>4</v>
      </c>
      <c r="C5544" s="2" t="str">
        <f ca="1">IFERROR(__xludf.DUMMYFUNCTION("GOOGLETRANSLATE(A5544,""bn"",""en"")"),"It rejuvenates my hands after hard work")</f>
        <v>It rejuvenates my hands after hard work</v>
      </c>
    </row>
    <row r="5545" spans="1:3" ht="15.75" customHeight="1" x14ac:dyDescent="0.25">
      <c r="A5545" s="2" t="s">
        <v>5547</v>
      </c>
      <c r="B5545" s="3" t="s">
        <v>6</v>
      </c>
      <c r="C5545" s="2" t="str">
        <f ca="1">IFERROR(__xludf.DUMMYFUNCTION("GOOGLETRANSLATE(A5545,""bn"",""en"")"),"The narrow base makes it prone to tipping")</f>
        <v>The narrow base makes it prone to tipping</v>
      </c>
    </row>
    <row r="5546" spans="1:3" ht="15.75" customHeight="1" x14ac:dyDescent="0.25">
      <c r="A5546" s="2" t="s">
        <v>5548</v>
      </c>
      <c r="B5546" s="3" t="s">
        <v>4</v>
      </c>
      <c r="C5546" s="2" t="str">
        <f ca="1">IFERROR(__xludf.DUMMYFUNCTION("GOOGLETRANSLATE(A5546,""bn"",""en"")"),"Using a makeup brush is an art")</f>
        <v>Using a makeup brush is an art</v>
      </c>
    </row>
    <row r="5547" spans="1:3" ht="15.75" customHeight="1" x14ac:dyDescent="0.25">
      <c r="A5547" s="2" t="s">
        <v>5549</v>
      </c>
      <c r="B5547" s="3" t="s">
        <v>6</v>
      </c>
      <c r="C5547" s="2" t="str">
        <f ca="1">IFERROR(__xludf.DUMMYFUNCTION("GOOGLETRANSLATE(A5547,""bn"",""en"")"),"The garment comes with loose threads and uneven stitching indicating poor craftsmanship")</f>
        <v>The garment comes with loose threads and uneven stitching indicating poor craftsmanship</v>
      </c>
    </row>
    <row r="5548" spans="1:3" ht="15.75" customHeight="1" x14ac:dyDescent="0.25">
      <c r="A5548" s="2" t="s">
        <v>5550</v>
      </c>
      <c r="B5548" s="3" t="s">
        <v>2</v>
      </c>
      <c r="C5548" s="2" t="str">
        <f ca="1">IFERROR(__xludf.DUMMYFUNCTION("GOOGLETRANSLATE(A5548,""bn"",""en"")"),"The lid is a bit difficult to open")</f>
        <v>The lid is a bit difficult to open</v>
      </c>
    </row>
    <row r="5549" spans="1:3" ht="15.75" customHeight="1" x14ac:dyDescent="0.25">
      <c r="A5549" s="2" t="s">
        <v>5551</v>
      </c>
      <c r="B5549" s="3" t="s">
        <v>4</v>
      </c>
      <c r="C5549" s="2" t="str">
        <f ca="1">IFERROR(__xludf.DUMMYFUNCTION("GOOGLETRANSLATE(A5549,""bn"",""en"")"),"The pencil writes very smoothly and clearly")</f>
        <v>The pencil writes very smoothly and clearly</v>
      </c>
    </row>
    <row r="5550" spans="1:3" ht="15.75" customHeight="1" x14ac:dyDescent="0.25">
      <c r="A5550" s="2" t="s">
        <v>5552</v>
      </c>
      <c r="B5550" s="3" t="s">
        <v>6</v>
      </c>
      <c r="C5550" s="2" t="str">
        <f ca="1">IFERROR(__xludf.DUMMYFUNCTION("GOOGLETRANSLATE(A5550,""bn"",""en"")"),"Poorly executed design leads to awkward handling")</f>
        <v>Poorly executed design leads to awkward handling</v>
      </c>
    </row>
    <row r="5551" spans="1:3" ht="15.75" customHeight="1" x14ac:dyDescent="0.25">
      <c r="A5551" s="2" t="s">
        <v>5553</v>
      </c>
      <c r="B5551" s="3" t="s">
        <v>6</v>
      </c>
      <c r="C5551" s="2" t="str">
        <f ca="1">IFERROR(__xludf.DUMMYFUNCTION("GOOGLETRANSLATE(A5551,""bn"",""en"")"),"Blush fades quickly throughout the day requiring frequent touchups")</f>
        <v>Blush fades quickly throughout the day requiring frequent touchups</v>
      </c>
    </row>
    <row r="5552" spans="1:3" ht="15.75" customHeight="1" x14ac:dyDescent="0.25">
      <c r="A5552" s="2" t="s">
        <v>5554</v>
      </c>
      <c r="B5552" s="3" t="s">
        <v>4</v>
      </c>
      <c r="C5552" s="2" t="str">
        <f ca="1">IFERROR(__xludf.DUMMYFUNCTION("GOOGLETRANSLATE(A5552,""bn"",""en"")"),"Perfect for our Nintendo Switch")</f>
        <v>Perfect for our Nintendo Switch</v>
      </c>
    </row>
    <row r="5553" spans="1:3" ht="15.75" customHeight="1" x14ac:dyDescent="0.25">
      <c r="A5553" s="2" t="s">
        <v>5555</v>
      </c>
      <c r="B5553" s="3" t="s">
        <v>6</v>
      </c>
      <c r="C5553" s="2" t="str">
        <f ca="1">IFERROR(__xludf.DUMMYFUNCTION("GOOGLETRANSLATE(A5553,""bn"",""en"")"),"Refrigerator ice maker jams and does not dispense ice properly")</f>
        <v>Refrigerator ice maker jams and does not dispense ice properly</v>
      </c>
    </row>
    <row r="5554" spans="1:3" ht="15.75" customHeight="1" x14ac:dyDescent="0.25">
      <c r="A5554" s="2" t="s">
        <v>5556</v>
      </c>
      <c r="B5554" s="3" t="s">
        <v>6</v>
      </c>
      <c r="C5554" s="2" t="str">
        <f ca="1">IFERROR(__xludf.DUMMYFUNCTION("GOOGLETRANSLATE(A5554,""bn"",""en"")"),"Screen brightness was uneven with noticeable dark spots and backlight bleed")</f>
        <v>Screen brightness was uneven with noticeable dark spots and backlight bleed</v>
      </c>
    </row>
    <row r="5555" spans="1:3" ht="15.75" customHeight="1" x14ac:dyDescent="0.25">
      <c r="A5555" s="2" t="s">
        <v>5557</v>
      </c>
      <c r="B5555" s="3" t="s">
        <v>2</v>
      </c>
      <c r="C5555" s="2" t="str">
        <f ca="1">IFERROR(__xludf.DUMMYFUNCTION("GOOGLETRANSLATE(A5555,""bn"",""en"")"),"The fire extinguisher extinguishes the fire but the instructions are not clear")</f>
        <v>The fire extinguisher extinguishes the fire but the instructions are not clear</v>
      </c>
    </row>
    <row r="5556" spans="1:3" ht="15.75" customHeight="1" x14ac:dyDescent="0.25">
      <c r="A5556" s="2" t="s">
        <v>5558</v>
      </c>
      <c r="B5556" s="3" t="s">
        <v>6</v>
      </c>
      <c r="C5556" s="2" t="str">
        <f ca="1">IFERROR(__xludf.DUMMYFUNCTION("GOOGLETRANSLATE(A5556,""bn"",""en"")"),"The fit is awkward and uncomfortable")</f>
        <v>The fit is awkward and uncomfortable</v>
      </c>
    </row>
    <row r="5557" spans="1:3" ht="15.75" customHeight="1" x14ac:dyDescent="0.25">
      <c r="A5557" s="2" t="s">
        <v>5559</v>
      </c>
      <c r="B5557" s="3" t="s">
        <v>2</v>
      </c>
      <c r="C5557" s="2" t="str">
        <f ca="1">IFERROR(__xludf.DUMMYFUNCTION("GOOGLETRANSLATE(A5557,""bn"",""en"")"),"The dress is ok for casual wear lacks the wow factor")</f>
        <v>The dress is ok for casual wear lacks the wow factor</v>
      </c>
    </row>
    <row r="5558" spans="1:3" ht="15.75" customHeight="1" x14ac:dyDescent="0.25">
      <c r="A5558" s="2" t="s">
        <v>5560</v>
      </c>
      <c r="B5558" s="3" t="s">
        <v>6</v>
      </c>
      <c r="C5558" s="2" t="str">
        <f ca="1">IFERROR(__xludf.DUMMYFUNCTION("GOOGLETRANSLATE(A5558,""bn"",""en"")"),"Responsive controls make it frustrating to use")</f>
        <v>Responsive controls make it frustrating to use</v>
      </c>
    </row>
    <row r="5559" spans="1:3" ht="15.75" customHeight="1" x14ac:dyDescent="0.25">
      <c r="A5559" s="2" t="s">
        <v>5561</v>
      </c>
      <c r="B5559" s="3" t="s">
        <v>6</v>
      </c>
      <c r="C5559" s="2" t="str">
        <f ca="1">IFERROR(__xludf.DUMMYFUNCTION("GOOGLETRANSLATE(A5559,""bn"",""en"")"),"The bath bomb dye stained the tub which required scrubbing to remove")</f>
        <v>The bath bomb dye stained the tub which required scrubbing to remove</v>
      </c>
    </row>
    <row r="5560" spans="1:3" ht="15.75" customHeight="1" x14ac:dyDescent="0.25">
      <c r="A5560" s="2" t="s">
        <v>5562</v>
      </c>
      <c r="B5560" s="3" t="s">
        <v>4</v>
      </c>
      <c r="C5560" s="2" t="str">
        <f ca="1">IFERROR(__xludf.DUMMYFUNCTION("GOOGLETRANSLATE(A5560,""bn"",""en"")"),"These home decor lights emit light beautifully")</f>
        <v>These home decor lights emit light beautifully</v>
      </c>
    </row>
    <row r="5561" spans="1:3" ht="15.75" customHeight="1" x14ac:dyDescent="0.25">
      <c r="A5561" s="2" t="s">
        <v>5563</v>
      </c>
      <c r="B5561" s="3" t="s">
        <v>2</v>
      </c>
      <c r="C5561" s="2" t="str">
        <f ca="1">IFERROR(__xludf.DUMMYFUNCTION("GOOGLETRANSLATE(A5561,""bn"",""en"")"),"After making the coffee drink, golden crema is formed")</f>
        <v>After making the coffee drink, golden crema is formed</v>
      </c>
    </row>
    <row r="5562" spans="1:3" ht="15.75" customHeight="1" x14ac:dyDescent="0.25">
      <c r="A5562" s="2" t="s">
        <v>5564</v>
      </c>
      <c r="B5562" s="3" t="s">
        <v>6</v>
      </c>
      <c r="C5562" s="2" t="str">
        <f ca="1">IFERROR(__xludf.DUMMYFUNCTION("GOOGLETRANSLATE(A5562,""bn"",""en"")"),"Filthy Doll Mars Book Application")</f>
        <v>Filthy Doll Mars Book Application</v>
      </c>
    </row>
    <row r="5563" spans="1:3" ht="15.75" customHeight="1" x14ac:dyDescent="0.25">
      <c r="A5563" s="2" t="s">
        <v>5565</v>
      </c>
      <c r="B5563" s="3" t="s">
        <v>2</v>
      </c>
      <c r="C5563" s="2" t="str">
        <f ca="1">IFERROR(__xludf.DUMMYFUNCTION("GOOGLETRANSLATE(A5563,""bn"",""en"")"),"Corners can be difficult to reach")</f>
        <v>Corners can be difficult to reach</v>
      </c>
    </row>
    <row r="5564" spans="1:3" ht="15.75" customHeight="1" x14ac:dyDescent="0.25">
      <c r="A5564" s="2" t="s">
        <v>5566</v>
      </c>
      <c r="B5564" s="3" t="s">
        <v>2</v>
      </c>
      <c r="C5564" s="2" t="str">
        <f ca="1">IFERROR(__xludf.DUMMYFUNCTION("GOOGLETRANSLATE(A5564,""bn"",""en"")"),"The foldable keyboard is easily portable but typing is uncomfortable")</f>
        <v>The foldable keyboard is easily portable but typing is uncomfortable</v>
      </c>
    </row>
    <row r="5565" spans="1:3" ht="15.75" customHeight="1" x14ac:dyDescent="0.25">
      <c r="A5565" s="2" t="s">
        <v>5567</v>
      </c>
      <c r="B5565" s="3" t="s">
        <v>4</v>
      </c>
      <c r="C5565" s="2" t="str">
        <f ca="1">IFERROR(__xludf.DUMMYFUNCTION("GOOGLETRANSLATE(A5565,""bn"",""en"")"),"The color options that come with the set are great I easily found my favorite color")</f>
        <v>The color options that come with the set are great I easily found my favorite color</v>
      </c>
    </row>
    <row r="5566" spans="1:3" ht="15.75" customHeight="1" x14ac:dyDescent="0.25">
      <c r="A5566" s="2" t="s">
        <v>5568</v>
      </c>
      <c r="B5566" s="3" t="s">
        <v>6</v>
      </c>
      <c r="C5566" s="2" t="str">
        <f ca="1">IFERROR(__xludf.DUMMYFUNCTION("GOOGLETRANSLATE(A5566,""bn"",""en"")"),"Stay away from these pen tips that cause confusion within minutes of use")</f>
        <v>Stay away from these pen tips that cause confusion within minutes of use</v>
      </c>
    </row>
    <row r="5567" spans="1:3" ht="15.75" customHeight="1" x14ac:dyDescent="0.25">
      <c r="A5567" s="2" t="s">
        <v>5569</v>
      </c>
      <c r="B5567" s="3" t="s">
        <v>6</v>
      </c>
      <c r="C5567" s="2" t="str">
        <f ca="1">IFERROR(__xludf.DUMMYFUNCTION("GOOGLETRANSLATE(A5567,""bn"",""en"")"),"Misleading photos and descriptions make the actual product a disaster")</f>
        <v>Misleading photos and descriptions make the actual product a disaster</v>
      </c>
    </row>
    <row r="5568" spans="1:3" ht="15.75" customHeight="1" x14ac:dyDescent="0.25">
      <c r="A5568" s="2" t="s">
        <v>5570</v>
      </c>
      <c r="B5568" s="3" t="s">
        <v>2</v>
      </c>
      <c r="C5568" s="2" t="str">
        <f ca="1">IFERROR(__xludf.DUMMYFUNCTION("GOOGLETRANSLATE(A5568,""bn"",""en"")"),"Can be used for food preservation but stinks")</f>
        <v>Can be used for food preservation but stinks</v>
      </c>
    </row>
    <row r="5569" spans="1:3" ht="15.75" customHeight="1" x14ac:dyDescent="0.25">
      <c r="A5569" s="2" t="s">
        <v>5571</v>
      </c>
      <c r="B5569" s="3" t="s">
        <v>6</v>
      </c>
      <c r="C5569" s="2" t="str">
        <f ca="1">IFERROR(__xludf.DUMMYFUNCTION("GOOGLETRANSLATE(A5569,""bn"",""en"")"),"The product did not match the color or style pictured online")</f>
        <v>The product did not match the color or style pictured online</v>
      </c>
    </row>
    <row r="5570" spans="1:3" ht="15.75" customHeight="1" x14ac:dyDescent="0.25">
      <c r="A5570" s="2" t="s">
        <v>5572</v>
      </c>
      <c r="B5570" s="3" t="s">
        <v>6</v>
      </c>
      <c r="C5570" s="2" t="str">
        <f ca="1">IFERROR(__xludf.DUMMYFUNCTION("GOOGLETRANSLATE(A5570,""bn"",""en"")"),"Boxed brownie mixes produced dry and crumbly brownies that lacked sufficient richness and flavor")</f>
        <v>Boxed brownie mixes produced dry and crumbly brownies that lacked sufficient richness and flavor</v>
      </c>
    </row>
    <row r="5571" spans="1:3" ht="15.75" customHeight="1" x14ac:dyDescent="0.25">
      <c r="A5571" s="2" t="s">
        <v>5573</v>
      </c>
      <c r="B5571" s="3" t="s">
        <v>2</v>
      </c>
      <c r="C5571" s="2" t="str">
        <f ca="1">IFERROR(__xludf.DUMMYFUNCTION("GOOGLETRANSLATE(A5571,""bn"",""en"")"),"There is a lot of value for the price")</f>
        <v>There is a lot of value for the price</v>
      </c>
    </row>
    <row r="5572" spans="1:3" ht="15.75" customHeight="1" x14ac:dyDescent="0.25">
      <c r="A5572" s="2" t="s">
        <v>5574</v>
      </c>
      <c r="B5572" s="3" t="s">
        <v>4</v>
      </c>
      <c r="C5572" s="2" t="str">
        <f ca="1">IFERROR(__xludf.DUMMYFUNCTION("GOOGLETRANSLATE(A5572,""bn"",""en"")"),"very good thank you")</f>
        <v>very good thank you</v>
      </c>
    </row>
    <row r="5573" spans="1:3" ht="15.75" customHeight="1" x14ac:dyDescent="0.25">
      <c r="A5573" s="2" t="s">
        <v>5575</v>
      </c>
      <c r="B5573" s="3" t="s">
        <v>4</v>
      </c>
      <c r="C5573" s="2" t="str">
        <f ca="1">IFERROR(__xludf.DUMMYFUNCTION("GOOGLETRANSLATE(A5573,""bn"",""en"")"),"It is effective in removing dust")</f>
        <v>It is effective in removing dust</v>
      </c>
    </row>
    <row r="5574" spans="1:3" ht="15.75" customHeight="1" x14ac:dyDescent="0.25">
      <c r="A5574" s="2" t="s">
        <v>5576</v>
      </c>
      <c r="B5574" s="3" t="s">
        <v>2</v>
      </c>
      <c r="C5574" s="2" t="str">
        <f ca="1">IFERROR(__xludf.DUMMYFUNCTION("GOOGLETRANSLATE(A5574,""bn"",""en"")"),"The color of the plants improved slightly after application of the fertilizer but the yield was not as expected")</f>
        <v>The color of the plants improved slightly after application of the fertilizer but the yield was not as expected</v>
      </c>
    </row>
    <row r="5575" spans="1:3" ht="15.75" customHeight="1" x14ac:dyDescent="0.25">
      <c r="A5575" s="2" t="s">
        <v>5577</v>
      </c>
      <c r="B5575" s="3" t="s">
        <v>2</v>
      </c>
      <c r="C5575" s="2" t="str">
        <f ca="1">IFERROR(__xludf.DUMMYFUNCTION("GOOGLETRANSLATE(A5575,""bn"",""en"")"),"Fruity notes are mild not too pronounced")</f>
        <v>Fruity notes are mild not too pronounced</v>
      </c>
    </row>
    <row r="5576" spans="1:3" ht="15.75" customHeight="1" x14ac:dyDescent="0.25">
      <c r="A5576" s="2" t="s">
        <v>5578</v>
      </c>
      <c r="B5576" s="3" t="s">
        <v>2</v>
      </c>
      <c r="C5576" s="2" t="str">
        <f ca="1">IFERROR(__xludf.DUMMYFUNCTION("GOOGLETRANSLATE(A5576,""bn"",""en"")"),"T may have some challenges compared to my AirPods")</f>
        <v>T may have some challenges compared to my AirPods</v>
      </c>
    </row>
    <row r="5577" spans="1:3" ht="15.75" customHeight="1" x14ac:dyDescent="0.25">
      <c r="A5577" s="2" t="s">
        <v>5579</v>
      </c>
      <c r="B5577" s="3" t="s">
        <v>2</v>
      </c>
      <c r="C5577" s="2" t="str">
        <f ca="1">IFERROR(__xludf.DUMMYFUNCTION("GOOGLETRANSLATE(A5577,""bn"",""en"")"),"There is no particular flavor known to the taste")</f>
        <v>There is no particular flavor known to the taste</v>
      </c>
    </row>
    <row r="5578" spans="1:3" ht="15.75" customHeight="1" x14ac:dyDescent="0.25">
      <c r="A5578" s="2" t="s">
        <v>5580</v>
      </c>
      <c r="B5578" s="3" t="s">
        <v>2</v>
      </c>
      <c r="C5578" s="2" t="str">
        <f ca="1">IFERROR(__xludf.DUMMYFUNCTION("GOOGLETRANSLATE(A5578,""bn"",""en"")"),"The razor is quite sharp but can irritate the skin at times")</f>
        <v>The razor is quite sharp but can irritate the skin at times</v>
      </c>
    </row>
    <row r="5579" spans="1:3" ht="15.75" customHeight="1" x14ac:dyDescent="0.25">
      <c r="A5579" s="2" t="s">
        <v>5581</v>
      </c>
      <c r="B5579" s="3" t="s">
        <v>4</v>
      </c>
      <c r="C5579" s="2" t="str">
        <f ca="1">IFERROR(__xludf.DUMMYFUNCTION("GOOGLETRANSLATE(A5579,""bn"",""en"")"),"The color rendering of the device's camera is excellent")</f>
        <v>The color rendering of the device's camera is excellent</v>
      </c>
    </row>
    <row r="5580" spans="1:3" ht="15.75" customHeight="1" x14ac:dyDescent="0.25">
      <c r="A5580" s="2" t="s">
        <v>5582</v>
      </c>
      <c r="B5580" s="3" t="s">
        <v>4</v>
      </c>
      <c r="C5580" s="2" t="str">
        <f ca="1">IFERROR(__xludf.DUMMYFUNCTION("GOOGLETRANSLATE(A5580,""bn"",""en"")"),"With this body wash you will feel reborn")</f>
        <v>With this body wash you will feel reborn</v>
      </c>
    </row>
    <row r="5581" spans="1:3" ht="15.75" customHeight="1" x14ac:dyDescent="0.25">
      <c r="A5581" s="2" t="s">
        <v>5583</v>
      </c>
      <c r="B5581" s="3" t="s">
        <v>4</v>
      </c>
      <c r="C5581" s="2" t="str">
        <f ca="1">IFERROR(__xludf.DUMMYFUNCTION("GOOGLETRANSLATE(A5581,""bn"",""en"")"),"Cost effective")</f>
        <v>Cost effective</v>
      </c>
    </row>
    <row r="5582" spans="1:3" ht="15.75" customHeight="1" x14ac:dyDescent="0.25">
      <c r="A5582" s="2" t="s">
        <v>5584</v>
      </c>
      <c r="B5582" s="3" t="s">
        <v>6</v>
      </c>
      <c r="C5582" s="2" t="str">
        <f ca="1">IFERROR(__xludf.DUMMYFUNCTION("GOOGLETRANSLATE(A5582,""bn"",""en"")"),"The hair wax was difficult to wash off and left my hair looking greasy")</f>
        <v>The hair wax was difficult to wash off and left my hair looking greasy</v>
      </c>
    </row>
    <row r="5583" spans="1:3" ht="15.75" customHeight="1" x14ac:dyDescent="0.25">
      <c r="A5583" s="2" t="s">
        <v>5585</v>
      </c>
      <c r="B5583" s="3" t="s">
        <v>2</v>
      </c>
      <c r="C5583" s="2" t="str">
        <f ca="1">IFERROR(__xludf.DUMMYFUNCTION("GOOGLETRANSLATE(A5583,""bn"",""en"")"),"Two pieces with some flaws")</f>
        <v>Two pieces with some flaws</v>
      </c>
    </row>
    <row r="5584" spans="1:3" ht="15.75" customHeight="1" x14ac:dyDescent="0.25">
      <c r="A5584" s="2" t="s">
        <v>5586</v>
      </c>
      <c r="B5584" s="3" t="s">
        <v>4</v>
      </c>
      <c r="C5584" s="2" t="str">
        <f ca="1">IFERROR(__xludf.DUMMYFUNCTION("GOOGLETRANSLATE(A5584,""bn"",""en"")"),"This body wash removes skin fatigue")</f>
        <v>This body wash removes skin fatigue</v>
      </c>
    </row>
    <row r="5585" spans="1:3" ht="15.75" customHeight="1" x14ac:dyDescent="0.25">
      <c r="A5585" s="2" t="s">
        <v>5587</v>
      </c>
      <c r="B5585" s="3" t="s">
        <v>2</v>
      </c>
      <c r="C5585" s="2" t="str">
        <f ca="1">IFERROR(__xludf.DUMMYFUNCTION("GOOGLETRANSLATE(A5585,""bn"",""en"")"),"The weight is light, not what I expected")</f>
        <v>The weight is light, not what I expected</v>
      </c>
    </row>
    <row r="5586" spans="1:3" ht="15.75" customHeight="1" x14ac:dyDescent="0.25">
      <c r="A5586" s="2" t="s">
        <v>5588</v>
      </c>
      <c r="B5586" s="3" t="s">
        <v>6</v>
      </c>
      <c r="C5586" s="2" t="str">
        <f ca="1">IFERROR(__xludf.DUMMYFUNCTION("GOOGLETRANSLATE(A5586,""bn"",""en"")"),"Can be stacked but can be dangerous at height")</f>
        <v>Can be stacked but can be dangerous at height</v>
      </c>
    </row>
    <row r="5587" spans="1:3" ht="15.75" customHeight="1" x14ac:dyDescent="0.25">
      <c r="A5587" s="2" t="s">
        <v>5589</v>
      </c>
      <c r="B5587" s="3" t="s">
        <v>2</v>
      </c>
      <c r="C5587" s="2" t="str">
        <f ca="1">IFERROR(__xludf.DUMMYFUNCTION("GOOGLETRANSLATE(A5587,""bn"",""en"")"),"The luxury item came with a hefty price tag")</f>
        <v>The luxury item came with a hefty price tag</v>
      </c>
    </row>
    <row r="5588" spans="1:3" ht="15.75" customHeight="1" x14ac:dyDescent="0.25">
      <c r="A5588" s="2" t="s">
        <v>5590</v>
      </c>
      <c r="B5588" s="3" t="s">
        <v>6</v>
      </c>
      <c r="C5588" s="2" t="str">
        <f ca="1">IFERROR(__xludf.DUMMYFUNCTION("GOOGLETRANSLATE(A5588,""bn"",""en"")"),"The nail polish chips and peels within a day of application, despite claims of long-lasting wear")</f>
        <v>The nail polish chips and peels within a day of application, despite claims of long-lasting wear</v>
      </c>
    </row>
    <row r="5589" spans="1:3" ht="15.75" customHeight="1" x14ac:dyDescent="0.25">
      <c r="A5589" s="2" t="s">
        <v>5591</v>
      </c>
      <c r="B5589" s="3" t="s">
        <v>4</v>
      </c>
      <c r="C5589" s="2" t="str">
        <f ca="1">IFERROR(__xludf.DUMMYFUNCTION("GOOGLETRANSLATE(A5589,""bn"",""en"")"),"The packaging of the soap is very attractive")</f>
        <v>The packaging of the soap is very attractive</v>
      </c>
    </row>
    <row r="5590" spans="1:3" ht="15.75" customHeight="1" x14ac:dyDescent="0.25">
      <c r="A5590" s="2" t="s">
        <v>5592</v>
      </c>
      <c r="B5590" s="3" t="s">
        <v>2</v>
      </c>
      <c r="C5590" s="2" t="str">
        <f ca="1">IFERROR(__xludf.DUMMYFUNCTION("GOOGLETRANSLATE(A5590,""bn"",""en"")"),"The pizza cutter works but the edge is a little short")</f>
        <v>The pizza cutter works but the edge is a little short</v>
      </c>
    </row>
    <row r="5591" spans="1:3" ht="15.75" customHeight="1" x14ac:dyDescent="0.25">
      <c r="A5591" s="2" t="s">
        <v>5593</v>
      </c>
      <c r="B5591" s="3" t="s">
        <v>2</v>
      </c>
      <c r="C5591" s="2" t="str">
        <f ca="1">IFERROR(__xludf.DUMMYFUNCTION("GOOGLETRANSLATE(A5591,""bn"",""en"")"),"The packaging is fine")</f>
        <v>The packaging is fine</v>
      </c>
    </row>
    <row r="5592" spans="1:3" ht="15.75" customHeight="1" x14ac:dyDescent="0.25">
      <c r="A5592" s="2" t="s">
        <v>5594</v>
      </c>
      <c r="B5592" s="3" t="s">
        <v>2</v>
      </c>
      <c r="C5592" s="2" t="str">
        <f ca="1">IFERROR(__xludf.DUMMYFUNCTION("GOOGLETRANSLATE(A5592,""bn"",""en"")"),"The laptop is clean but not great")</f>
        <v>The laptop is clean but not great</v>
      </c>
    </row>
    <row r="5593" spans="1:3" ht="15.75" customHeight="1" x14ac:dyDescent="0.25">
      <c r="A5593" s="2" t="s">
        <v>5595</v>
      </c>
      <c r="B5593" s="3" t="s">
        <v>6</v>
      </c>
      <c r="C5593" s="2" t="str">
        <f ca="1">IFERROR(__xludf.DUMMYFUNCTION("GOOGLETRANSLATE(A5593,""bn"",""en"")"),"Fits but bare hands")</f>
        <v>Fits but bare hands</v>
      </c>
    </row>
    <row r="5594" spans="1:3" ht="15.75" customHeight="1" x14ac:dyDescent="0.25">
      <c r="A5594" s="2" t="s">
        <v>5596</v>
      </c>
      <c r="B5594" s="3" t="s">
        <v>2</v>
      </c>
      <c r="C5594" s="2" t="str">
        <f ca="1">IFERROR(__xludf.DUMMYFUNCTION("GOOGLETRANSLATE(A5594,""bn"",""en"")"),"The best headphones I've ever owned had some user issues")</f>
        <v>The best headphones I've ever owned had some user issues</v>
      </c>
    </row>
    <row r="5595" spans="1:3" ht="15.75" customHeight="1" x14ac:dyDescent="0.25">
      <c r="A5595" s="2" t="s">
        <v>5597</v>
      </c>
      <c r="B5595" s="3" t="s">
        <v>6</v>
      </c>
      <c r="C5595" s="2" t="str">
        <f ca="1">IFERROR(__xludf.DUMMYFUNCTION("GOOGLETRANSLATE(A5595,""bn"",""en"")"),"The cups were too shallow and the tea spilled when filled")</f>
        <v>The cups were too shallow and the tea spilled when filled</v>
      </c>
    </row>
    <row r="5596" spans="1:3" ht="15.75" customHeight="1" x14ac:dyDescent="0.25">
      <c r="A5596" s="2" t="s">
        <v>5598</v>
      </c>
      <c r="B5596" s="3" t="s">
        <v>6</v>
      </c>
      <c r="C5596" s="2" t="str">
        <f ca="1">IFERROR(__xludf.DUMMYFUNCTION("GOOGLETRANSLATE(A5596,""bn"",""en"")"),"Worst color pen I've ever used ink smudges and bleeds everywhere")</f>
        <v>Worst color pen I've ever used ink smudges and bleeds everywhere</v>
      </c>
    </row>
    <row r="5597" spans="1:3" ht="15.75" customHeight="1" x14ac:dyDescent="0.25">
      <c r="A5597" s="2" t="s">
        <v>5599</v>
      </c>
      <c r="B5597" s="3" t="s">
        <v>6</v>
      </c>
      <c r="C5597" s="2" t="str">
        <f ca="1">IFERROR(__xludf.DUMMYFUNCTION("GOOGLETRANSLATE(A5597,""bn"",""en"")"),"The tea bag was too narrow causing the tea to spill over the sides")</f>
        <v>The tea bag was too narrow causing the tea to spill over the sides</v>
      </c>
    </row>
    <row r="5598" spans="1:3" ht="15.75" customHeight="1" x14ac:dyDescent="0.25">
      <c r="A5598" s="2" t="s">
        <v>5600</v>
      </c>
      <c r="B5598" s="3" t="s">
        <v>4</v>
      </c>
      <c r="C5598" s="2" t="str">
        <f ca="1">IFERROR(__xludf.DUMMYFUNCTION("GOOGLETRANSLATE(A5598,""bn"",""en"")"),"The shampoo smells really good")</f>
        <v>The shampoo smells really good</v>
      </c>
    </row>
    <row r="5599" spans="1:3" ht="15.75" customHeight="1" x14ac:dyDescent="0.25">
      <c r="A5599" s="2" t="s">
        <v>5601</v>
      </c>
      <c r="B5599" s="3" t="s">
        <v>4</v>
      </c>
      <c r="C5599" s="2" t="str">
        <f ca="1">IFERROR(__xludf.DUMMYFUNCTION("GOOGLETRANSLATE(A5599,""bn"",""en"")"),"The features of this new mobile are very useful")</f>
        <v>The features of this new mobile are very useful</v>
      </c>
    </row>
    <row r="5600" spans="1:3" ht="15.75" customHeight="1" x14ac:dyDescent="0.25">
      <c r="A5600" s="2" t="s">
        <v>5602</v>
      </c>
      <c r="B5600" s="3" t="s">
        <v>6</v>
      </c>
      <c r="C5600" s="2" t="str">
        <f ca="1">IFERROR(__xludf.DUMMYFUNCTION("GOOGLETRANSLATE(A5600,""bn"",""en"")"),"The pickle was crunchy but had a sticky artificial vinegar taste and no crunch.")</f>
        <v>The pickle was crunchy but had a sticky artificial vinegar taste and no crunch.</v>
      </c>
    </row>
    <row r="5601" spans="1:3" ht="15.75" customHeight="1" x14ac:dyDescent="0.25">
      <c r="A5601" s="2" t="s">
        <v>5603</v>
      </c>
      <c r="B5601" s="3" t="s">
        <v>4</v>
      </c>
      <c r="C5601" s="2" t="str">
        <f ca="1">IFERROR(__xludf.DUMMYFUNCTION("GOOGLETRANSLATE(A5601,""bn"",""en"")"),"Perfect for the modern man")</f>
        <v>Perfect for the modern man</v>
      </c>
    </row>
    <row r="5602" spans="1:3" ht="15.75" customHeight="1" x14ac:dyDescent="0.25">
      <c r="A5602" s="2" t="s">
        <v>5604</v>
      </c>
      <c r="B5602" s="3" t="s">
        <v>2</v>
      </c>
      <c r="C5602" s="2" t="str">
        <f ca="1">IFERROR(__xludf.DUMMYFUNCTION("GOOGLETRANSLATE(A5602,""bn"",""en"")"),"Today we are too busy chatting")</f>
        <v>Today we are too busy chatting</v>
      </c>
    </row>
    <row r="5603" spans="1:3" ht="15.75" customHeight="1" x14ac:dyDescent="0.25">
      <c r="A5603" s="2" t="s">
        <v>5605</v>
      </c>
      <c r="B5603" s="3" t="s">
        <v>6</v>
      </c>
      <c r="C5603" s="2" t="str">
        <f ca="1">IFERROR(__xludf.DUMMYFUNCTION("GOOGLETRANSLATE(A5603,""bn"",""en"")"),"Plastic odors transfer to stored food affecting taste")</f>
        <v>Plastic odors transfer to stored food affecting taste</v>
      </c>
    </row>
    <row r="5604" spans="1:3" ht="15.75" customHeight="1" x14ac:dyDescent="0.25">
      <c r="A5604" s="2" t="s">
        <v>5606</v>
      </c>
      <c r="B5604" s="3" t="s">
        <v>2</v>
      </c>
      <c r="C5604" s="2" t="str">
        <f ca="1">IFERROR(__xludf.DUMMYFUNCTION("GOOGLETRANSLATE(A5604,""bn"",""en"")"),"Not easy to use but works")</f>
        <v>Not easy to use but works</v>
      </c>
    </row>
    <row r="5605" spans="1:3" ht="15.75" customHeight="1" x14ac:dyDescent="0.25">
      <c r="A5605" s="2" t="s">
        <v>5607</v>
      </c>
      <c r="B5605" s="3" t="s">
        <v>2</v>
      </c>
      <c r="C5605" s="2" t="str">
        <f ca="1">IFERROR(__xludf.DUMMYFUNCTION("GOOGLETRANSLATE(A5605,""bn"",""en"")"),"It lasts for a few days")</f>
        <v>It lasts for a few days</v>
      </c>
    </row>
    <row r="5606" spans="1:3" ht="15.75" customHeight="1" x14ac:dyDescent="0.25">
      <c r="A5606" s="2" t="s">
        <v>5608</v>
      </c>
      <c r="B5606" s="3" t="s">
        <v>4</v>
      </c>
      <c r="C5606" s="2" t="str">
        <f ca="1">IFERROR(__xludf.DUMMYFUNCTION("GOOGLETRANSLATE(A5606,""bn"",""en"")"),"It's going to be an exciting time")</f>
        <v>It's going to be an exciting time</v>
      </c>
    </row>
    <row r="5607" spans="1:3" ht="15.75" customHeight="1" x14ac:dyDescent="0.25">
      <c r="A5607" s="2" t="s">
        <v>5609</v>
      </c>
      <c r="B5607" s="3" t="s">
        <v>4</v>
      </c>
      <c r="C5607" s="2" t="str">
        <f ca="1">IFERROR(__xludf.DUMMYFUNCTION("GOOGLETRANSLATE(A5607,""bn"",""en"")"),"An excellent quality product")</f>
        <v>An excellent quality product</v>
      </c>
    </row>
    <row r="5608" spans="1:3" ht="15.75" customHeight="1" x14ac:dyDescent="0.25">
      <c r="A5608" s="2" t="s">
        <v>5610</v>
      </c>
      <c r="B5608" s="3" t="s">
        <v>6</v>
      </c>
      <c r="C5608" s="2" t="str">
        <f ca="1">IFERROR(__xludf.DUMMYFUNCTION("GOOGLETRANSLATE(A5608,""bn"",""en"")")," were stale and oxidized losing their freshness and flavor")</f>
        <v xml:space="preserve"> were stale and oxidized losing their freshness and flavor</v>
      </c>
    </row>
    <row r="5609" spans="1:3" ht="15.75" customHeight="1" x14ac:dyDescent="0.25">
      <c r="A5609" s="2" t="s">
        <v>5611</v>
      </c>
      <c r="B5609" s="3" t="s">
        <v>2</v>
      </c>
      <c r="C5609" s="2" t="str">
        <f ca="1">IFERROR(__xludf.DUMMYFUNCTION("GOOGLETRANSLATE(A5609,""bn"",""en"")"),"Good for the price but not as expected")</f>
        <v>Good for the price but not as expected</v>
      </c>
    </row>
    <row r="5610" spans="1:3" ht="15.75" customHeight="1" x14ac:dyDescent="0.25">
      <c r="A5610" s="2" t="s">
        <v>5612</v>
      </c>
      <c r="B5610" s="3" t="s">
        <v>2</v>
      </c>
      <c r="C5610" s="2" t="str">
        <f ca="1">IFERROR(__xludf.DUMMYFUNCTION("GOOGLETRANSLATE(A5610,""bn"",""en"")"),"The blade is very sharp but feels a little heavy in the hand")</f>
        <v>The blade is very sharp but feels a little heavy in the hand</v>
      </c>
    </row>
    <row r="5611" spans="1:3" ht="15.75" customHeight="1" x14ac:dyDescent="0.25">
      <c r="A5611" s="2" t="s">
        <v>5613</v>
      </c>
      <c r="B5611" s="3" t="s">
        <v>4</v>
      </c>
      <c r="C5611" s="2" t="str">
        <f ca="1">IFERROR(__xludf.DUMMYFUNCTION("GOOGLETRANSLATE(A5611,""bn"",""en"")"),"Worked so well I bought a second one great product perfect and fast and its response and very good it's great ")</f>
        <v xml:space="preserve">Worked so well I bought a second one great product perfect and fast and its response and very good it's great </v>
      </c>
    </row>
    <row r="5612" spans="1:3" ht="15.75" customHeight="1" x14ac:dyDescent="0.25">
      <c r="A5612" s="2" t="s">
        <v>5614</v>
      </c>
      <c r="B5612" s="3" t="s">
        <v>4</v>
      </c>
      <c r="C5612" s="2" t="str">
        <f ca="1">IFERROR(__xludf.DUMMYFUNCTION("GOOGLETRANSLATE(A5612,""bn"",""en"")"),"The soap increases the elasticity of the skin")</f>
        <v>The soap increases the elasticity of the skin</v>
      </c>
    </row>
    <row r="5613" spans="1:3" ht="15.75" customHeight="1" x14ac:dyDescent="0.25">
      <c r="A5613" s="2" t="s">
        <v>5615</v>
      </c>
      <c r="B5613" s="3" t="s">
        <v>4</v>
      </c>
      <c r="C5613" s="2" t="str">
        <f ca="1">IFERROR(__xludf.DUMMYFUNCTION("GOOGLETRANSLATE(A5613,""bn"",""en"")"),"The first thing to say is its use of color")</f>
        <v>The first thing to say is its use of color</v>
      </c>
    </row>
    <row r="5614" spans="1:3" ht="15.75" customHeight="1" x14ac:dyDescent="0.25">
      <c r="A5614" s="2" t="s">
        <v>5616</v>
      </c>
      <c r="B5614" s="3" t="s">
        <v>4</v>
      </c>
      <c r="C5614" s="2" t="str">
        <f ca="1">IFERROR(__xludf.DUMMYFUNCTION("GOOGLETRANSLATE(A5614,""bn"",""en"")"),"The edges of the umbrella are made in such a way that no one gets hurt")</f>
        <v>The edges of the umbrella are made in such a way that no one gets hurt</v>
      </c>
    </row>
    <row r="5615" spans="1:3" ht="15.75" customHeight="1" x14ac:dyDescent="0.25">
      <c r="A5615" s="2" t="s">
        <v>5617</v>
      </c>
      <c r="B5615" s="3" t="s">
        <v>2</v>
      </c>
      <c r="C5615" s="2" t="str">
        <f ca="1">IFERROR(__xludf.DUMMYFUNCTION("GOOGLETRANSLATE(A5615,""bn"",""en"")"),"The smart swimming goggles display information but fog up in the water")</f>
        <v>The smart swimming goggles display information but fog up in the water</v>
      </c>
    </row>
    <row r="5616" spans="1:3" ht="15.75" customHeight="1" x14ac:dyDescent="0.25">
      <c r="A5616" s="2" t="s">
        <v>5618</v>
      </c>
      <c r="B5616" s="3" t="s">
        <v>4</v>
      </c>
      <c r="C5616" s="2" t="str">
        <f ca="1">IFERROR(__xludf.DUMMYFUNCTION("GOOGLETRANSLATE(A5616,""bn"",""en"")"),"There was no skin irritation after use")</f>
        <v>There was no skin irritation after use</v>
      </c>
    </row>
    <row r="5617" spans="1:3" ht="15.75" customHeight="1" x14ac:dyDescent="0.25">
      <c r="A5617" s="2" t="s">
        <v>5619</v>
      </c>
      <c r="B5617" s="3" t="s">
        <v>6</v>
      </c>
      <c r="C5617" s="2" t="str">
        <f ca="1">IFERROR(__xludf.DUMMYFUNCTION("GOOGLETRANSLATE(A5617,""bn"",""en"")"),"Camping stove won't light Unable to cook outside")</f>
        <v>Camping stove won't light Unable to cook outside</v>
      </c>
    </row>
    <row r="5618" spans="1:3" ht="15.75" customHeight="1" x14ac:dyDescent="0.25">
      <c r="A5618" s="2" t="s">
        <v>5620</v>
      </c>
      <c r="B5618" s="3" t="s">
        <v>6</v>
      </c>
      <c r="C5618" s="2" t="str">
        <f ca="1">IFERROR(__xludf.DUMMYFUNCTION("GOOGLETRANSLATE(A5618,""bn"",""en"")"),"The lipstick formula is drying and accentuates lip lines making lips look chapped")</f>
        <v>The lipstick formula is drying and accentuates lip lines making lips look chapped</v>
      </c>
    </row>
    <row r="5619" spans="1:3" ht="15.75" customHeight="1" x14ac:dyDescent="0.25">
      <c r="A5619" s="2" t="s">
        <v>5621</v>
      </c>
      <c r="B5619" s="3" t="s">
        <v>4</v>
      </c>
      <c r="C5619" s="2" t="str">
        <f ca="1">IFERROR(__xludf.DUMMYFUNCTION("GOOGLETRANSLATE(A5619,""bn"",""en"")"),"Every time I see it, I feel like I just bought it")</f>
        <v>Every time I see it, I feel like I just bought it</v>
      </c>
    </row>
    <row r="5620" spans="1:3" ht="15.75" customHeight="1" x14ac:dyDescent="0.25">
      <c r="A5620" s="2" t="s">
        <v>5622</v>
      </c>
      <c r="B5620" s="3" t="s">
        <v>2</v>
      </c>
      <c r="C5620" s="2" t="str">
        <f ca="1">IFERROR(__xludf.DUMMYFUNCTION("GOOGLETRANSLATE(A5620,""bn"",""en"")"),"The size of the pad felt a little big")</f>
        <v>The size of the pad felt a little big</v>
      </c>
    </row>
    <row r="5621" spans="1:3" ht="15.75" customHeight="1" x14ac:dyDescent="0.25">
      <c r="A5621" s="2" t="s">
        <v>5623</v>
      </c>
      <c r="B5621" s="3" t="s">
        <v>6</v>
      </c>
      <c r="C5621" s="2" t="str">
        <f ca="1">IFERROR(__xludf.DUMMYFUNCTION("GOOGLETRANSLATE(A5621,""bn"",""en"")"),"Cuticle oil is messy and leaks everywhere, leaving an oily film on surfaces and clothes.")</f>
        <v>Cuticle oil is messy and leaks everywhere, leaving an oily film on surfaces and clothes.</v>
      </c>
    </row>
    <row r="5622" spans="1:3" ht="15.75" customHeight="1" x14ac:dyDescent="0.25">
      <c r="A5622" s="2" t="s">
        <v>5624</v>
      </c>
      <c r="B5622" s="3" t="s">
        <v>6</v>
      </c>
      <c r="C5622" s="2" t="str">
        <f ca="1">IFERROR(__xludf.DUMMYFUNCTION("GOOGLETRANSLATE(A5622,""bn"",""en"")"),"The packaging of the item was excessive and wasteful")</f>
        <v>The packaging of the item was excessive and wasteful</v>
      </c>
    </row>
    <row r="5623" spans="1:3" ht="15.75" customHeight="1" x14ac:dyDescent="0.25">
      <c r="A5623" s="2" t="s">
        <v>5625</v>
      </c>
      <c r="B5623" s="3" t="s">
        <v>6</v>
      </c>
      <c r="C5623" s="2" t="str">
        <f ca="1">IFERROR(__xludf.DUMMYFUNCTION("GOOGLETRANSLATE(A5623,""bn"",""en"")"),"The fabric is scratchy and uncomfortable")</f>
        <v>The fabric is scratchy and uncomfortable</v>
      </c>
    </row>
    <row r="5624" spans="1:3" ht="15.75" customHeight="1" x14ac:dyDescent="0.25">
      <c r="A5624" s="2" t="s">
        <v>5626</v>
      </c>
      <c r="B5624" s="3" t="s">
        <v>2</v>
      </c>
      <c r="C5624" s="2" t="str">
        <f ca="1">IFERROR(__xludf.DUMMYFUNCTION("GOOGLETRANSLATE(A5624,""bn"",""en"")"),"The book may change my way of thinking")</f>
        <v>The book may change my way of thinking</v>
      </c>
    </row>
    <row r="5625" spans="1:3" ht="15.75" customHeight="1" x14ac:dyDescent="0.25">
      <c r="A5625" s="2" t="s">
        <v>5627</v>
      </c>
      <c r="B5625" s="3" t="s">
        <v>4</v>
      </c>
      <c r="C5625" s="2" t="str">
        <f ca="1">IFERROR(__xludf.DUMMYFUNCTION("GOOGLETRANSLATE(A5625,""bn"",""en"")"),"It is collected naturally")</f>
        <v>It is collected naturally</v>
      </c>
    </row>
    <row r="5626" spans="1:3" ht="15.75" customHeight="1" x14ac:dyDescent="0.25">
      <c r="A5626" s="2" t="s">
        <v>5628</v>
      </c>
      <c r="B5626" s="3" t="s">
        <v>6</v>
      </c>
      <c r="C5626" s="2" t="str">
        <f ca="1">IFERROR(__xludf.DUMMYFUNCTION("GOOGLETRANSLATE(A5626,""bn"",""en"")"),"USB ports on portable chargers have become loose resulting in unreliable connections")</f>
        <v>USB ports on portable chargers have become loose resulting in unreliable connections</v>
      </c>
    </row>
    <row r="5627" spans="1:3" ht="15.75" customHeight="1" x14ac:dyDescent="0.25">
      <c r="A5627" s="2" t="s">
        <v>5629</v>
      </c>
      <c r="B5627" s="3" t="s">
        <v>2</v>
      </c>
      <c r="C5627" s="2" t="str">
        <f ca="1">IFERROR(__xludf.DUMMYFUNCTION("GOOGLETRANSLATE(A5627,""bn"",""en"")"),"Nice but not fast")</f>
        <v>Nice but not fast</v>
      </c>
    </row>
    <row r="5628" spans="1:3" ht="15.75" customHeight="1" x14ac:dyDescent="0.25">
      <c r="A5628" s="2" t="s">
        <v>5630</v>
      </c>
      <c r="B5628" s="3" t="s">
        <v>6</v>
      </c>
      <c r="C5628" s="2" t="str">
        <f ca="1">IFERROR(__xludf.DUMMYFUNCTION("GOOGLETRANSLATE(A5628,""bn"",""en"")"),"The camera's built-in flash is underpowered, resulting in harsh lighting and blurry portraits")</f>
        <v>The camera's built-in flash is underpowered, resulting in harsh lighting and blurry portraits</v>
      </c>
    </row>
    <row r="5629" spans="1:3" ht="15.75" customHeight="1" x14ac:dyDescent="0.25">
      <c r="A5629" s="2" t="s">
        <v>5631</v>
      </c>
      <c r="B5629" s="3" t="s">
        <v>2</v>
      </c>
      <c r="C5629" s="2" t="str">
        <f ca="1">IFERROR(__xludf.DUMMYFUNCTION("GOOGLETRANSLATE(A5629,""bn"",""en"")"),"The quality is great but some pieces didn't seem as durable as expected")</f>
        <v>The quality is great but some pieces didn't seem as durable as expected</v>
      </c>
    </row>
    <row r="5630" spans="1:3" ht="15.75" customHeight="1" x14ac:dyDescent="0.25">
      <c r="A5630" s="2" t="s">
        <v>5632</v>
      </c>
      <c r="B5630" s="3" t="s">
        <v>4</v>
      </c>
      <c r="C5630" s="2" t="str">
        <f ca="1">IFERROR(__xludf.DUMMYFUNCTION("GOOGLETRANSLATE(A5630,""bn"",""en"")"),"The connectivity options of the mobile are very modern")</f>
        <v>The connectivity options of the mobile are very modern</v>
      </c>
    </row>
    <row r="5631" spans="1:3" ht="15.75" customHeight="1" x14ac:dyDescent="0.25">
      <c r="A5631" s="2" t="s">
        <v>5633</v>
      </c>
      <c r="B5631" s="3" t="s">
        <v>4</v>
      </c>
      <c r="C5631" s="2" t="str">
        <f ca="1">IFERROR(__xludf.DUMMYFUNCTION("GOOGLETRANSLATE(A5631,""bn"",""en"")"),"This body wash reduces skin inflammation")</f>
        <v>This body wash reduces skin inflammation</v>
      </c>
    </row>
    <row r="5632" spans="1:3" ht="15.75" customHeight="1" x14ac:dyDescent="0.25">
      <c r="A5632" s="2" t="s">
        <v>5634</v>
      </c>
      <c r="B5632" s="3" t="s">
        <v>4</v>
      </c>
      <c r="C5632" s="2" t="str">
        <f ca="1">IFERROR(__xludf.DUMMYFUNCTION("GOOGLETRANSLATE(A5632,""bn"",""en"")"),"The power of the fan can be easily controlled")</f>
        <v>The power of the fan can be easily controlled</v>
      </c>
    </row>
    <row r="5633" spans="1:3" ht="15.75" customHeight="1" x14ac:dyDescent="0.25">
      <c r="A5633" s="2" t="s">
        <v>5635</v>
      </c>
      <c r="B5633" s="3" t="s">
        <v>6</v>
      </c>
      <c r="C5633" s="2" t="str">
        <f ca="1">IFERROR(__xludf.DUMMYFUNCTION("GOOGLETRANSLATE(A5633,""bn"",""en"")"),"The indicator light on the charger stopped working making it hard to tell when it was being used")</f>
        <v>The indicator light on the charger stopped working making it hard to tell when it was being used</v>
      </c>
    </row>
    <row r="5634" spans="1:3" ht="15.75" customHeight="1" x14ac:dyDescent="0.25">
      <c r="A5634" s="2" t="s">
        <v>5636</v>
      </c>
      <c r="B5634" s="3" t="s">
        <v>2</v>
      </c>
      <c r="C5634" s="2" t="str">
        <f ca="1">IFERROR(__xludf.DUMMYFUNCTION("GOOGLETRANSLATE(A5634,""bn"",""en"")"),"Kids can play with it but don't hold attention for long")</f>
        <v>Kids can play with it but don't hold attention for long</v>
      </c>
    </row>
    <row r="5635" spans="1:3" ht="15.75" customHeight="1" x14ac:dyDescent="0.25">
      <c r="A5635" s="2" t="s">
        <v>5637</v>
      </c>
      <c r="B5635" s="3" t="s">
        <v>4</v>
      </c>
      <c r="C5635" s="2" t="str">
        <f ca="1">IFERROR(__xludf.DUMMYFUNCTION("GOOGLETRANSLATE(A5635,""bn"",""en"")"),"Adjusting the height of the chair is very easy")</f>
        <v>Adjusting the height of the chair is very easy</v>
      </c>
    </row>
    <row r="5636" spans="1:3" ht="15.75" customHeight="1" x14ac:dyDescent="0.25">
      <c r="A5636" s="2" t="s">
        <v>5638</v>
      </c>
      <c r="B5636" s="3" t="s">
        <v>2</v>
      </c>
      <c r="C5636" s="2" t="str">
        <f ca="1">IFERROR(__xludf.DUMMYFUNCTION("GOOGLETRANSLATE(A5636,""bn"",""en"")"),"It has limited functionality worth it for peace of mind")</f>
        <v>It has limited functionality worth it for peace of mind</v>
      </c>
    </row>
    <row r="5637" spans="1:3" ht="15.75" customHeight="1" x14ac:dyDescent="0.25">
      <c r="A5637" s="2" t="s">
        <v>5639</v>
      </c>
      <c r="B5637" s="3" t="s">
        <v>2</v>
      </c>
      <c r="C5637" s="2" t="str">
        <f ca="1">IFERROR(__xludf.DUMMYFUNCTION("GOOGLETRANSLATE(A5637,""bn"",""en"")"),"Size is not variable")</f>
        <v>Size is not variable</v>
      </c>
    </row>
    <row r="5638" spans="1:3" ht="15.75" customHeight="1" x14ac:dyDescent="0.25">
      <c r="A5638" s="2" t="s">
        <v>5640</v>
      </c>
      <c r="B5638" s="3" t="s">
        <v>4</v>
      </c>
      <c r="C5638" s="2" t="str">
        <f ca="1">IFERROR(__xludf.DUMMYFUNCTION("GOOGLETRANSLATE(A5638,""bn"",""en"")"),"Available in different colors")</f>
        <v>Available in different colors</v>
      </c>
    </row>
    <row r="5639" spans="1:3" ht="15.75" customHeight="1" x14ac:dyDescent="0.25">
      <c r="A5639" s="2" t="s">
        <v>5641</v>
      </c>
      <c r="B5639" s="3" t="s">
        <v>4</v>
      </c>
      <c r="C5639" s="2" t="str">
        <f ca="1">IFERROR(__xludf.DUMMYFUNCTION("GOOGLETRANSLATE(A5639,""bn"",""en"")"),"Coffee table comes with glass top protector")</f>
        <v>Coffee table comes with glass top protector</v>
      </c>
    </row>
    <row r="5640" spans="1:3" ht="15.75" customHeight="1" x14ac:dyDescent="0.25">
      <c r="A5640" s="2" t="s">
        <v>5642</v>
      </c>
      <c r="B5640" s="3" t="s">
        <v>6</v>
      </c>
      <c r="C5640" s="2" t="str">
        <f ca="1">IFERROR(__xludf.DUMMYFUNCTION("GOOGLETRANSLATE(A5640,""bn"",""en"")"),"Defective received quality indicates lack of control")</f>
        <v>Defective received quality indicates lack of control</v>
      </c>
    </row>
    <row r="5641" spans="1:3" ht="15.75" customHeight="1" x14ac:dyDescent="0.25">
      <c r="A5641" s="2" t="s">
        <v>5643</v>
      </c>
      <c r="B5641" s="3" t="s">
        <v>2</v>
      </c>
      <c r="C5641" s="2" t="str">
        <f ca="1">IFERROR(__xludf.DUMMYFUNCTION("GOOGLETRANSLATE(A5641,""bn"",""en"")"),"It is easy to clean but can accumulate dirt")</f>
        <v>It is easy to clean but can accumulate dirt</v>
      </c>
    </row>
    <row r="5642" spans="1:3" ht="15.75" customHeight="1" x14ac:dyDescent="0.25">
      <c r="A5642" s="2" t="s">
        <v>5644</v>
      </c>
      <c r="B5642" s="3" t="s">
        <v>6</v>
      </c>
      <c r="C5642" s="2" t="str">
        <f ca="1">IFERROR(__xludf.DUMMYFUNCTION("GOOGLETRANSLATE(A5642,""bn"",""en"")"),"The boxed cereal was stale and far from crisp and fresh, tasting like cardboard")</f>
        <v>The boxed cereal was stale and far from crisp and fresh, tasting like cardboard</v>
      </c>
    </row>
    <row r="5643" spans="1:3" ht="15.75" customHeight="1" x14ac:dyDescent="0.25">
      <c r="A5643" s="2" t="s">
        <v>5645</v>
      </c>
      <c r="B5643" s="3" t="s">
        <v>2</v>
      </c>
      <c r="C5643" s="2" t="str">
        <f ca="1">IFERROR(__xludf.DUMMYFUNCTION("GOOGLETRANSLATE(A5643,""bn"",""en"")"),"Less suitable for outdoor use")</f>
        <v>Less suitable for outdoor use</v>
      </c>
    </row>
    <row r="5644" spans="1:3" ht="15.75" customHeight="1" x14ac:dyDescent="0.25">
      <c r="A5644" s="2" t="s">
        <v>5646</v>
      </c>
      <c r="B5644" s="3" t="s">
        <v>2</v>
      </c>
      <c r="C5644" s="2" t="str">
        <f ca="1">IFERROR(__xludf.DUMMYFUNCTION("GOOGLETRANSLATE(A5644,""bn"",""en"")"),"For the price, the quality seems adequate")</f>
        <v>For the price, the quality seems adequate</v>
      </c>
    </row>
    <row r="5645" spans="1:3" ht="15.75" customHeight="1" x14ac:dyDescent="0.25">
      <c r="A5645" s="2" t="s">
        <v>5647</v>
      </c>
      <c r="B5645" s="3" t="s">
        <v>4</v>
      </c>
      <c r="C5645" s="2" t="str">
        <f ca="1">IFERROR(__xludf.DUMMYFUNCTION("GOOGLETRANSLATE(A5645,""bn"",""en"")"),"Perfect for mixing pencil colors")</f>
        <v>Perfect for mixing pencil colors</v>
      </c>
    </row>
    <row r="5646" spans="1:3" ht="15.75" customHeight="1" x14ac:dyDescent="0.25">
      <c r="A5646" s="2" t="s">
        <v>5648</v>
      </c>
      <c r="B5646" s="3" t="s">
        <v>6</v>
      </c>
      <c r="C5646" s="2" t="str">
        <f ca="1">IFERROR(__xludf.DUMMYFUNCTION("GOOGLETRANSLATE(A5646,""bn"",""en"")"),"Blender jar lids do not seal properly and leak while blending")</f>
        <v>Blender jar lids do not seal properly and leak while blending</v>
      </c>
    </row>
    <row r="5647" spans="1:3" ht="15.75" customHeight="1" x14ac:dyDescent="0.25">
      <c r="A5647" s="2" t="s">
        <v>5649</v>
      </c>
      <c r="B5647" s="3" t="s">
        <v>4</v>
      </c>
      <c r="C5647" s="2" t="str">
        <f ca="1">IFERROR(__xludf.DUMMYFUNCTION("GOOGLETRANSLATE(A5647,""bn"",""en"")"),"Its heating mode works even in winter and it can be used all year round")</f>
        <v>Its heating mode works even in winter and it can be used all year round</v>
      </c>
    </row>
    <row r="5648" spans="1:3" ht="15.75" customHeight="1" x14ac:dyDescent="0.25">
      <c r="A5648" s="2" t="s">
        <v>5650</v>
      </c>
      <c r="B5648" s="3" t="s">
        <v>4</v>
      </c>
      <c r="C5648" s="2" t="str">
        <f ca="1">IFERROR(__xludf.DUMMYFUNCTION("GOOGLETRANSLATE(A5648,""bn"",""en"")"),"There is a kind of serenity and beauty hidden in it")</f>
        <v>There is a kind of serenity and beauty hidden in it</v>
      </c>
    </row>
    <row r="5649" spans="1:3" ht="15.75" customHeight="1" x14ac:dyDescent="0.25">
      <c r="A5649" s="2" t="s">
        <v>5651</v>
      </c>
      <c r="B5649" s="3" t="s">
        <v>6</v>
      </c>
      <c r="C5649" s="2" t="str">
        <f ca="1">IFERROR(__xludf.DUMMYFUNCTION("GOOGLETRANSLATE(A5649,""bn"",""en"")"),"Disappointed with overall quality")</f>
        <v>Disappointed with overall quality</v>
      </c>
    </row>
    <row r="5650" spans="1:3" ht="15.75" customHeight="1" x14ac:dyDescent="0.25">
      <c r="A5650" s="2" t="s">
        <v>5652</v>
      </c>
      <c r="B5650" s="3" t="s">
        <v>4</v>
      </c>
      <c r="C5650" s="2" t="str">
        <f ca="1">IFERROR(__xludf.DUMMYFUNCTION("GOOGLETRANSLATE(A5650,""bn"",""en"")"),"The pillows retain their shape and softness even after washing, guaranteeing long-term use")</f>
        <v>The pillows retain their shape and softness even after washing, guaranteeing long-term use</v>
      </c>
    </row>
    <row r="5651" spans="1:3" ht="15.75" customHeight="1" x14ac:dyDescent="0.25">
      <c r="A5651" s="2" t="s">
        <v>5653</v>
      </c>
      <c r="B5651" s="3" t="s">
        <v>4</v>
      </c>
      <c r="C5651" s="2" t="str">
        <f ca="1">IFERROR(__xludf.DUMMYFUNCTION("GOOGLETRANSLATE(A5651,""bn"",""en"")"),"Teeth become very clean and shiny After use, teeth feel very smooth and shiny")</f>
        <v>Teeth become very clean and shiny After use, teeth feel very smooth and shiny</v>
      </c>
    </row>
    <row r="5652" spans="1:3" ht="15.75" customHeight="1" x14ac:dyDescent="0.25">
      <c r="A5652" s="2" t="s">
        <v>5654</v>
      </c>
      <c r="B5652" s="3" t="s">
        <v>2</v>
      </c>
      <c r="C5652" s="2" t="str">
        <f ca="1">IFERROR(__xludf.DUMMYFUNCTION("GOOGLETRANSLATE(A5652,""bn"",""en"")"),"Color and fabric quality is average")</f>
        <v>Color and fabric quality is average</v>
      </c>
    </row>
    <row r="5653" spans="1:3" ht="15.75" customHeight="1" x14ac:dyDescent="0.25">
      <c r="A5653" s="2" t="s">
        <v>5655</v>
      </c>
      <c r="B5653" s="3" t="s">
        <v>2</v>
      </c>
      <c r="C5653" s="2" t="str">
        <f ca="1">IFERROR(__xludf.DUMMYFUNCTION("GOOGLETRANSLATE(A5653,""bn"",""en"")"),"Good quality images may lack stability")</f>
        <v>Good quality images may lack stability</v>
      </c>
    </row>
    <row r="5654" spans="1:3" ht="15.75" customHeight="1" x14ac:dyDescent="0.25">
      <c r="A5654" s="2" t="s">
        <v>5656</v>
      </c>
      <c r="B5654" s="3" t="s">
        <v>2</v>
      </c>
      <c r="C5654" s="2" t="str">
        <f ca="1">IFERROR(__xludf.DUMMYFUNCTION("GOOGLETRANSLATE(A5654,""bn"",""en"")"),"Neighbors were somewhat indifferent")</f>
        <v>Neighbors were somewhat indifferent</v>
      </c>
    </row>
    <row r="5655" spans="1:3" ht="15.75" customHeight="1" x14ac:dyDescent="0.25">
      <c r="A5655" s="2" t="s">
        <v>5657</v>
      </c>
      <c r="B5655" s="3" t="s">
        <v>4</v>
      </c>
      <c r="C5655" s="2" t="str">
        <f ca="1">IFERROR(__xludf.DUMMYFUNCTION("GOOGLETRANSLATE(A5655,""bn"",""en"")"),"Budget buds for work around the house but not impressive")</f>
        <v>Budget buds for work around the house but not impressive</v>
      </c>
    </row>
    <row r="5656" spans="1:3" ht="15.75" customHeight="1" x14ac:dyDescent="0.25">
      <c r="A5656" s="2" t="s">
        <v>5658</v>
      </c>
      <c r="B5656" s="3" t="s">
        <v>2</v>
      </c>
      <c r="C5656" s="2" t="str">
        <f ca="1">IFERROR(__xludf.DUMMYFUNCTION("GOOGLETRANSLATE(A5656,""bn"",""en"")"),"Canvas fabric is medium quality")</f>
        <v>Canvas fabric is medium quality</v>
      </c>
    </row>
    <row r="5657" spans="1:3" ht="15.75" customHeight="1" x14ac:dyDescent="0.25">
      <c r="A5657" s="2" t="s">
        <v>5659</v>
      </c>
      <c r="B5657" s="3" t="s">
        <v>6</v>
      </c>
      <c r="C5657" s="2" t="str">
        <f ca="1">IFERROR(__xludf.DUMMYFUNCTION("GOOGLETRANSLATE(A5657,""bn"",""en"")"),"The tea leaves were ground too finely resulting in a muddy brew")</f>
        <v>The tea leaves were ground too finely resulting in a muddy brew</v>
      </c>
    </row>
    <row r="5658" spans="1:3" ht="15.75" customHeight="1" x14ac:dyDescent="0.25">
      <c r="A5658" s="2" t="s">
        <v>5660</v>
      </c>
      <c r="B5658" s="3" t="s">
        <v>2</v>
      </c>
      <c r="C5658" s="2" t="str">
        <f ca="1">IFERROR(__xludf.DUMMYFUNCTION("GOOGLETRANSLATE(A5658,""bn"",""en"")"),"It may break with a slight jolt")</f>
        <v>It may break with a slight jolt</v>
      </c>
    </row>
    <row r="5659" spans="1:3" ht="15.75" customHeight="1" x14ac:dyDescent="0.25">
      <c r="A5659" s="2" t="s">
        <v>5661</v>
      </c>
      <c r="B5659" s="3" t="s">
        <v>6</v>
      </c>
      <c r="C5659" s="2" t="str">
        <f ca="1">IFERROR(__xludf.DUMMYFUNCTION("GOOGLETRANSLATE(A5659,""bn"",""en"")"),"The packaged snacks were stale and lacked crunch indicating poor quality control")</f>
        <v>The packaged snacks were stale and lacked crunch indicating poor quality control</v>
      </c>
    </row>
    <row r="5660" spans="1:3" ht="15.75" customHeight="1" x14ac:dyDescent="0.25">
      <c r="A5660" s="2" t="s">
        <v>5662</v>
      </c>
      <c r="B5660" s="3" t="s">
        <v>4</v>
      </c>
      <c r="C5660" s="2" t="str">
        <f ca="1">IFERROR(__xludf.DUMMYFUNCTION("GOOGLETRANSLATE(A5660,""bn"",""en"")"),"First of all, the fresh and menthol smell of the toothpaste")</f>
        <v>First of all, the fresh and menthol smell of the toothpaste</v>
      </c>
    </row>
    <row r="5661" spans="1:3" ht="15.75" customHeight="1" x14ac:dyDescent="0.25">
      <c r="A5661" s="2" t="s">
        <v>5663</v>
      </c>
      <c r="B5661" s="3" t="s">
        <v>4</v>
      </c>
      <c r="C5661" s="2" t="str">
        <f ca="1">IFERROR(__xludf.DUMMYFUNCTION("GOOGLETRANSLATE(A5661,""bn"",""en"")"),"It can work on finer details")</f>
        <v>It can work on finer details</v>
      </c>
    </row>
    <row r="5662" spans="1:3" ht="15.75" customHeight="1" x14ac:dyDescent="0.25">
      <c r="A5662" s="2" t="s">
        <v>5664</v>
      </c>
      <c r="B5662" s="3" t="s">
        <v>6</v>
      </c>
      <c r="C5662" s="2" t="str">
        <f ca="1">IFERROR(__xludf.DUMMYFUNCTION("GOOGLETRANSLATE(A5662,""bn"",""en"")"),"Unsatisfactory conditions are unacceptable")</f>
        <v>Unsatisfactory conditions are unacceptable</v>
      </c>
    </row>
    <row r="5663" spans="1:3" ht="15.75" customHeight="1" x14ac:dyDescent="0.25">
      <c r="A5663" s="2" t="s">
        <v>5665</v>
      </c>
      <c r="B5663" s="3" t="s">
        <v>4</v>
      </c>
      <c r="C5663" s="2" t="str">
        <f ca="1">IFERROR(__xludf.DUMMYFUNCTION("GOOGLETRANSLATE(A5663,""bn"",""en"")"),"It feels like a unique bedsheet")</f>
        <v>It feels like a unique bedsheet</v>
      </c>
    </row>
    <row r="5664" spans="1:3" ht="15.75" customHeight="1" x14ac:dyDescent="0.25">
      <c r="A5664" s="2" t="s">
        <v>5666</v>
      </c>
      <c r="B5664" s="3" t="s">
        <v>6</v>
      </c>
      <c r="C5664" s="2" t="str">
        <f ca="1">IFERROR(__xludf.DUMMYFUNCTION("GOOGLETRANSLATE(A5664,""bn"",""en"")"),"There was too much plastic in the packaging which contributed to pollution")</f>
        <v>There was too much plastic in the packaging which contributed to pollution</v>
      </c>
    </row>
    <row r="5665" spans="1:3" ht="15.75" customHeight="1" x14ac:dyDescent="0.25">
      <c r="A5665" s="2" t="s">
        <v>5667</v>
      </c>
      <c r="B5665" s="3" t="s">
        <v>2</v>
      </c>
      <c r="C5665" s="2" t="str">
        <f ca="1">IFERROR(__xludf.DUMMYFUNCTION("GOOGLETRANSLATE(A5665,""bn"",""en"")"),"Color is fairly accurate")</f>
        <v>Color is fairly accurate</v>
      </c>
    </row>
    <row r="5666" spans="1:3" ht="15.75" customHeight="1" x14ac:dyDescent="0.25">
      <c r="A5666" s="2" t="s">
        <v>5668</v>
      </c>
      <c r="B5666" s="3" t="s">
        <v>6</v>
      </c>
      <c r="C5666" s="2" t="str">
        <f ca="1">IFERROR(__xludf.DUMMYFUNCTION("GOOGLETRANSLATE(A5666,""bn"",""en"")"),"Canned fruit had a metallic taste and overly syrupy texture far removed from the freshness of real fruit")</f>
        <v>Canned fruit had a metallic taste and overly syrupy texture far removed from the freshness of real fruit</v>
      </c>
    </row>
    <row r="5667" spans="1:3" ht="15.75" customHeight="1" x14ac:dyDescent="0.25">
      <c r="A5667" s="2" t="s">
        <v>5669</v>
      </c>
      <c r="B5667" s="3" t="s">
        <v>4</v>
      </c>
      <c r="C5667" s="2" t="str">
        <f ca="1">IFERROR(__xludf.DUMMYFUNCTION("GOOGLETRANSLATE(A5667,""bn"",""en"")"),"It also makes drawing very easy and the line control is very good")</f>
        <v>It also makes drawing very easy and the line control is very good</v>
      </c>
    </row>
    <row r="5668" spans="1:3" ht="15.75" customHeight="1" x14ac:dyDescent="0.25">
      <c r="A5668" s="2" t="s">
        <v>5670</v>
      </c>
      <c r="B5668" s="3" t="s">
        <v>2</v>
      </c>
      <c r="C5668" s="2" t="str">
        <f ca="1">IFERROR(__xludf.DUMMYFUNCTION("GOOGLETRANSLATE(A5668,""bn"",""en"")"),"Some can be used in the microwave")</f>
        <v>Some can be used in the microwave</v>
      </c>
    </row>
    <row r="5669" spans="1:3" ht="15.75" customHeight="1" x14ac:dyDescent="0.25">
      <c r="A5669" s="2" t="s">
        <v>5671</v>
      </c>
      <c r="B5669" s="3" t="s">
        <v>4</v>
      </c>
      <c r="C5669" s="2" t="str">
        <f ca="1">IFERROR(__xludf.DUMMYFUNCTION("GOOGLETRANSLATE(A5669,""bn"",""en"")"),"The weight of the pots is just right neither too heavy nor too light making it easy to use and serve")</f>
        <v>The weight of the pots is just right neither too heavy nor too light making it easy to use and serve</v>
      </c>
    </row>
    <row r="5670" spans="1:3" ht="15.75" customHeight="1" x14ac:dyDescent="0.25">
      <c r="A5670" s="2" t="s">
        <v>5672</v>
      </c>
      <c r="B5670" s="3" t="s">
        <v>2</v>
      </c>
      <c r="C5670" s="2" t="str">
        <f ca="1">IFERROR(__xludf.DUMMYFUNCTION("GOOGLETRANSLATE(A5670,""bn"",""en"")"),"The smell of the toothpaste does not last long but the taste is good")</f>
        <v>The smell of the toothpaste does not last long but the taste is good</v>
      </c>
    </row>
    <row r="5671" spans="1:3" ht="15.75" customHeight="1" x14ac:dyDescent="0.25">
      <c r="A5671" s="2" t="s">
        <v>5673</v>
      </c>
      <c r="B5671" s="3" t="s">
        <v>4</v>
      </c>
      <c r="C5671" s="2" t="str">
        <f ca="1">IFERROR(__xludf.DUMMYFUNCTION("GOOGLETRANSLATE(A5671,""bn"",""en"")"),"The color of this set is so beautiful that my guests often compliment it as it makes our banquet more special")</f>
        <v>The color of this set is so beautiful that my guests often compliment it as it makes our banquet more special</v>
      </c>
    </row>
    <row r="5672" spans="1:3" ht="15.75" customHeight="1" x14ac:dyDescent="0.25">
      <c r="A5672" s="2" t="s">
        <v>5674</v>
      </c>
      <c r="B5672" s="3" t="s">
        <v>2</v>
      </c>
      <c r="C5672" s="2" t="str">
        <f ca="1">IFERROR(__xludf.DUMMYFUNCTION("GOOGLETRANSLATE(A5672,""bn"",""en"")"),"Cameras are not designed to be waterproof")</f>
        <v>Cameras are not designed to be waterproof</v>
      </c>
    </row>
    <row r="5673" spans="1:3" ht="15.75" customHeight="1" x14ac:dyDescent="0.25">
      <c r="A5673" s="2" t="s">
        <v>5675</v>
      </c>
      <c r="B5673" s="3" t="s">
        <v>4</v>
      </c>
      <c r="C5673" s="2" t="str">
        <f ca="1">IFERROR(__xludf.DUMMYFUNCTION("GOOGLETRANSLATE(A5673,""bn"",""en"")"),"An ideal prop for photo shoots")</f>
        <v>An ideal prop for photo shoots</v>
      </c>
    </row>
    <row r="5674" spans="1:3" ht="15.75" customHeight="1" x14ac:dyDescent="0.25">
      <c r="A5674" s="2" t="s">
        <v>5676</v>
      </c>
      <c r="B5674" s="3" t="s">
        <v>2</v>
      </c>
      <c r="C5674" s="2" t="str">
        <f ca="1">IFERROR(__xludf.DUMMYFUNCTION("GOOGLETRANSLATE(A5674,""bn"",""en"")"),"The price is relatively high but can be worth it when compared to the quality")</f>
        <v>The price is relatively high but can be worth it when compared to the quality</v>
      </c>
    </row>
    <row r="5675" spans="1:3" ht="15.75" customHeight="1" x14ac:dyDescent="0.25">
      <c r="A5675" s="2" t="s">
        <v>5677</v>
      </c>
      <c r="B5675" s="3" t="s">
        <v>2</v>
      </c>
      <c r="C5675" s="2" t="str">
        <f ca="1">IFERROR(__xludf.DUMMYFUNCTION("GOOGLETRANSLATE(A5675,""bn"",""en"")"),"Great price and good quality but some hooks bend easily")</f>
        <v>Great price and good quality but some hooks bend easily</v>
      </c>
    </row>
    <row r="5676" spans="1:3" ht="15.75" customHeight="1" x14ac:dyDescent="0.25">
      <c r="A5676" s="2" t="s">
        <v>5678</v>
      </c>
      <c r="B5676" s="3" t="s">
        <v>6</v>
      </c>
      <c r="C5676" s="2" t="str">
        <f ca="1">IFERROR(__xludf.DUMMYFUNCTION("GOOGLETRANSLATE(A5676,""bn"",""en"")"),"The assembly of the item was complex and time consuming")</f>
        <v>The assembly of the item was complex and time consuming</v>
      </c>
    </row>
    <row r="5677" spans="1:3" ht="15.75" customHeight="1" x14ac:dyDescent="0.25">
      <c r="A5677" s="2" t="s">
        <v>5679</v>
      </c>
      <c r="B5677" s="3" t="s">
        <v>4</v>
      </c>
      <c r="C5677" s="2" t="str">
        <f ca="1">IFERROR(__xludf.DUMMYFUNCTION("GOOGLETRANSLATE(A5677,""bn"",""en"")"),"The MSI MAG B Tomahawk has been great for gaming  ")</f>
        <v xml:space="preserve">The MSI MAG B Tomahawk has been great for gaming  </v>
      </c>
    </row>
    <row r="5678" spans="1:3" ht="15.75" customHeight="1" x14ac:dyDescent="0.25">
      <c r="A5678" s="2" t="s">
        <v>5680</v>
      </c>
      <c r="B5678" s="3" t="s">
        <v>2</v>
      </c>
      <c r="C5678" s="2" t="str">
        <f ca="1">IFERROR(__xludf.DUMMYFUNCTION("GOOGLETRANSLATE(A5678,""bn"",""en"")"),"Easy to install but may have limited durability")</f>
        <v>Easy to install but may have limited durability</v>
      </c>
    </row>
    <row r="5679" spans="1:3" ht="15.75" customHeight="1" x14ac:dyDescent="0.25">
      <c r="A5679" s="2" t="s">
        <v>5681</v>
      </c>
      <c r="B5679" s="3" t="s">
        <v>2</v>
      </c>
      <c r="C5679" s="2" t="str">
        <f ca="1">IFERROR(__xludf.DUMMYFUNCTION("GOOGLETRANSLATE(A5679,""bn"",""en"")"),"Works fine but has some issues")</f>
        <v>Works fine but has some issues</v>
      </c>
    </row>
    <row r="5680" spans="1:3" ht="15.75" customHeight="1" x14ac:dyDescent="0.25">
      <c r="A5680" s="2" t="s">
        <v>5682</v>
      </c>
      <c r="B5680" s="3" t="s">
        <v>4</v>
      </c>
      <c r="C5680" s="2" t="str">
        <f ca="1">IFERROR(__xludf.DUMMYFUNCTION("GOOGLETRANSLATE(A5680,""bn"",""en"")"),"No dust accumulation problem Easy to clean")</f>
        <v>No dust accumulation problem Easy to clean</v>
      </c>
    </row>
    <row r="5681" spans="1:3" ht="15.75" customHeight="1" x14ac:dyDescent="0.25">
      <c r="A5681" s="2" t="s">
        <v>5683</v>
      </c>
      <c r="B5681" s="3" t="s">
        <v>4</v>
      </c>
      <c r="C5681" s="2" t="str">
        <f ca="1">IFERROR(__xludf.DUMMYFUNCTION("GOOGLETRANSLATE(A5681,""bn"",""en"")"),"The screen of the new phone is much bigger and clearer")</f>
        <v>The screen of the new phone is much bigger and clearer</v>
      </c>
    </row>
    <row r="5682" spans="1:3" ht="15.75" customHeight="1" x14ac:dyDescent="0.25">
      <c r="A5682" s="2" t="s">
        <v>5684</v>
      </c>
      <c r="B5682" s="3" t="s">
        <v>4</v>
      </c>
      <c r="C5682" s="2" t="str">
        <f ca="1">IFERROR(__xludf.DUMMYFUNCTION("GOOGLETRANSLATE(A5682,""bn"",""en"")"),"Its features and performance are well worth the price")</f>
        <v>Its features and performance are well worth the price</v>
      </c>
    </row>
    <row r="5683" spans="1:3" ht="15.75" customHeight="1" x14ac:dyDescent="0.25">
      <c r="A5683" s="2" t="s">
        <v>5685</v>
      </c>
      <c r="B5683" s="3" t="s">
        <v>6</v>
      </c>
      <c r="C5683" s="2" t="str">
        <f ca="1">IFERROR(__xludf.DUMMYFUNCTION("GOOGLETRANSLATE(A5683,""bn"",""en"")"),"The packaged dip had a weird aftertaste and didn't pair well with chips or vegetables")</f>
        <v>The packaged dip had a weird aftertaste and didn't pair well with chips or vegetables</v>
      </c>
    </row>
    <row r="5684" spans="1:3" ht="15.75" customHeight="1" x14ac:dyDescent="0.25">
      <c r="A5684" s="2" t="s">
        <v>5686</v>
      </c>
      <c r="B5684" s="3" t="s">
        <v>6</v>
      </c>
      <c r="C5684" s="2" t="str">
        <f ca="1">IFERROR(__xludf.DUMMYFUNCTION("GOOGLETRANSLATE(A5684,""bn"",""en"")"),"The design is not attractive")</f>
        <v>The design is not attractive</v>
      </c>
    </row>
    <row r="5685" spans="1:3" ht="15.75" customHeight="1" x14ac:dyDescent="0.25">
      <c r="A5685" s="2" t="s">
        <v>5687</v>
      </c>
      <c r="B5685" s="3" t="s">
        <v>2</v>
      </c>
      <c r="C5685" s="2" t="str">
        <f ca="1">IFERROR(__xludf.DUMMYFUNCTION("GOOGLETRANSLATE(A5685,""bn"",""en"")"),"Good price is not perfect")</f>
        <v>Good price is not perfect</v>
      </c>
    </row>
    <row r="5686" spans="1:3" ht="15.75" customHeight="1" x14ac:dyDescent="0.25">
      <c r="A5686" s="2" t="s">
        <v>5688</v>
      </c>
      <c r="B5686" s="3" t="s">
        <v>2</v>
      </c>
      <c r="C5686" s="2" t="str">
        <f ca="1">IFERROR(__xludf.DUMMYFUNCTION("GOOGLETRANSLATE(A5686,""bn"",""en"")"),"Can work as part of decoration")</f>
        <v>Can work as part of decoration</v>
      </c>
    </row>
    <row r="5687" spans="1:3" ht="15.75" customHeight="1" x14ac:dyDescent="0.25">
      <c r="A5687" s="2" t="s">
        <v>5689</v>
      </c>
      <c r="B5687" s="3" t="s">
        <v>6</v>
      </c>
      <c r="C5687" s="2" t="str">
        <f ca="1">IFERROR(__xludf.DUMMYFUNCTION("GOOGLETRANSLATE(A5687,""bn"",""en"")"),"The alarm function on the alarm clock has stopped working making me late for work")</f>
        <v>The alarm function on the alarm clock has stopped working making me late for work</v>
      </c>
    </row>
    <row r="5688" spans="1:3" ht="15.75" customHeight="1" x14ac:dyDescent="0.25">
      <c r="A5688" s="2" t="s">
        <v>5690</v>
      </c>
      <c r="B5688" s="3" t="s">
        <v>2</v>
      </c>
      <c r="C5688" s="2" t="str">
        <f ca="1">IFERROR(__xludf.DUMMYFUNCTION("GOOGLETRANSLATE(A5688,""bn"",""en"")"),"The average value of beads is fine")</f>
        <v>The average value of beads is fine</v>
      </c>
    </row>
    <row r="5689" spans="1:3" ht="15.75" customHeight="1" x14ac:dyDescent="0.25">
      <c r="A5689" s="2" t="s">
        <v>5691</v>
      </c>
      <c r="B5689" s="3" t="s">
        <v>4</v>
      </c>
      <c r="C5689" s="2" t="str">
        <f ca="1">IFERROR(__xludf.DUMMYFUNCTION("GOOGLETRANSLATE(A5689,""bn"",""en"")"),"Very useful ")</f>
        <v xml:space="preserve">Very useful </v>
      </c>
    </row>
    <row r="5690" spans="1:3" ht="15.75" customHeight="1" x14ac:dyDescent="0.25">
      <c r="A5690" s="2" t="s">
        <v>5692</v>
      </c>
      <c r="B5690" s="3" t="s">
        <v>4</v>
      </c>
      <c r="C5690" s="2" t="str">
        <f ca="1">IFERROR(__xludf.DUMMYFUNCTION("GOOGLETRANSLATE(A5690,""bn"",""en"")"),"The legs of the chairs are strong and stable")</f>
        <v>The legs of the chairs are strong and stable</v>
      </c>
    </row>
    <row r="5691" spans="1:3" ht="15.75" customHeight="1" x14ac:dyDescent="0.25">
      <c r="A5691" s="2" t="s">
        <v>5693</v>
      </c>
      <c r="B5691" s="3" t="s">
        <v>4</v>
      </c>
      <c r="C5691" s="2" t="str">
        <f ca="1">IFERROR(__xludf.DUMMYFUNCTION("GOOGLETRANSLATE(A5691,""bn"",""en"")"),"Device OS updates are regular and reliable")</f>
        <v>Device OS updates are regular and reliable</v>
      </c>
    </row>
    <row r="5692" spans="1:3" ht="15.75" customHeight="1" x14ac:dyDescent="0.25">
      <c r="A5692" s="2" t="s">
        <v>5694</v>
      </c>
      <c r="B5692" s="3" t="s">
        <v>4</v>
      </c>
      <c r="C5692" s="2" t="str">
        <f ca="1">IFERROR(__xludf.DUMMYFUNCTION("GOOGLETRANSLATE(A5692,""bn"",""en"")"),"This is at the top of my favorites list")</f>
        <v>This is at the top of my favorites list</v>
      </c>
    </row>
    <row r="5693" spans="1:3" ht="15.75" customHeight="1" x14ac:dyDescent="0.25">
      <c r="A5693" s="2" t="s">
        <v>5695</v>
      </c>
      <c r="B5693" s="3" t="s">
        <v>4</v>
      </c>
      <c r="C5693" s="2" t="str">
        <f ca="1">IFERROR(__xludf.DUMMYFUNCTION("GOOGLETRANSLATE(A5693,""bn"",""en"")"),"The taste of honey is very sweet and mild")</f>
        <v>The taste of honey is very sweet and mild</v>
      </c>
    </row>
    <row r="5694" spans="1:3" ht="15.75" customHeight="1" x14ac:dyDescent="0.25">
      <c r="A5694" s="2" t="s">
        <v>5696</v>
      </c>
      <c r="B5694" s="3" t="s">
        <v>6</v>
      </c>
      <c r="C5694" s="2" t="str">
        <f ca="1">IFERROR(__xludf.DUMMYFUNCTION("GOOGLETRANSLATE(A5694,""bn"",""en"")"),"Nonstick coatings on electric frying pans wear out quickly")</f>
        <v>Nonstick coatings on electric frying pans wear out quickly</v>
      </c>
    </row>
    <row r="5695" spans="1:3" ht="15.75" customHeight="1" x14ac:dyDescent="0.25">
      <c r="A5695" s="2" t="s">
        <v>5697</v>
      </c>
      <c r="B5695" s="3" t="s">
        <v>2</v>
      </c>
      <c r="C5695" s="2" t="str">
        <f ca="1">IFERROR(__xludf.DUMMYFUNCTION("GOOGLETRANSLATE(A5695,""bn"",""en"")"),"Video is good but there is a question about durability")</f>
        <v>Video is good but there is a question about durability</v>
      </c>
    </row>
    <row r="5696" spans="1:3" ht="15.75" customHeight="1" x14ac:dyDescent="0.25">
      <c r="A5696" s="2" t="s">
        <v>5698</v>
      </c>
      <c r="B5696" s="3" t="s">
        <v>6</v>
      </c>
      <c r="C5696" s="2" t="str">
        <f ca="1">IFERROR(__xludf.DUMMYFUNCTION("GOOGLETRANSLATE(A5696,""bn"",""en"")"),"The TV stand was flimsy and unstable which created a safety hazard")</f>
        <v>The TV stand was flimsy and unstable which created a safety hazard</v>
      </c>
    </row>
    <row r="5697" spans="1:3" ht="15.75" customHeight="1" x14ac:dyDescent="0.25">
      <c r="A5697" s="2" t="s">
        <v>5699</v>
      </c>
      <c r="B5697" s="3" t="s">
        <v>4</v>
      </c>
      <c r="C5697" s="2" t="str">
        <f ca="1">IFERROR(__xludf.DUMMYFUNCTION("GOOGLETRANSLATE(A5697,""bn"",""en"")")," Only took it for the nest cam, very good ")</f>
        <v xml:space="preserve"> Only took it for the nest cam, very good </v>
      </c>
    </row>
    <row r="5698" spans="1:3" ht="15.75" customHeight="1" x14ac:dyDescent="0.25">
      <c r="A5698" s="2" t="s">
        <v>5700</v>
      </c>
      <c r="B5698" s="3" t="s">
        <v>2</v>
      </c>
      <c r="C5698" s="2" t="str">
        <f ca="1">IFERROR(__xludf.DUMMYFUNCTION("GOOGLETRANSLATE(A5698,""bn"",""en"")"),"A good product but could be improved")</f>
        <v>A good product but could be improved</v>
      </c>
    </row>
    <row r="5699" spans="1:3" ht="15.75" customHeight="1" x14ac:dyDescent="0.25">
      <c r="A5699" s="2" t="s">
        <v>5701</v>
      </c>
      <c r="B5699" s="3" t="s">
        <v>4</v>
      </c>
      <c r="C5699" s="2" t="str">
        <f ca="1">IFERROR(__xludf.DUMMYFUNCTION("GOOGLETRANSLATE(A5699,""bn"",""en"")"),"Hair is so smooth after using this shampoo")</f>
        <v>Hair is so smooth after using this shampoo</v>
      </c>
    </row>
    <row r="5700" spans="1:3" ht="15.75" customHeight="1" x14ac:dyDescent="0.25">
      <c r="A5700" s="2" t="s">
        <v>5702</v>
      </c>
      <c r="B5700" s="3" t="s">
        <v>4</v>
      </c>
      <c r="C5700" s="2" t="str">
        <f ca="1">IFERROR(__xludf.DUMMYFUNCTION("GOOGLETRANSLATE(A5700,""bn"",""en"")"),"Stylish design suits my outfit")</f>
        <v>Stylish design suits my outfit</v>
      </c>
    </row>
    <row r="5701" spans="1:3" ht="15.75" customHeight="1" x14ac:dyDescent="0.25">
      <c r="A5701" s="2" t="s">
        <v>5703</v>
      </c>
      <c r="B5701" s="3" t="s">
        <v>4</v>
      </c>
      <c r="C5701" s="2" t="str">
        <f ca="1">IFERROR(__xludf.DUMMYFUNCTION("GOOGLETRANSLATE(A5701,""bn"",""en"")"),"The legs of the dining chairs are fitted with non-slip pads")</f>
        <v>The legs of the dining chairs are fitted with non-slip pads</v>
      </c>
    </row>
    <row r="5702" spans="1:3" ht="15.75" customHeight="1" x14ac:dyDescent="0.25">
      <c r="A5702" s="2" t="s">
        <v>5704</v>
      </c>
      <c r="B5702" s="3" t="s">
        <v>4</v>
      </c>
      <c r="C5702" s="2" t="str">
        <f ca="1">IFERROR(__xludf.DUMMYFUNCTION("GOOGLETRANSLATE(A5702,""bn"",""en"")"),"Control buttons are durable")</f>
        <v>Control buttons are durable</v>
      </c>
    </row>
    <row r="5703" spans="1:3" ht="15.75" customHeight="1" x14ac:dyDescent="0.25">
      <c r="A5703" s="2" t="s">
        <v>5705</v>
      </c>
      <c r="B5703" s="3" t="s">
        <v>4</v>
      </c>
      <c r="C5703" s="2" t="str">
        <f ca="1">IFERROR(__xludf.DUMMYFUNCTION("GOOGLETRANSLATE(A5703,""bn"",""en"")"),"Excellent security camera")</f>
        <v>Excellent security camera</v>
      </c>
    </row>
    <row r="5704" spans="1:3" ht="15.75" customHeight="1" x14ac:dyDescent="0.25">
      <c r="A5704" s="2" t="s">
        <v>5706</v>
      </c>
      <c r="B5704" s="3" t="s">
        <v>4</v>
      </c>
      <c r="C5704" s="2" t="str">
        <f ca="1">IFERROR(__xludf.DUMMYFUNCTION("GOOGLETRANSLATE(A5704,""bn"",""en"")"),"This shampoo is very effective in reducing hair fall")</f>
        <v>This shampoo is very effective in reducing hair fall</v>
      </c>
    </row>
    <row r="5705" spans="1:3" ht="15.75" customHeight="1" x14ac:dyDescent="0.25">
      <c r="A5705" s="2" t="s">
        <v>5707</v>
      </c>
      <c r="B5705" s="3" t="s">
        <v>2</v>
      </c>
      <c r="C5705" s="2" t="str">
        <f ca="1">IFERROR(__xludf.DUMMYFUNCTION("GOOGLETRANSLATE(A5705,""bn"",""en"")"),"Easy to put together but the price isn't great")</f>
        <v>Easy to put together but the price isn't great</v>
      </c>
    </row>
    <row r="5706" spans="1:3" ht="15.75" customHeight="1" x14ac:dyDescent="0.25">
      <c r="A5706" s="2" t="s">
        <v>5708</v>
      </c>
      <c r="B5706" s="3" t="s">
        <v>4</v>
      </c>
      <c r="C5706" s="2" t="str">
        <f ca="1">IFERROR(__xludf.DUMMYFUNCTION("GOOGLETRANSLATE(A5706,""bn"",""en"")"),"My phone is packed with smart features")</f>
        <v>My phone is packed with smart features</v>
      </c>
    </row>
    <row r="5707" spans="1:3" ht="15.75" customHeight="1" x14ac:dyDescent="0.25">
      <c r="A5707" s="2" t="s">
        <v>5709</v>
      </c>
      <c r="B5707" s="3" t="s">
        <v>2</v>
      </c>
      <c r="C5707" s="2" t="str">
        <f ca="1">IFERROR(__xludf.DUMMYFUNCTION("GOOGLETRANSLATE(A5707,""bn"",""en"")"),"The doormat retains mud but is inconvenient to wash")</f>
        <v>The doormat retains mud but is inconvenient to wash</v>
      </c>
    </row>
    <row r="5708" spans="1:3" ht="15.75" customHeight="1" x14ac:dyDescent="0.25">
      <c r="A5708" s="2" t="s">
        <v>5710</v>
      </c>
      <c r="B5708" s="3" t="s">
        <v>2</v>
      </c>
      <c r="C5708" s="2" t="str">
        <f ca="1">IFERROR(__xludf.DUMMYFUNCTION("GOOGLETRANSLATE(A5708,""bn"",""en"")"),"The bottle takes up space")</f>
        <v>The bottle takes up space</v>
      </c>
    </row>
    <row r="5709" spans="1:3" ht="15.75" customHeight="1" x14ac:dyDescent="0.25">
      <c r="A5709" s="2" t="s">
        <v>5711</v>
      </c>
      <c r="B5709" s="3" t="s">
        <v>6</v>
      </c>
      <c r="C5709" s="2" t="str">
        <f ca="1">IFERROR(__xludf.DUMMYFUNCTION("GOOGLETRANSLATE(A5709,""bn"",""en"")"),"The design lacks innovation, is dated and uninspired")</f>
        <v>The design lacks innovation, is dated and uninspired</v>
      </c>
    </row>
    <row r="5710" spans="1:3" ht="15.75" customHeight="1" x14ac:dyDescent="0.25">
      <c r="A5710" s="2" t="s">
        <v>5712</v>
      </c>
      <c r="B5710" s="3" t="s">
        <v>2</v>
      </c>
      <c r="C5710" s="2" t="str">
        <f ca="1">IFERROR(__xludf.DUMMYFUNCTION("GOOGLETRANSLATE(A5710,""bn"",""en"")"),"In some cases discrepancies between product description and reality have been observed")</f>
        <v>In some cases discrepancies between product description and reality have been observed</v>
      </c>
    </row>
    <row r="5711" spans="1:3" ht="15.75" customHeight="1" x14ac:dyDescent="0.25">
      <c r="A5711" s="2" t="s">
        <v>5713</v>
      </c>
      <c r="B5711" s="3" t="s">
        <v>6</v>
      </c>
      <c r="C5711" s="2" t="str">
        <f ca="1">IFERROR(__xludf.DUMMYFUNCTION("GOOGLETRANSLATE(A5711,""bn"",""en"")"),"The base of the blender vibrates excessively and moves around during use")</f>
        <v>The base of the blender vibrates excessively and moves around during use</v>
      </c>
    </row>
    <row r="5712" spans="1:3" ht="15.75" customHeight="1" x14ac:dyDescent="0.25">
      <c r="A5712" s="2" t="s">
        <v>5714</v>
      </c>
      <c r="B5712" s="3" t="s">
        <v>2</v>
      </c>
      <c r="C5712" s="2" t="str">
        <f ca="1">IFERROR(__xludf.DUMMYFUNCTION("GOOGLETRANSLATE(A5712,""bn"",""en"")"),"Found some benefit in using this fertilizer but could not be completely satisfied")</f>
        <v>Found some benefit in using this fertilizer but could not be completely satisfied</v>
      </c>
    </row>
    <row r="5713" spans="1:3" ht="15.75" customHeight="1" x14ac:dyDescent="0.25">
      <c r="A5713" s="2" t="s">
        <v>5715</v>
      </c>
      <c r="B5713" s="3" t="s">
        <v>6</v>
      </c>
      <c r="C5713" s="2" t="str">
        <f ca="1">IFERROR(__xludf.DUMMYFUNCTION("GOOGLETRANSLATE(A5713,""bn"",""en"")"),"The unstable lid closes unexpectedly causing a mess")</f>
        <v>The unstable lid closes unexpectedly causing a mess</v>
      </c>
    </row>
    <row r="5714" spans="1:3" ht="15.75" customHeight="1" x14ac:dyDescent="0.25">
      <c r="A5714" s="2" t="s">
        <v>5716</v>
      </c>
      <c r="B5714" s="3" t="s">
        <v>6</v>
      </c>
      <c r="C5714" s="2" t="str">
        <f ca="1">IFERROR(__xludf.DUMMYFUNCTION("GOOGLETRANSLATE(A5714,""bn"",""en"")"),"Overheating is dangerous")</f>
        <v>Overheating is dangerous</v>
      </c>
    </row>
    <row r="5715" spans="1:3" ht="15.75" customHeight="1" x14ac:dyDescent="0.25">
      <c r="A5715" s="2" t="s">
        <v>5717</v>
      </c>
      <c r="B5715" s="3" t="s">
        <v>2</v>
      </c>
      <c r="C5715" s="2" t="str">
        <f ca="1">IFERROR(__xludf.DUMMYFUNCTION("GOOGLETRANSLATE(A5715,""bn"",""en"")"),"There is a turbo heating mode")</f>
        <v>There is a turbo heating mode</v>
      </c>
    </row>
    <row r="5716" spans="1:3" ht="15.75" customHeight="1" x14ac:dyDescent="0.25">
      <c r="A5716" s="2" t="s">
        <v>5718</v>
      </c>
      <c r="B5716" s="3" t="s">
        <v>4</v>
      </c>
      <c r="C5716" s="2" t="str">
        <f ca="1">IFERROR(__xludf.DUMMYFUNCTION("GOOGLETRANSLATE(A5716,""bn"",""en"")"),"The use of color shading and lighting is superb")</f>
        <v>The use of color shading and lighting is superb</v>
      </c>
    </row>
    <row r="5717" spans="1:3" ht="15.75" customHeight="1" x14ac:dyDescent="0.25">
      <c r="A5717" s="2" t="s">
        <v>5719</v>
      </c>
      <c r="B5717" s="3" t="s">
        <v>6</v>
      </c>
      <c r="C5717" s="2" t="str">
        <f ca="1">IFERROR(__xludf.DUMMYFUNCTION("GOOGLETRANSLATE(A5717,""bn"",""en"")"),"The edges of the item were very sharp and there was a risk of cuts and injuries")</f>
        <v>The edges of the item were very sharp and there was a risk of cuts and injuries</v>
      </c>
    </row>
    <row r="5718" spans="1:3" ht="15.75" customHeight="1" x14ac:dyDescent="0.25">
      <c r="A5718" s="2" t="s">
        <v>5720</v>
      </c>
      <c r="B5718" s="3" t="s">
        <v>4</v>
      </c>
      <c r="C5718" s="2" t="str">
        <f ca="1">IFERROR(__xludf.DUMMYFUNCTION("GOOGLETRANSLATE(A5718,""bn"",""en"")"),"The thermal management of the mobile is excellent")</f>
        <v>The thermal management of the mobile is excellent</v>
      </c>
    </row>
    <row r="5719" spans="1:3" ht="15.75" customHeight="1" x14ac:dyDescent="0.25">
      <c r="A5719" s="2" t="s">
        <v>5721</v>
      </c>
      <c r="B5719" s="3" t="s">
        <v>4</v>
      </c>
      <c r="C5719" s="2" t="str">
        <f ca="1">IFERROR(__xludf.DUMMYFUNCTION("GOOGLETRANSLATE(A5719,""bn"",""en"")"),"Enjoy every bite")</f>
        <v>Enjoy every bite</v>
      </c>
    </row>
    <row r="5720" spans="1:3" ht="15.75" customHeight="1" x14ac:dyDescent="0.25">
      <c r="A5720" s="2" t="s">
        <v>5722</v>
      </c>
      <c r="B5720" s="3" t="s">
        <v>4</v>
      </c>
      <c r="C5720" s="2" t="str">
        <f ca="1">IFERROR(__xludf.DUMMYFUNCTION("GOOGLETRANSLATE(A5720,""bn"",""en"")"),"I recently purchased a new color box and am extremely happy using it ")</f>
        <v xml:space="preserve">I recently purchased a new color box and am extremely happy using it </v>
      </c>
    </row>
    <row r="5721" spans="1:3" ht="15.75" customHeight="1" x14ac:dyDescent="0.25">
      <c r="A5721" s="2" t="s">
        <v>5723</v>
      </c>
      <c r="B5721" s="3" t="s">
        <v>6</v>
      </c>
      <c r="C5721" s="2" t="str">
        <f ca="1">IFERROR(__xludf.DUMMYFUNCTION("GOOGLETRANSLATE(A5721,""bn"",""en"")")," Buttons are difficult to press or separate resulting in accidental presses or difficulty controlling playback")</f>
        <v xml:space="preserve"> Buttons are difficult to press or separate resulting in accidental presses or difficulty controlling playback</v>
      </c>
    </row>
    <row r="5722" spans="1:3" ht="15.75" customHeight="1" x14ac:dyDescent="0.25">
      <c r="A5722" s="2" t="s">
        <v>5724</v>
      </c>
      <c r="B5722" s="3" t="s">
        <v>2</v>
      </c>
      <c r="C5722" s="2" t="str">
        <f ca="1">IFERROR(__xludf.DUMMYFUNCTION("GOOGLETRANSLATE(A5722,""bn"",""en"")"),"The packet contains gram beans which are of medium size")</f>
        <v>The packet contains gram beans which are of medium size</v>
      </c>
    </row>
    <row r="5723" spans="1:3" ht="15.75" customHeight="1" x14ac:dyDescent="0.25">
      <c r="A5723" s="2" t="s">
        <v>5725</v>
      </c>
      <c r="B5723" s="3" t="s">
        <v>2</v>
      </c>
      <c r="C5723" s="2" t="str">
        <f ca="1">IFERROR(__xludf.DUMMYFUNCTION("GOOGLETRANSLATE(A5723,""bn"",""en"")"),"Both fabric quality and price are average")</f>
        <v>Both fabric quality and price are average</v>
      </c>
    </row>
    <row r="5724" spans="1:3" ht="15.75" customHeight="1" x14ac:dyDescent="0.25">
      <c r="A5724" s="2" t="s">
        <v>5726</v>
      </c>
      <c r="B5724" s="3" t="s">
        <v>2</v>
      </c>
      <c r="C5724" s="2" t="str">
        <f ca="1">IFERROR(__xludf.DUMMYFUNCTION("GOOGLETRANSLATE(A5724,""bn"",""en"")"),"Good products have some limitations")</f>
        <v>Good products have some limitations</v>
      </c>
    </row>
    <row r="5725" spans="1:3" ht="15.75" customHeight="1" x14ac:dyDescent="0.25">
      <c r="A5725" s="2" t="s">
        <v>5727</v>
      </c>
      <c r="B5725" s="3" t="s">
        <v>4</v>
      </c>
      <c r="C5725" s="2" t="str">
        <f ca="1">IFERROR(__xludf.DUMMYFUNCTION("GOOGLETRANSLATE(A5725,""bn"",""en"")"),"Helps to keep the bed warm")</f>
        <v>Helps to keep the bed warm</v>
      </c>
    </row>
    <row r="5726" spans="1:3" ht="15.75" customHeight="1" x14ac:dyDescent="0.25">
      <c r="A5726" s="2" t="s">
        <v>5728</v>
      </c>
      <c r="B5726" s="3" t="s">
        <v>2</v>
      </c>
      <c r="C5726" s="2" t="str">
        <f ca="1">IFERROR(__xludf.DUMMYFUNCTION("GOOGLETRANSLATE(A5726,""bn"",""en"")"),"The switch sometimes gets stuck")</f>
        <v>The switch sometimes gets stuck</v>
      </c>
    </row>
    <row r="5727" spans="1:3" ht="15.75" customHeight="1" x14ac:dyDescent="0.25">
      <c r="A5727" s="2" t="s">
        <v>5729</v>
      </c>
      <c r="B5727" s="3" t="s">
        <v>6</v>
      </c>
      <c r="C5727" s="2" t="str">
        <f ca="1">IFERROR(__xludf.DUMMYFUNCTION("GOOGLETRANSLATE(A5727,""bn"",""en"")"),"The smart thermostat's WiFi signal is weak and frequently loses connection")</f>
        <v>The smart thermostat's WiFi signal is weak and frequently loses connection</v>
      </c>
    </row>
    <row r="5728" spans="1:3" ht="15.75" customHeight="1" x14ac:dyDescent="0.25">
      <c r="A5728" s="2" t="s">
        <v>5730</v>
      </c>
      <c r="B5728" s="3" t="s">
        <v>6</v>
      </c>
      <c r="C5728" s="2" t="str">
        <f ca="1">IFERROR(__xludf.DUMMYFUNCTION("GOOGLETRANSLATE(A5728,""bn"",""en"")"),"The hair spray had a strong scent that gave me a headache")</f>
        <v>The hair spray had a strong scent that gave me a headache</v>
      </c>
    </row>
    <row r="5729" spans="1:3" ht="15.75" customHeight="1" x14ac:dyDescent="0.25">
      <c r="A5729" s="2" t="s">
        <v>5731</v>
      </c>
      <c r="B5729" s="3" t="s">
        <v>6</v>
      </c>
      <c r="C5729" s="2" t="str">
        <f ca="1">IFERROR(__xludf.DUMMYFUNCTION("GOOGLETRANSLATE(A5729,""bn"",""en"")"),"Packaged gravy mixes had a salty taste and a glossy texture that lacked the richness of homemade gravy.")</f>
        <v>Packaged gravy mixes had a salty taste and a glossy texture that lacked the richness of homemade gravy.</v>
      </c>
    </row>
    <row r="5730" spans="1:3" ht="15.75" customHeight="1" x14ac:dyDescent="0.25">
      <c r="A5730" s="2" t="s">
        <v>5732</v>
      </c>
      <c r="B5730" s="3" t="s">
        <v>2</v>
      </c>
      <c r="C5730" s="2" t="str">
        <f ca="1">IFERROR(__xludf.DUMMYFUNCTION("GOOGLETRANSLATE(A5730,""bn"",""en"")"),"Somewhat nice not so great")</f>
        <v>Somewhat nice not so great</v>
      </c>
    </row>
    <row r="5731" spans="1:3" ht="15.75" customHeight="1" x14ac:dyDescent="0.25">
      <c r="A5731" s="2" t="s">
        <v>5733</v>
      </c>
      <c r="B5731" s="3" t="s">
        <v>4</v>
      </c>
      <c r="C5731" s="2" t="str">
        <f ca="1">IFERROR(__xludf.DUMMYFUNCTION("GOOGLETRANSLATE(A5731,""bn"",""en"")"),"It is very useful for dental health")</f>
        <v>It is very useful for dental health</v>
      </c>
    </row>
    <row r="5732" spans="1:3" ht="15.75" customHeight="1" x14ac:dyDescent="0.25">
      <c r="A5732" s="2" t="s">
        <v>5734</v>
      </c>
      <c r="B5732" s="3" t="s">
        <v>6</v>
      </c>
      <c r="C5732" s="2" t="str">
        <f ca="1">IFERROR(__xludf.DUMMYFUNCTION("GOOGLETRANSLATE(A5732,""bn"",""en"")"),"The smell was very bitter overpowering any subtlety of the tea")</f>
        <v>The smell was very bitter overpowering any subtlety of the tea</v>
      </c>
    </row>
    <row r="5733" spans="1:3" ht="15.75" customHeight="1" x14ac:dyDescent="0.25">
      <c r="A5733" s="2" t="s">
        <v>5735</v>
      </c>
      <c r="B5733" s="3" t="s">
        <v>2</v>
      </c>
      <c r="C5733" s="2" t="str">
        <f ca="1">IFERROR(__xludf.DUMMYFUNCTION("GOOGLETRANSLATE(A5733,""bn"",""en"")"),"The design is nothing special")</f>
        <v>The design is nothing special</v>
      </c>
    </row>
    <row r="5734" spans="1:3" ht="15.75" customHeight="1" x14ac:dyDescent="0.25">
      <c r="A5734" s="2" t="s">
        <v>5736</v>
      </c>
      <c r="B5734" s="3" t="s">
        <v>6</v>
      </c>
      <c r="C5734" s="2" t="str">
        <f ca="1">IFERROR(__xludf.DUMMYFUNCTION("GOOGLETRANSLATE(A5734,""bn"",""en"")"),"Eyeshadow palettes contain repetitive shades that limit creativity in eye looks")</f>
        <v>Eyeshadow palettes contain repetitive shades that limit creativity in eye looks</v>
      </c>
    </row>
    <row r="5735" spans="1:3" ht="15.75" customHeight="1" x14ac:dyDescent="0.25">
      <c r="A5735" s="2" t="s">
        <v>5737</v>
      </c>
      <c r="B5735" s="3" t="s">
        <v>6</v>
      </c>
      <c r="C5735" s="2" t="str">
        <f ca="1">IFERROR(__xludf.DUMMYFUNCTION("GOOGLETRANSLATE(A5735,""bn"",""en"")")," The design is impractical with wasted space and inefficient storage arrangements")</f>
        <v xml:space="preserve"> The design is impractical with wasted space and inefficient storage arrangements</v>
      </c>
    </row>
    <row r="5736" spans="1:3" ht="15.75" customHeight="1" x14ac:dyDescent="0.25">
      <c r="A5736" s="2" t="s">
        <v>5738</v>
      </c>
      <c r="B5736" s="3" t="s">
        <v>4</v>
      </c>
      <c r="C5736" s="2" t="str">
        <f ca="1">IFERROR(__xludf.DUMMYFUNCTION("GOOGLETRANSLATE(A5736,""bn"",""en"")"),"Honey is very nutritious and healthy")</f>
        <v>Honey is very nutritious and healthy</v>
      </c>
    </row>
    <row r="5737" spans="1:3" ht="15.75" customHeight="1" x14ac:dyDescent="0.25">
      <c r="A5737" s="2" t="s">
        <v>5739</v>
      </c>
      <c r="B5737" s="3" t="s">
        <v>2</v>
      </c>
      <c r="C5737" s="2" t="str">
        <f ca="1">IFERROR(__xludf.DUMMYFUNCTION("GOOGLETRANSLATE(A5737,""bn"",""en"")"),"Works but no extra benefits")</f>
        <v>Works but no extra benefits</v>
      </c>
    </row>
    <row r="5738" spans="1:3" ht="15.75" customHeight="1" x14ac:dyDescent="0.25">
      <c r="A5738" s="2" t="s">
        <v>5740</v>
      </c>
      <c r="B5738" s="3" t="s">
        <v>4</v>
      </c>
      <c r="C5738" s="2" t="str">
        <f ca="1">IFERROR(__xludf.DUMMYFUNCTION("GOOGLETRANSLATE(A5738,""bn"",""en"")"),"Takes up very little space after folding and can be stored in a small bag")</f>
        <v>Takes up very little space after folding and can be stored in a small bag</v>
      </c>
    </row>
    <row r="5739" spans="1:3" ht="15.75" customHeight="1" x14ac:dyDescent="0.25">
      <c r="A5739" s="2" t="s">
        <v>5741</v>
      </c>
      <c r="B5739" s="3" t="s">
        <v>6</v>
      </c>
      <c r="C5739" s="2" t="str">
        <f ca="1">IFERROR(__xludf.DUMMYFUNCTION("GOOGLETRANSLATE(A5739,""bn"",""en"")"),"The extra cost for quality was not worth the investment")</f>
        <v>The extra cost for quality was not worth the investment</v>
      </c>
    </row>
    <row r="5740" spans="1:3" ht="15.75" customHeight="1" x14ac:dyDescent="0.25">
      <c r="A5740" s="2" t="s">
        <v>5742</v>
      </c>
      <c r="B5740" s="3" t="s">
        <v>6</v>
      </c>
      <c r="C5740" s="2" t="str">
        <f ca="1">IFERROR(__xludf.DUMMYFUNCTION("GOOGLETRANSLATE(A5740,""bn"",""en"")"),"The remote control buttons were poorly labeled which made navigation confusing")</f>
        <v>The remote control buttons were poorly labeled which made navigation confusing</v>
      </c>
    </row>
    <row r="5741" spans="1:3" ht="15.75" customHeight="1" x14ac:dyDescent="0.25">
      <c r="A5741" s="2" t="s">
        <v>5743</v>
      </c>
      <c r="B5741" s="3" t="s">
        <v>6</v>
      </c>
      <c r="C5741" s="2" t="str">
        <f ca="1">IFERROR(__xludf.DUMMYFUNCTION("GOOGLETRANSLATE(A5741,""bn"",""en"")"),"The formula strips the hair of natural oils resulting in dryness and frizz")</f>
        <v>The formula strips the hair of natural oils resulting in dryness and frizz</v>
      </c>
    </row>
    <row r="5742" spans="1:3" ht="15.75" customHeight="1" x14ac:dyDescent="0.25">
      <c r="A5742" s="2" t="s">
        <v>5744</v>
      </c>
      <c r="B5742" s="3" t="s">
        <v>6</v>
      </c>
      <c r="C5742" s="2" t="str">
        <f ca="1">IFERROR(__xludf.DUMMYFUNCTION("GOOGLETRANSLATE(A5742,""bn"",""en"")"),"The concealer settles into fine lines and clarifies without hiding them")</f>
        <v>The concealer settles into fine lines and clarifies without hiding them</v>
      </c>
    </row>
    <row r="5743" spans="1:3" ht="15.75" customHeight="1" x14ac:dyDescent="0.25">
      <c r="A5743" s="2" t="s">
        <v>5745</v>
      </c>
      <c r="B5743" s="3" t="s">
        <v>2</v>
      </c>
      <c r="C5743" s="2" t="str">
        <f ca="1">IFERROR(__xludf.DUMMYFUNCTION("GOOGLETRANSLATE(A5743,""bn"",""en"")"),"Literally one of my best purchases not for everyone")</f>
        <v>Literally one of my best purchases not for everyone</v>
      </c>
    </row>
    <row r="5744" spans="1:3" ht="15.75" customHeight="1" x14ac:dyDescent="0.25">
      <c r="A5744" s="2" t="s">
        <v>5746</v>
      </c>
      <c r="B5744" s="3" t="s">
        <v>4</v>
      </c>
      <c r="C5744" s="2" t="str">
        <f ca="1">IFERROR(__xludf.DUMMYFUNCTION("GOOGLETRANSLATE(A5744,""bn"",""en"")"),"The quantity is good for the price and will last a long time")</f>
        <v>The quantity is good for the price and will last a long time</v>
      </c>
    </row>
    <row r="5745" spans="1:3" ht="15.75" customHeight="1" x14ac:dyDescent="0.25">
      <c r="A5745" s="2" t="s">
        <v>5747</v>
      </c>
      <c r="B5745" s="3" t="s">
        <v>6</v>
      </c>
      <c r="C5745" s="2" t="str">
        <f ca="1">IFERROR(__xludf.DUMMYFUNCTION("GOOGLETRANSLATE(A5745,""bn"",""en"")"),"The liquid eyeliner formula is watery which results in smudges and uneven lines")</f>
        <v>The liquid eyeliner formula is watery which results in smudges and uneven lines</v>
      </c>
    </row>
    <row r="5746" spans="1:3" ht="15.75" customHeight="1" x14ac:dyDescent="0.25">
      <c r="A5746" s="2" t="s">
        <v>5748</v>
      </c>
      <c r="B5746" s="3" t="s">
        <v>6</v>
      </c>
      <c r="C5746" s="2" t="str">
        <f ca="1">IFERROR(__xludf.DUMMYFUNCTION("GOOGLETRANSLATE(A5746,""bn"",""en"")"),"The tea tasted stale and lacked freshness and aroma")</f>
        <v>The tea tasted stale and lacked freshness and aroma</v>
      </c>
    </row>
    <row r="5747" spans="1:3" ht="15.75" customHeight="1" x14ac:dyDescent="0.25">
      <c r="A5747" s="2" t="s">
        <v>5749</v>
      </c>
      <c r="B5747" s="3" t="s">
        <v>4</v>
      </c>
      <c r="C5747" s="2" t="str">
        <f ca="1">IFERROR(__xludf.DUMMYFUNCTION("GOOGLETRANSLATE(A5747,""bn"",""en"")"),"The water bottle keeps drinks hot or cold for a long time")</f>
        <v>The water bottle keeps drinks hot or cold for a long time</v>
      </c>
    </row>
    <row r="5748" spans="1:3" ht="15.75" customHeight="1" x14ac:dyDescent="0.25">
      <c r="A5748" s="2" t="s">
        <v>5750</v>
      </c>
      <c r="B5748" s="3" t="s">
        <v>4</v>
      </c>
      <c r="C5748" s="2" t="str">
        <f ca="1">IFERROR(__xludf.DUMMYFUNCTION("GOOGLETRANSLATE(A5748,""bn"",""en"")"),"The color is right according to the season")</f>
        <v>The color is right according to the season</v>
      </c>
    </row>
    <row r="5749" spans="1:3" ht="15.75" customHeight="1" x14ac:dyDescent="0.25">
      <c r="A5749" s="2" t="s">
        <v>5751</v>
      </c>
      <c r="B5749" s="3" t="s">
        <v>6</v>
      </c>
      <c r="C5749" s="2" t="str">
        <f ca="1">IFERROR(__xludf.DUMMYFUNCTION("GOOGLETRANSLATE(A5749,""bn"",""en"")"),"Shapeless silhouette due to the lack of structure in the garment")</f>
        <v>Shapeless silhouette due to the lack of structure in the garment</v>
      </c>
    </row>
    <row r="5750" spans="1:3" ht="15.75" customHeight="1" x14ac:dyDescent="0.25">
      <c r="A5750" s="2" t="s">
        <v>5752</v>
      </c>
      <c r="B5750" s="3" t="s">
        <v>4</v>
      </c>
      <c r="C5750" s="2" t="str">
        <f ca="1">IFERROR(__xludf.DUMMYFUNCTION("GOOGLETRANSLATE(A5750,""bn"",""en"")"),"After using this shampoo the hair becomes very nice and soft")</f>
        <v>After using this shampoo the hair becomes very nice and soft</v>
      </c>
    </row>
    <row r="5751" spans="1:3" ht="15.75" customHeight="1" x14ac:dyDescent="0.25">
      <c r="A5751" s="2" t="s">
        <v>5753</v>
      </c>
      <c r="B5751" s="3" t="s">
        <v>2</v>
      </c>
      <c r="C5751" s="2" t="str">
        <f ca="1">IFERROR(__xludf.DUMMYFUNCTION("GOOGLETRANSLATE(A5751,""bn"",""en"")"),"Just average quality")</f>
        <v>Just average quality</v>
      </c>
    </row>
    <row r="5752" spans="1:3" ht="15.75" customHeight="1" x14ac:dyDescent="0.25">
      <c r="A5752" s="2" t="s">
        <v>5754</v>
      </c>
      <c r="B5752" s="3" t="s">
        <v>2</v>
      </c>
      <c r="C5752" s="2" t="str">
        <f ca="1">IFERROR(__xludf.DUMMYFUNCTION("GOOGLETRANSLATE(A5752,""bn"",""en"")"),"The instructions specify the steps required to complete the task")</f>
        <v>The instructions specify the steps required to complete the task</v>
      </c>
    </row>
    <row r="5753" spans="1:3" ht="15.75" customHeight="1" x14ac:dyDescent="0.25">
      <c r="A5753" s="2" t="s">
        <v>5755</v>
      </c>
      <c r="B5753" s="3" t="s">
        <v>4</v>
      </c>
      <c r="C5753" s="2" t="str">
        <f ca="1">IFERROR(__xludf.DUMMYFUNCTION("GOOGLETRANSLATE(A5753,""bn"",""en"")"),"Warranty service is very good they solve any problem quickly")</f>
        <v>Warranty service is very good they solve any problem quickly</v>
      </c>
    </row>
    <row r="5754" spans="1:3" ht="15.75" customHeight="1" x14ac:dyDescent="0.25">
      <c r="A5754" s="2" t="s">
        <v>5756</v>
      </c>
      <c r="B5754" s="3" t="s">
        <v>2</v>
      </c>
      <c r="C5754" s="2" t="str">
        <f ca="1">IFERROR(__xludf.DUMMYFUNCTION("GOOGLETRANSLATE(A5754,""bn"",""en"")"),"The bag has a satisfactory look but is not extraordinary")</f>
        <v>The bag has a satisfactory look but is not extraordinary</v>
      </c>
    </row>
    <row r="5755" spans="1:3" ht="15.75" customHeight="1" x14ac:dyDescent="0.25">
      <c r="A5755" s="2" t="s">
        <v>5757</v>
      </c>
      <c r="B5755" s="3" t="s">
        <v>2</v>
      </c>
      <c r="C5755" s="2" t="str">
        <f ca="1">IFERROR(__xludf.DUMMYFUNCTION("GOOGLETRANSLATE(A5755,""bn"",""en"")"),"The reliability of the camera can be questioned")</f>
        <v>The reliability of the camera can be questioned</v>
      </c>
    </row>
    <row r="5756" spans="1:3" ht="15.75" customHeight="1" x14ac:dyDescent="0.25">
      <c r="A5756" s="2" t="s">
        <v>5758</v>
      </c>
      <c r="B5756" s="3" t="s">
        <v>4</v>
      </c>
      <c r="C5756" s="2" t="str">
        <f ca="1">IFERROR(__xludf.DUMMYFUNCTION("GOOGLETRANSLATE(A5756,""bn"",""en"")"),"I have noticed that these pots hold heat very well and my food stays hot for a long time which I really like")</f>
        <v>I have noticed that these pots hold heat very well and my food stays hot for a long time which I really like</v>
      </c>
    </row>
    <row r="5757" spans="1:3" ht="15.75" customHeight="1" x14ac:dyDescent="0.25">
      <c r="A5757" s="2" t="s">
        <v>5759</v>
      </c>
      <c r="B5757" s="3" t="s">
        <v>2</v>
      </c>
      <c r="C5757" s="2" t="str">
        <f ca="1">IFERROR(__xludf.DUMMYFUNCTION("GOOGLETRANSLATE(A5757,""bn"",""en"")"),"Not sure about the durability yet")</f>
        <v>Not sure about the durability yet</v>
      </c>
    </row>
    <row r="5758" spans="1:3" ht="15.75" customHeight="1" x14ac:dyDescent="0.25">
      <c r="A5758" s="2" t="s">
        <v>5760</v>
      </c>
      <c r="B5758" s="3" t="s">
        <v>2</v>
      </c>
      <c r="C5758" s="2" t="str">
        <f ca="1">IFERROR(__xludf.DUMMYFUNCTION("GOOGLETRANSLATE(A5758,""bn"",""en"")"),"The base is made of metal, possibly steel")</f>
        <v>The base is made of metal, possibly steel</v>
      </c>
    </row>
    <row r="5759" spans="1:3" ht="15.75" customHeight="1" x14ac:dyDescent="0.25">
      <c r="A5759" s="2" t="s">
        <v>5761</v>
      </c>
      <c r="B5759" s="3" t="s">
        <v>6</v>
      </c>
      <c r="C5759" s="2" t="str">
        <f ca="1">IFERROR(__xludf.DUMMYFUNCTION("GOOGLETRANSLATE(A5759,""bn"",""en"")"),"The phone's notification system is inconsistent sometimes failing to alert users of incoming calls or messages")</f>
        <v>The phone's notification system is inconsistent sometimes failing to alert users of incoming calls or messages</v>
      </c>
    </row>
    <row r="5760" spans="1:3" ht="15.75" customHeight="1" x14ac:dyDescent="0.25">
      <c r="A5760" s="2" t="s">
        <v>5762</v>
      </c>
      <c r="B5760" s="3" t="s">
        <v>2</v>
      </c>
      <c r="C5760" s="2" t="str">
        <f ca="1">IFERROR(__xludf.DUMMYFUNCTION("GOOGLETRANSLATE(A5760,""bn"",""en"")"),"Paint brushes are useful but they are difficult to clean")</f>
        <v>Paint brushes are useful but they are difficult to clean</v>
      </c>
    </row>
    <row r="5761" spans="1:3" ht="15.75" customHeight="1" x14ac:dyDescent="0.25">
      <c r="A5761" s="2" t="s">
        <v>5763</v>
      </c>
      <c r="B5761" s="3" t="s">
        <v>4</v>
      </c>
      <c r="C5761" s="2" t="str">
        <f ca="1">IFERROR(__xludf.DUMMYFUNCTION("GOOGLETRANSLATE(A5761,""bn"",""en"")")," I gave a review after a day if you want you can read it")</f>
        <v xml:space="preserve"> I gave a review after a day if you want you can read it</v>
      </c>
    </row>
    <row r="5762" spans="1:3" ht="15.75" customHeight="1" x14ac:dyDescent="0.25">
      <c r="A5762" s="2" t="s">
        <v>5764</v>
      </c>
      <c r="B5762" s="3" t="s">
        <v>4</v>
      </c>
      <c r="C5762" s="2" t="str">
        <f ca="1">IFERROR(__xludf.DUMMYFUNCTION("GOOGLETRANSLATE(A5762,""bn"",""en"")"),"Ridiculous but really works ")</f>
        <v xml:space="preserve">Ridiculous but really works </v>
      </c>
    </row>
    <row r="5763" spans="1:3" ht="15.75" customHeight="1" x14ac:dyDescent="0.25">
      <c r="A5763" s="2" t="s">
        <v>5765</v>
      </c>
      <c r="B5763" s="3" t="s">
        <v>2</v>
      </c>
      <c r="C5763" s="2" t="str">
        <f ca="1">IFERROR(__xludf.DUMMYFUNCTION("GOOGLETRANSLATE(A5763,""bn"",""en"")"),"Cup size may not be suitable for small drinks")</f>
        <v>Cup size may not be suitable for small drinks</v>
      </c>
    </row>
    <row r="5764" spans="1:3" ht="15.75" customHeight="1" x14ac:dyDescent="0.25">
      <c r="A5764" s="2" t="s">
        <v>5766</v>
      </c>
      <c r="B5764" s="3" t="s">
        <v>2</v>
      </c>
      <c r="C5764" s="2" t="str">
        <f ca="1">IFERROR(__xludf.DUMMYFUNCTION("GOOGLETRANSLATE(A5764,""bn"",""en"")"),"The string of the racket is strong but the weight is heavy")</f>
        <v>The string of the racket is strong but the weight is heavy</v>
      </c>
    </row>
    <row r="5765" spans="1:3" ht="15.75" customHeight="1" x14ac:dyDescent="0.25">
      <c r="A5765" s="2" t="s">
        <v>5767</v>
      </c>
      <c r="B5765" s="3" t="s">
        <v>6</v>
      </c>
      <c r="C5765" s="2" t="str">
        <f ca="1">IFERROR(__xludf.DUMMYFUNCTION("GOOGLETRANSLATE(A5765,""bn"",""en"")"),"Unpleasant surprise by dirty rabbit spoiling the book")</f>
        <v>Unpleasant surprise by dirty rabbit spoiling the book</v>
      </c>
    </row>
    <row r="5766" spans="1:3" ht="15.75" customHeight="1" x14ac:dyDescent="0.25">
      <c r="A5766" s="2" t="s">
        <v>5768</v>
      </c>
      <c r="B5766" s="3" t="s">
        <v>4</v>
      </c>
      <c r="C5766" s="2" t="str">
        <f ca="1">IFERROR(__xludf.DUMMYFUNCTION("GOOGLETRANSLATE(A5766,""bn"",""en"")"),"Biscuits do not break which is convenient while eating")</f>
        <v>Biscuits do not break which is convenient while eating</v>
      </c>
    </row>
    <row r="5767" spans="1:3" ht="15.75" customHeight="1" x14ac:dyDescent="0.25">
      <c r="A5767" s="2" t="s">
        <v>5769</v>
      </c>
      <c r="B5767" s="3" t="s">
        <v>6</v>
      </c>
      <c r="C5767" s="2" t="str">
        <f ca="1">IFERROR(__xludf.DUMMYFUNCTION("GOOGLETRANSLATE(A5767,""bn"",""en"")"),"It didn't moisturize my skin enough")</f>
        <v>It didn't moisturize my skin enough</v>
      </c>
    </row>
    <row r="5768" spans="1:3" ht="15.75" customHeight="1" x14ac:dyDescent="0.25">
      <c r="A5768" s="2" t="s">
        <v>5770</v>
      </c>
      <c r="B5768" s="3" t="s">
        <v>4</v>
      </c>
      <c r="C5768" s="2" t="str">
        <f ca="1">IFERROR(__xludf.DUMMYFUNCTION("GOOGLETRANSLATE(A5768,""bn"",""en"")"),"Works great quality good value I am very happy")</f>
        <v>Works great quality good value I am very happy</v>
      </c>
    </row>
    <row r="5769" spans="1:3" ht="15.75" customHeight="1" x14ac:dyDescent="0.25">
      <c r="A5769" s="2" t="s">
        <v>5771</v>
      </c>
      <c r="B5769" s="3" t="s">
        <v>2</v>
      </c>
      <c r="C5769" s="2" t="str">
        <f ca="1">IFERROR(__xludf.DUMMYFUNCTION("GOOGLETRANSLATE(A5769,""bn"",""en"")"),"The electronic toilet paper dispenser dispenses paper, but the sensor occasionally misfires")</f>
        <v>The electronic toilet paper dispenser dispenses paper, but the sensor occasionally misfires</v>
      </c>
    </row>
    <row r="5770" spans="1:3" ht="15.75" customHeight="1" x14ac:dyDescent="0.25">
      <c r="A5770" s="2" t="s">
        <v>5772</v>
      </c>
      <c r="B5770" s="3" t="s">
        <v>6</v>
      </c>
      <c r="C5770" s="2" t="str">
        <f ca="1">IFERROR(__xludf.DUMMYFUNCTION("GOOGLETRANSLATE(A5770,""bn"",""en"")"),"False sizing charts lead to unwanted clothing joins due to a wrong fitting garment")</f>
        <v>False sizing charts lead to unwanted clothing joins due to a wrong fitting garment</v>
      </c>
    </row>
    <row r="5771" spans="1:3" ht="15.75" customHeight="1" x14ac:dyDescent="0.25">
      <c r="A5771" s="2" t="s">
        <v>5773</v>
      </c>
      <c r="B5771" s="3" t="s">
        <v>6</v>
      </c>
      <c r="C5771" s="2" t="str">
        <f ca="1">IFERROR(__xludf.DUMMYFUNCTION("GOOGLETRANSLATE(A5771,""bn"",""en"")"),"Nonstick coating of cookware is easily scratched contaminating food")</f>
        <v>Nonstick coating of cookware is easily scratched contaminating food</v>
      </c>
    </row>
    <row r="5772" spans="1:3" ht="15.75" customHeight="1" x14ac:dyDescent="0.25">
      <c r="A5772" s="2" t="s">
        <v>5774</v>
      </c>
      <c r="B5772" s="3" t="s">
        <v>6</v>
      </c>
      <c r="C5772" s="2" t="str">
        <f ca="1">IFERROR(__xludf.DUMMYFUNCTION("GOOGLETRANSLATE(A5772,""bn"",""en"")"),"was poorly ground resulting in uneven drainage")</f>
        <v>was poorly ground resulting in uneven drainage</v>
      </c>
    </row>
    <row r="5773" spans="1:3" ht="15.75" customHeight="1" x14ac:dyDescent="0.25">
      <c r="A5773" s="2" t="s">
        <v>5775</v>
      </c>
      <c r="B5773" s="3" t="s">
        <v>4</v>
      </c>
      <c r="C5773" s="2" t="str">
        <f ca="1">IFERROR(__xludf.DUMMYFUNCTION("GOOGLETRANSLATE(A5773,""bn"",""en"")"),"Gives a luxurious feel")</f>
        <v>Gives a luxurious feel</v>
      </c>
    </row>
    <row r="5774" spans="1:3" ht="15.75" customHeight="1" x14ac:dyDescent="0.25">
      <c r="A5774" s="2" t="s">
        <v>5776</v>
      </c>
      <c r="B5774" s="3" t="s">
        <v>4</v>
      </c>
      <c r="C5774" s="2" t="str">
        <f ca="1">IFERROR(__xludf.DUMMYFUNCTION("GOOGLETRANSLATE(A5774,""bn"",""en"")"),"I liked the cameras so much that I bought more ")</f>
        <v xml:space="preserve">I liked the cameras so much that I bought more </v>
      </c>
    </row>
    <row r="5775" spans="1:3" ht="15.75" customHeight="1" x14ac:dyDescent="0.25">
      <c r="A5775" s="2" t="s">
        <v>5777</v>
      </c>
      <c r="B5775" s="3" t="s">
        <v>2</v>
      </c>
      <c r="C5775" s="2" t="str">
        <f ca="1">IFERROR(__xludf.DUMMYFUNCTION("GOOGLETRANSLATE(A5775,""bn"",""en"")"),"The color of the toothpaste is plain white")</f>
        <v>The color of the toothpaste is plain white</v>
      </c>
    </row>
    <row r="5776" spans="1:3" ht="15.75" customHeight="1" x14ac:dyDescent="0.25">
      <c r="A5776" s="2" t="s">
        <v>5778</v>
      </c>
      <c r="B5776" s="3" t="s">
        <v>2</v>
      </c>
      <c r="C5776" s="2" t="str">
        <f ca="1">IFERROR(__xludf.DUMMYFUNCTION("GOOGLETRANSLATE(A5776,""bn"",""en"")"),"Can be refrigerated but becomes brittle in the cold")</f>
        <v>Can be refrigerated but becomes brittle in the cold</v>
      </c>
    </row>
    <row r="5777" spans="1:3" ht="15.75" customHeight="1" x14ac:dyDescent="0.25">
      <c r="A5777" s="2" t="s">
        <v>5779</v>
      </c>
      <c r="B5777" s="3" t="s">
        <v>4</v>
      </c>
      <c r="C5777" s="2" t="str">
        <f ca="1">IFERROR(__xludf.DUMMYFUNCTION("GOOGLETRANSLATE(A5777,""bn"",""en"")"),"The quality of the coffee indicates that it is made from the highest quality beans")</f>
        <v>The quality of the coffee indicates that it is made from the highest quality beans</v>
      </c>
    </row>
    <row r="5778" spans="1:3" ht="15.75" customHeight="1" x14ac:dyDescent="0.25">
      <c r="A5778" s="2" t="s">
        <v>5780</v>
      </c>
      <c r="B5778" s="3" t="s">
        <v>4</v>
      </c>
      <c r="C5778" s="2" t="str">
        <f ca="1">IFERROR(__xludf.DUMMYFUNCTION("GOOGLETRANSLATE(A5778,""bn"",""en"")"),"Great amp worked so well I bought a second one great product ")</f>
        <v xml:space="preserve">Great amp worked so well I bought a second one great product </v>
      </c>
    </row>
    <row r="5779" spans="1:3" ht="15.75" customHeight="1" x14ac:dyDescent="0.25">
      <c r="A5779" s="2" t="s">
        <v>5781</v>
      </c>
      <c r="B5779" s="3" t="s">
        <v>4</v>
      </c>
      <c r="C5779" s="2" t="str">
        <f ca="1">IFERROR(__xludf.DUMMYFUNCTION("GOOGLETRANSLATE(A5779,""bn"",""en"")"),"The beauty soap rejuvenates the skin")</f>
        <v>The beauty soap rejuvenates the skin</v>
      </c>
    </row>
    <row r="5780" spans="1:3" ht="15.75" customHeight="1" x14ac:dyDescent="0.25">
      <c r="A5780" s="2" t="s">
        <v>5782</v>
      </c>
      <c r="B5780" s="3" t="s">
        <v>6</v>
      </c>
      <c r="C5780" s="2" t="str">
        <f ca="1">IFERROR(__xludf.DUMMYFUNCTION("GOOGLETRANSLATE(A5780,""bn"",""en"")")," Door handle is poorly secured closing with minimal force")</f>
        <v xml:space="preserve"> Door handle is poorly secured closing with minimal force</v>
      </c>
    </row>
    <row r="5781" spans="1:3" ht="15.75" customHeight="1" x14ac:dyDescent="0.25">
      <c r="A5781" s="2" t="s">
        <v>5783</v>
      </c>
      <c r="B5781" s="3" t="s">
        <v>4</v>
      </c>
      <c r="C5781" s="2" t="str">
        <f ca="1">IFERROR(__xludf.DUMMYFUNCTION("GOOGLETRANSLATE(A5781,""bn"",""en"")"),"Bought at much lower price than other brands ")</f>
        <v xml:space="preserve">Bought at much lower price than other brands </v>
      </c>
    </row>
    <row r="5782" spans="1:3" ht="15.75" customHeight="1" x14ac:dyDescent="0.25">
      <c r="A5782" s="2" t="s">
        <v>5784</v>
      </c>
      <c r="B5782" s="3" t="s">
        <v>2</v>
      </c>
      <c r="C5782" s="2" t="str">
        <f ca="1">IFERROR(__xludf.DUMMYFUNCTION("GOOGLETRANSLATE(A5782,""bn"",""en"")"),"The cap of the bottle is open")</f>
        <v>The cap of the bottle is open</v>
      </c>
    </row>
    <row r="5783" spans="1:3" ht="15.75" customHeight="1" x14ac:dyDescent="0.25">
      <c r="A5783" s="2" t="s">
        <v>5785</v>
      </c>
      <c r="B5783" s="3" t="s">
        <v>6</v>
      </c>
      <c r="C5783" s="2" t="str">
        <f ca="1">IFERROR(__xludf.DUMMYFUNCTION("GOOGLETRANSLATE(A5783,""bn"",""en"")")," Audio output was out of sync with video causing lipsync issues")</f>
        <v xml:space="preserve"> Audio output was out of sync with video causing lipsync issues</v>
      </c>
    </row>
    <row r="5784" spans="1:3" ht="15.75" customHeight="1" x14ac:dyDescent="0.25">
      <c r="A5784" s="2" t="s">
        <v>5786</v>
      </c>
      <c r="B5784" s="3" t="s">
        <v>6</v>
      </c>
      <c r="C5784" s="2" t="str">
        <f ca="1">IFERROR(__xludf.DUMMYFUNCTION("GOOGLETRANSLATE(A5784,""bn"",""en"")"),"Repeated frustration with sizing leads to frustration")</f>
        <v>Repeated frustration with sizing leads to frustration</v>
      </c>
    </row>
    <row r="5785" spans="1:3" ht="15.75" customHeight="1" x14ac:dyDescent="0.25">
      <c r="A5785" s="2" t="s">
        <v>5787</v>
      </c>
      <c r="B5785" s="3" t="s">
        <v>4</v>
      </c>
      <c r="C5785" s="2" t="str">
        <f ca="1">IFERROR(__xludf.DUMMYFUNCTION("GOOGLETRANSLATE(A5785,""bn"",""en"")")," It is easily absorbed by the body ")</f>
        <v xml:space="preserve"> It is easily absorbed by the body </v>
      </c>
    </row>
    <row r="5786" spans="1:3" ht="15.75" customHeight="1" x14ac:dyDescent="0.25">
      <c r="A5786" s="2" t="s">
        <v>5788</v>
      </c>
      <c r="B5786" s="3" t="s">
        <v>2</v>
      </c>
      <c r="C5786" s="2" t="str">
        <f ca="1">IFERROR(__xludf.DUMMYFUNCTION("GOOGLETRANSLATE(A5786,""bn"",""en"")"),"Its reliability is somewhat uncertain")</f>
        <v>Its reliability is somewhat uncertain</v>
      </c>
    </row>
    <row r="5787" spans="1:3" ht="15.75" customHeight="1" x14ac:dyDescent="0.25">
      <c r="A5787" s="2" t="s">
        <v>5789</v>
      </c>
      <c r="B5787" s="3" t="s">
        <v>2</v>
      </c>
      <c r="C5787" s="2" t="str">
        <f ca="1">IFERROR(__xludf.DUMMYFUNCTION("GOOGLETRANSLATE(A5787,""bn"",""en"")"),"Pretty much right for beginners")</f>
        <v>Pretty much right for beginners</v>
      </c>
    </row>
    <row r="5788" spans="1:3" ht="15.75" customHeight="1" x14ac:dyDescent="0.25">
      <c r="A5788" s="2" t="s">
        <v>5790</v>
      </c>
      <c r="B5788" s="3" t="s">
        <v>6</v>
      </c>
      <c r="C5788" s="2" t="str">
        <f ca="1">IFERROR(__xludf.DUMMYFUNCTION("GOOGLETRANSLATE(A5788,""bn"",""en"")"),"A receipt with frayed edges and loose threads that indicate poor craftsmanship and lack of attention to detail")</f>
        <v>A receipt with frayed edges and loose threads that indicate poor craftsmanship and lack of attention to detail</v>
      </c>
    </row>
    <row r="5789" spans="1:3" ht="15.75" customHeight="1" x14ac:dyDescent="0.25">
      <c r="A5789" s="2" t="s">
        <v>5791</v>
      </c>
      <c r="B5789" s="3" t="s">
        <v>4</v>
      </c>
      <c r="C5789" s="2" t="str">
        <f ca="1">IFERROR(__xludf.DUMMYFUNCTION("GOOGLETRANSLATE(A5789,""bn"",""en"")"),"Has overheat protection")</f>
        <v>Has overheat protection</v>
      </c>
    </row>
    <row r="5790" spans="1:3" ht="15.75" customHeight="1" x14ac:dyDescent="0.25">
      <c r="A5790" s="2" t="s">
        <v>5792</v>
      </c>
      <c r="B5790" s="3" t="s">
        <v>6</v>
      </c>
      <c r="C5790" s="2" t="str">
        <f ca="1">IFERROR(__xludf.DUMMYFUNCTION("GOOGLETRANSLATE(A5790,""bn"",""en"")"),"The color has come off and the ugly patches have fallen")</f>
        <v>The color has come off and the ugly patches have fallen</v>
      </c>
    </row>
    <row r="5791" spans="1:3" ht="15.75" customHeight="1" x14ac:dyDescent="0.25">
      <c r="A5791" s="2" t="s">
        <v>5793</v>
      </c>
      <c r="B5791" s="3" t="s">
        <v>4</v>
      </c>
      <c r="C5791" s="2" t="str">
        <f ca="1">IFERROR(__xludf.DUMMYFUNCTION("GOOGLETRANSLATE(A5791,""bn"",""en"")"),"It cools my room fast")</f>
        <v>It cools my room fast</v>
      </c>
    </row>
    <row r="5792" spans="1:3" ht="15.75" customHeight="1" x14ac:dyDescent="0.25">
      <c r="A5792" s="2" t="s">
        <v>5794</v>
      </c>
      <c r="B5792" s="3" t="s">
        <v>4</v>
      </c>
      <c r="C5792" s="2" t="str">
        <f ca="1">IFERROR(__xludf.DUMMYFUNCTION("GOOGLETRANSLATE(A5792,""bn"",""en"")"),"A wonderful experience a beautiful product rather of very high quality ")</f>
        <v xml:space="preserve">A wonderful experience a beautiful product rather of very high quality </v>
      </c>
    </row>
    <row r="5793" spans="1:3" ht="15.75" customHeight="1" x14ac:dyDescent="0.25">
      <c r="A5793" s="2" t="s">
        <v>5795</v>
      </c>
      <c r="B5793" s="3" t="s">
        <v>2</v>
      </c>
      <c r="C5793" s="2" t="str">
        <f ca="1">IFERROR(__xludf.DUMMYFUNCTION("GOOGLETRANSLATE(A5793,""bn"",""en"")"),"It cools down slowly")</f>
        <v>It cools down slowly</v>
      </c>
    </row>
    <row r="5794" spans="1:3" ht="15.75" customHeight="1" x14ac:dyDescent="0.25">
      <c r="A5794" s="2" t="s">
        <v>5796</v>
      </c>
      <c r="B5794" s="3" t="s">
        <v>6</v>
      </c>
      <c r="C5794" s="2" t="str">
        <f ca="1">IFERROR(__xludf.DUMMYFUNCTION("GOOGLETRANSLATE(A5794,""bn"",""en"")"),"The phone's software interface is cluttered and makes confusing settings or features difficult to find")</f>
        <v>The phone's software interface is cluttered and makes confusing settings or features difficult to find</v>
      </c>
    </row>
    <row r="5795" spans="1:3" ht="15.75" customHeight="1" x14ac:dyDescent="0.25">
      <c r="A5795" s="2" t="s">
        <v>5797</v>
      </c>
      <c r="B5795" s="3" t="s">
        <v>6</v>
      </c>
      <c r="C5795" s="2" t="str">
        <f ca="1">IFERROR(__xludf.DUMMYFUNCTION("GOOGLETRANSLATE(A5795,""bn"",""en"")"),"The bag design lacked organization making it difficult to find and retrieve items quickly when needed")</f>
        <v>The bag design lacked organization making it difficult to find and retrieve items quickly when needed</v>
      </c>
    </row>
    <row r="5796" spans="1:3" ht="15.75" customHeight="1" x14ac:dyDescent="0.25">
      <c r="A5796" s="2" t="s">
        <v>5798</v>
      </c>
      <c r="B5796" s="3" t="s">
        <v>4</v>
      </c>
      <c r="C5796" s="2" t="str">
        <f ca="1">IFERROR(__xludf.DUMMYFUNCTION("GOOGLETRANSLATE(A5796,""bn"",""en"")"),"This is a very professional fan")</f>
        <v>This is a very professional fan</v>
      </c>
    </row>
    <row r="5797" spans="1:3" ht="15.75" customHeight="1" x14ac:dyDescent="0.25">
      <c r="A5797" s="2" t="s">
        <v>5799</v>
      </c>
      <c r="B5797" s="3" t="s">
        <v>4</v>
      </c>
      <c r="C5797" s="2" t="str">
        <f ca="1">IFERROR(__xludf.DUMMYFUNCTION("GOOGLETRANSLATE(A5797,""bn"",""en"")"),"All students always work together in our school")</f>
        <v>All students always work together in our school</v>
      </c>
    </row>
    <row r="5798" spans="1:3" ht="15.75" customHeight="1" x14ac:dyDescent="0.25">
      <c r="A5798" s="2" t="s">
        <v>5800</v>
      </c>
      <c r="B5798" s="3" t="s">
        <v>6</v>
      </c>
      <c r="C5798" s="2" t="str">
        <f ca="1">IFERROR(__xludf.DUMMYFUNCTION("GOOGLETRANSLATE(A5798,""bn"",""en"")"),"Hair oil makes my scalp feel greasy and causes breakouts")</f>
        <v>Hair oil makes my scalp feel greasy and causes breakouts</v>
      </c>
    </row>
    <row r="5799" spans="1:3" ht="15.75" customHeight="1" x14ac:dyDescent="0.25">
      <c r="A5799" s="2" t="s">
        <v>5801</v>
      </c>
      <c r="B5799" s="3" t="s">
        <v>6</v>
      </c>
      <c r="C5799" s="2" t="str">
        <f ca="1">IFERROR(__xludf.DUMMYFUNCTION("GOOGLETRANSLATE(A5799,""bn"",""en"")"),"The painting set is damaged with spilled pigments")</f>
        <v>The painting set is damaged with spilled pigments</v>
      </c>
    </row>
    <row r="5800" spans="1:3" ht="15.75" customHeight="1" x14ac:dyDescent="0.25">
      <c r="A5800" s="2" t="s">
        <v>5802</v>
      </c>
      <c r="B5800" s="3" t="s">
        <v>4</v>
      </c>
      <c r="C5800" s="2" t="str">
        <f ca="1">IFERROR(__xludf.DUMMYFUNCTION("GOOGLETRANSLATE(A5800,""bn"",""en"")"),"Every time I drink this tea I feel a new sensation")</f>
        <v>Every time I drink this tea I feel a new sensation</v>
      </c>
    </row>
    <row r="5801" spans="1:3" ht="15.75" customHeight="1" x14ac:dyDescent="0.25">
      <c r="A5801" s="2" t="s">
        <v>5803</v>
      </c>
      <c r="B5801" s="3" t="s">
        <v>6</v>
      </c>
      <c r="C5801" s="2" t="str">
        <f ca="1">IFERROR(__xludf.DUMMYFUNCTION("GOOGLETRANSLATE(A5801,""bn"",""en"")"),"  The surface is easily scratched and damaged, detracting from its appearance even with minimal use")</f>
        <v xml:space="preserve">  The surface is easily scratched and damaged, detracting from its appearance even with minimal use</v>
      </c>
    </row>
    <row r="5802" spans="1:3" ht="15.75" customHeight="1" x14ac:dyDescent="0.25">
      <c r="A5802" s="2" t="s">
        <v>5804</v>
      </c>
      <c r="B5802" s="3" t="s">
        <v>4</v>
      </c>
      <c r="C5802" s="2" t="str">
        <f ca="1">IFERROR(__xludf.DUMMYFUNCTION("GOOGLETRANSLATE(A5802,""bn"",""en"")"),"Drinking this coffee every morning gives me energy")</f>
        <v>Drinking this coffee every morning gives me energy</v>
      </c>
    </row>
    <row r="5803" spans="1:3" ht="15.75" customHeight="1" x14ac:dyDescent="0.25">
      <c r="A5803" s="2" t="s">
        <v>5805</v>
      </c>
      <c r="B5803" s="3" t="s">
        <v>6</v>
      </c>
      <c r="C5803" s="2" t="str">
        <f ca="1">IFERROR(__xludf.DUMMYFUNCTION("GOOGLETRANSLATE(A5803,""bn"",""en"")"),"Sound insulation does not work")</f>
        <v>Sound insulation does not work</v>
      </c>
    </row>
    <row r="5804" spans="1:3" ht="15.75" customHeight="1" x14ac:dyDescent="0.25">
      <c r="A5804" s="2" t="s">
        <v>5806</v>
      </c>
      <c r="B5804" s="3" t="s">
        <v>6</v>
      </c>
      <c r="C5804" s="2" t="str">
        <f ca="1">IFERROR(__xludf.DUMMYFUNCTION("GOOGLETRANSLATE(A5804,""bn"",""en"")"),"A sugar bowl was not included in the set despite being advertised")</f>
        <v>A sugar bowl was not included in the set despite being advertised</v>
      </c>
    </row>
    <row r="5805" spans="1:3" ht="15.75" customHeight="1" x14ac:dyDescent="0.25">
      <c r="A5805" s="2" t="s">
        <v>5807</v>
      </c>
      <c r="B5805" s="3" t="s">
        <v>6</v>
      </c>
      <c r="C5805" s="2" t="str">
        <f ca="1">IFERROR(__xludf.DUMMYFUNCTION("GOOGLETRANSLATE(A5805,""bn"",""en"")"),"Packaged mashed potatoes were lumpy and lacked flavor, tasting like instant powder")</f>
        <v>Packaged mashed potatoes were lumpy and lacked flavor, tasting like instant powder</v>
      </c>
    </row>
    <row r="5806" spans="1:3" ht="15.75" customHeight="1" x14ac:dyDescent="0.25">
      <c r="A5806" s="2" t="s">
        <v>5808</v>
      </c>
      <c r="B5806" s="3" t="s">
        <v>6</v>
      </c>
      <c r="C5806" s="2" t="str">
        <f ca="1">IFERROR(__xludf.DUMMYFUNCTION("GOOGLETRANSLATE(A5806,""bn"",""en"")")," The display panel is prone to glitching, displaying random symbols instead of timers")</f>
        <v xml:space="preserve"> The display panel is prone to glitching, displaying random symbols instead of timers</v>
      </c>
    </row>
    <row r="5807" spans="1:3" ht="15.75" customHeight="1" x14ac:dyDescent="0.25">
      <c r="A5807" s="2" t="s">
        <v>5809</v>
      </c>
      <c r="B5807" s="3" t="s">
        <v>4</v>
      </c>
      <c r="C5807" s="2" t="str">
        <f ca="1">IFERROR(__xludf.DUMMYFUNCTION("GOOGLETRANSLATE(A5807,""bn"",""en"")"),"This tea reminds me of Darjeeling gardens")</f>
        <v>This tea reminds me of Darjeeling gardens</v>
      </c>
    </row>
    <row r="5808" spans="1:3" ht="15.75" customHeight="1" x14ac:dyDescent="0.25">
      <c r="A5808" s="2" t="s">
        <v>5810</v>
      </c>
      <c r="B5808" s="3" t="s">
        <v>6</v>
      </c>
      <c r="C5808" s="2" t="str">
        <f ca="1">IFERROR(__xludf.DUMMYFUNCTION("GOOGLETRANSLATE(A5808,""bn"",""en"")"),"Inadequate insulation causes temperature fluctuations")</f>
        <v>Inadequate insulation causes temperature fluctuations</v>
      </c>
    </row>
    <row r="5809" spans="1:3" ht="15.75" customHeight="1" x14ac:dyDescent="0.25">
      <c r="A5809" s="2" t="s">
        <v>5811</v>
      </c>
      <c r="B5809" s="3" t="s">
        <v>2</v>
      </c>
      <c r="C5809" s="2" t="str">
        <f ca="1">IFERROR(__xludf.DUMMYFUNCTION("GOOGLETRANSLATE(A5809,""bn"",""en"")"),"The design of the sports watch is beautiful but the battery drains quickly")</f>
        <v>The design of the sports watch is beautiful but the battery drains quickly</v>
      </c>
    </row>
    <row r="5810" spans="1:3" ht="15.75" customHeight="1" x14ac:dyDescent="0.25">
      <c r="A5810" s="2" t="s">
        <v>5812</v>
      </c>
      <c r="B5810" s="3" t="s">
        <v>2</v>
      </c>
      <c r="C5810" s="2" t="str">
        <f ca="1">IFERROR(__xludf.DUMMYFUNCTION("GOOGLETRANSLATE(A5810,""bn"",""en"")"),"The size is about right but feels a bit small")</f>
        <v>The size is about right but feels a bit small</v>
      </c>
    </row>
    <row r="5811" spans="1:3" ht="15.75" customHeight="1" x14ac:dyDescent="0.25">
      <c r="A5811" s="2" t="s">
        <v>5813</v>
      </c>
      <c r="B5811" s="3" t="s">
        <v>4</v>
      </c>
      <c r="C5811" s="2" t="str">
        <f ca="1">IFERROR(__xludf.DUMMYFUNCTION("GOOGLETRANSLATE(A5811,""bn"",""en"")"),"This chair is comfortable for long periods of sitting")</f>
        <v>This chair is comfortable for long periods of sitting</v>
      </c>
    </row>
    <row r="5812" spans="1:3" ht="15.75" customHeight="1" x14ac:dyDescent="0.25">
      <c r="A5812" s="2" t="s">
        <v>5814</v>
      </c>
      <c r="B5812" s="3" t="s">
        <v>4</v>
      </c>
      <c r="C5812" s="2" t="str">
        <f ca="1">IFERROR(__xludf.DUMMYFUNCTION("GOOGLETRANSLATE(A5812,""bn"",""en"")"),"Internet speed is very fast and reliable")</f>
        <v>Internet speed is very fast and reliable</v>
      </c>
    </row>
    <row r="5813" spans="1:3" ht="15.75" customHeight="1" x14ac:dyDescent="0.25">
      <c r="A5813" s="2" t="s">
        <v>5815</v>
      </c>
      <c r="B5813" s="3" t="s">
        <v>4</v>
      </c>
      <c r="C5813" s="2" t="str">
        <f ca="1">IFERROR(__xludf.DUMMYFUNCTION("GOOGLETRANSLATE(A5813,""bn"",""en"")"),"The design of the bookshelf is very modern and attractive")</f>
        <v>The design of the bookshelf is very modern and attractive</v>
      </c>
    </row>
    <row r="5814" spans="1:3" ht="15.75" customHeight="1" x14ac:dyDescent="0.25">
      <c r="A5814" s="2" t="s">
        <v>5816</v>
      </c>
      <c r="B5814" s="3" t="s">
        <v>6</v>
      </c>
      <c r="C5814" s="2" t="str">
        <f ca="1">IFERROR(__xludf.DUMMYFUNCTION("GOOGLETRANSLATE(A5814,""bn"",""en"")"),"The lid did not fit securely causing the tea to spill")</f>
        <v>The lid did not fit securely causing the tea to spill</v>
      </c>
    </row>
    <row r="5815" spans="1:3" ht="15.75" customHeight="1" x14ac:dyDescent="0.25">
      <c r="A5815" s="2" t="s">
        <v>5817</v>
      </c>
      <c r="B5815" s="3" t="s">
        <v>4</v>
      </c>
      <c r="C5815" s="2" t="str">
        <f ca="1">IFERROR(__xludf.DUMMYFUNCTION("GOOGLETRANSLATE(A5815,""bn"",""en"")"),"The special coating of the condenser coil protects it from corrosion and extends the life of the AC")</f>
        <v>The special coating of the condenser coil protects it from corrosion and extends the life of the AC</v>
      </c>
    </row>
    <row r="5816" spans="1:3" ht="15.75" customHeight="1" x14ac:dyDescent="0.25">
      <c r="A5816" s="2" t="s">
        <v>5818</v>
      </c>
      <c r="B5816" s="3" t="s">
        <v>6</v>
      </c>
      <c r="C5816" s="2" t="str">
        <f ca="1">IFERROR(__xludf.DUMMYFUNCTION("GOOGLETRANSLATE(A5816,""bn"",""en"")")," The side pockets are too small to hold a standard size water bottle")</f>
        <v xml:space="preserve"> The side pockets are too small to hold a standard size water bottle</v>
      </c>
    </row>
    <row r="5817" spans="1:3" ht="15.75" customHeight="1" x14ac:dyDescent="0.25">
      <c r="A5817" s="2" t="s">
        <v>5819</v>
      </c>
      <c r="B5817" s="3" t="s">
        <v>4</v>
      </c>
      <c r="C5817" s="2" t="str">
        <f ca="1">IFERROR(__xludf.DUMMYFUNCTION("GOOGLETRANSLATE(A5817,""bn"",""en"")"),"It is easily controlled")</f>
        <v>It is easily controlled</v>
      </c>
    </row>
    <row r="5818" spans="1:3" ht="15.75" customHeight="1" x14ac:dyDescent="0.25">
      <c r="A5818" s="2" t="s">
        <v>5820</v>
      </c>
      <c r="B5818" s="3" t="s">
        <v>4</v>
      </c>
      <c r="C5818" s="2" t="str">
        <f ca="1">IFERROR(__xludf.DUMMYFUNCTION("GOOGLETRANSLATE(A5818,""bn"",""en"")"),"The watch glass is very clear")</f>
        <v>The watch glass is very clear</v>
      </c>
    </row>
    <row r="5819" spans="1:3" ht="15.75" customHeight="1" x14ac:dyDescent="0.25">
      <c r="A5819" s="2" t="s">
        <v>5821</v>
      </c>
      <c r="B5819" s="3" t="s">
        <v>4</v>
      </c>
      <c r="C5819" s="2" t="str">
        <f ca="1">IFERROR(__xludf.DUMMYFUNCTION("GOOGLETRANSLATE(A5819,""bn"",""en"")"),"Its durable quality impressed me with no problems even with regular use")</f>
        <v>Its durable quality impressed me with no problems even with regular use</v>
      </c>
    </row>
    <row r="5820" spans="1:3" ht="15.75" customHeight="1" x14ac:dyDescent="0.25">
      <c r="A5820" s="2" t="s">
        <v>5822</v>
      </c>
      <c r="B5820" s="3" t="s">
        <v>4</v>
      </c>
      <c r="C5820" s="2" t="str">
        <f ca="1">IFERROR(__xludf.DUMMYFUNCTION("GOOGLETRANSLATE(A5820,""bn"",""en"")"),"OK accepting as a gift")</f>
        <v>OK accepting as a gift</v>
      </c>
    </row>
    <row r="5821" spans="1:3" ht="15.75" customHeight="1" x14ac:dyDescent="0.25">
      <c r="A5821" s="2" t="s">
        <v>5823</v>
      </c>
      <c r="B5821" s="3" t="s">
        <v>4</v>
      </c>
      <c r="C5821" s="2" t="str">
        <f ca="1">IFERROR(__xludf.DUMMYFUNCTION("GOOGLETRANSLATE(A5821,""bn"",""en"")"),"The fragrance of this hand cream is extremely mild yet pleasant")</f>
        <v>The fragrance of this hand cream is extremely mild yet pleasant</v>
      </c>
    </row>
    <row r="5822" spans="1:3" ht="15.75" customHeight="1" x14ac:dyDescent="0.25">
      <c r="A5822" s="2" t="s">
        <v>5824</v>
      </c>
      <c r="B5822" s="3" t="s">
        <v>6</v>
      </c>
      <c r="C5822" s="2" t="str">
        <f ca="1">IFERROR(__xludf.DUMMYFUNCTION("GOOGLETRANSLATE(A5822,""bn"",""en"")"),"The tea leaves were very coarse resulting in a gritty texture to the brew")</f>
        <v>The tea leaves were very coarse resulting in a gritty texture to the brew</v>
      </c>
    </row>
    <row r="5823" spans="1:3" ht="15.75" customHeight="1" x14ac:dyDescent="0.25">
      <c r="A5823" s="2" t="s">
        <v>5825</v>
      </c>
      <c r="B5823" s="3" t="s">
        <v>6</v>
      </c>
      <c r="C5823" s="2" t="str">
        <f ca="1">IFERROR(__xludf.DUMMYFUNCTION("GOOGLETRANSLATE(A5823,""bn"",""en"")"),"Contrary to claims of suitability for all hair types, it fails to add volume or volume to fine, limp hair")</f>
        <v>Contrary to claims of suitability for all hair types, it fails to add volume or volume to fine, limp hair</v>
      </c>
    </row>
    <row r="5824" spans="1:3" ht="15.75" customHeight="1" x14ac:dyDescent="0.25">
      <c r="A5824" s="2" t="s">
        <v>5826</v>
      </c>
      <c r="B5824" s="3" t="s">
        <v>6</v>
      </c>
      <c r="C5824" s="2" t="str">
        <f ca="1">IFERROR(__xludf.DUMMYFUNCTION("GOOGLETRANSLATE(A5824,""bn"",""en"")"),"The strips are not arranged evenly")</f>
        <v>The strips are not arranged evenly</v>
      </c>
    </row>
    <row r="5825" spans="1:3" ht="15.75" customHeight="1" x14ac:dyDescent="0.25">
      <c r="A5825" s="2" t="s">
        <v>5827</v>
      </c>
      <c r="B5825" s="3" t="s">
        <v>2</v>
      </c>
      <c r="C5825" s="2" t="str">
        <f ca="1">IFERROR(__xludf.DUMMYFUNCTION("GOOGLETRANSLATE(A5825,""bn"",""en"")"),"The smell of the toothpaste is mild")</f>
        <v>The smell of the toothpaste is mild</v>
      </c>
    </row>
    <row r="5826" spans="1:3" ht="15.75" customHeight="1" x14ac:dyDescent="0.25">
      <c r="A5826" s="2" t="s">
        <v>5828</v>
      </c>
      <c r="B5826" s="3" t="s">
        <v>4</v>
      </c>
      <c r="C5826" s="2" t="str">
        <f ca="1">IFERROR(__xludf.DUMMYFUNCTION("GOOGLETRANSLATE(A5826,""bn"",""en"")"),"This shampoo is helpful in promoting hair growth")</f>
        <v>This shampoo is helpful in promoting hair growth</v>
      </c>
    </row>
    <row r="5827" spans="1:3" ht="15.75" customHeight="1" x14ac:dyDescent="0.25">
      <c r="A5827" s="2" t="s">
        <v>5829</v>
      </c>
      <c r="B5827" s="3" t="s">
        <v>6</v>
      </c>
      <c r="C5827" s="2" t="str">
        <f ca="1">IFERROR(__xludf.DUMMYFUNCTION("GOOGLETRANSLATE(A5827,""bn"",""en"")"),"The door hinge is loose causing the door to hang and not seal tightly")</f>
        <v>The door hinge is loose causing the door to hang and not seal tightly</v>
      </c>
    </row>
    <row r="5828" spans="1:3" ht="15.75" customHeight="1" x14ac:dyDescent="0.25">
      <c r="A5828" s="2" t="s">
        <v>5830</v>
      </c>
      <c r="B5828" s="3" t="s">
        <v>4</v>
      </c>
      <c r="C5828" s="2" t="str">
        <f ca="1">IFERROR(__xludf.DUMMYFUNCTION("GOOGLETRANSLATE(A5828,""bn"",""en"")"),"Beauty soap is suitable for all skin types")</f>
        <v>Beauty soap is suitable for all skin types</v>
      </c>
    </row>
    <row r="5829" spans="1:3" ht="15.75" customHeight="1" x14ac:dyDescent="0.25">
      <c r="A5829" s="2" t="s">
        <v>5831</v>
      </c>
      <c r="B5829" s="3" t="s">
        <v>4</v>
      </c>
      <c r="C5829" s="2" t="str">
        <f ca="1">IFERROR(__xludf.DUMMYFUNCTION("GOOGLETRANSLATE(A5829,""bn"",""en"")"),"Its aroma is also mesmerizing")</f>
        <v>Its aroma is also mesmerizing</v>
      </c>
    </row>
    <row r="5830" spans="1:3" ht="15.75" customHeight="1" x14ac:dyDescent="0.25">
      <c r="A5830" s="2" t="s">
        <v>5832</v>
      </c>
      <c r="B5830" s="3" t="s">
        <v>2</v>
      </c>
      <c r="C5830" s="2" t="str">
        <f ca="1">IFERROR(__xludf.DUMMYFUNCTION("GOOGLETRANSLATE(A5830,""bn"",""en"")"),"Protecting your delicate clothes is somewhat common")</f>
        <v>Protecting your delicate clothes is somewhat common</v>
      </c>
    </row>
    <row r="5831" spans="1:3" ht="15.75" customHeight="1" x14ac:dyDescent="0.25">
      <c r="A5831" s="2" t="s">
        <v>5833</v>
      </c>
      <c r="B5831" s="3" t="s">
        <v>6</v>
      </c>
      <c r="C5831" s="2" t="str">
        <f ca="1">IFERROR(__xludf.DUMMYFUNCTION("GOOGLETRANSLATE(A5831,""bn"",""en"")"),"Unfortunately about half of the beads are unusable")</f>
        <v>Unfortunately about half of the beads are unusable</v>
      </c>
    </row>
    <row r="5832" spans="1:3" ht="15.75" customHeight="1" x14ac:dyDescent="0.25">
      <c r="A5832" s="2" t="s">
        <v>5834</v>
      </c>
      <c r="B5832" s="3" t="s">
        <v>6</v>
      </c>
      <c r="C5832" s="2" t="str">
        <f ca="1">IFERROR(__xludf.DUMMYFUNCTION("GOOGLETRANSLATE(A5832,""bn"",""en"")"),"Disappointing to find missing buttons or faulty closures on arrival detracts from its overall quality")</f>
        <v>Disappointing to find missing buttons or faulty closures on arrival detracts from its overall quality</v>
      </c>
    </row>
    <row r="5833" spans="1:3" ht="15.75" customHeight="1" x14ac:dyDescent="0.25">
      <c r="A5833" s="2" t="s">
        <v>5835</v>
      </c>
      <c r="B5833" s="3" t="s">
        <v>4</v>
      </c>
      <c r="C5833" s="2" t="str">
        <f ca="1">IFERROR(__xludf.DUMMYFUNCTION("GOOGLETRANSLATE(A5833,""bn"",""en"")"),"The camera performance of the mobile is excellent")</f>
        <v>The camera performance of the mobile is excellent</v>
      </c>
    </row>
    <row r="5834" spans="1:3" ht="15.75" customHeight="1" x14ac:dyDescent="0.25">
      <c r="A5834" s="2" t="s">
        <v>5836</v>
      </c>
      <c r="B5834" s="3" t="s">
        <v>4</v>
      </c>
      <c r="C5834" s="2" t="str">
        <f ca="1">IFERROR(__xludf.DUMMYFUNCTION("GOOGLETRANSLATE(A5834,""bn"",""en"")"),"It makes makeup blending easier")</f>
        <v>It makes makeup blending easier</v>
      </c>
    </row>
    <row r="5835" spans="1:3" ht="15.75" customHeight="1" x14ac:dyDescent="0.25">
      <c r="A5835" s="2" t="s">
        <v>5837</v>
      </c>
      <c r="B5835" s="3" t="s">
        <v>6</v>
      </c>
      <c r="C5835" s="2" t="str">
        <f ca="1">IFERROR(__xludf.DUMMYFUNCTION("GOOGLETRANSLATE(A5835,""bn"",""en"")"),"Awkward shape causes discomfort during use")</f>
        <v>Awkward shape causes discomfort during use</v>
      </c>
    </row>
    <row r="5836" spans="1:3" ht="15.75" customHeight="1" x14ac:dyDescent="0.25">
      <c r="A5836" s="2" t="s">
        <v>5838</v>
      </c>
      <c r="B5836" s="3" t="s">
        <v>6</v>
      </c>
      <c r="C5836" s="2" t="str">
        <f ca="1">IFERROR(__xludf.DUMMYFUNCTION("GOOGLETRANSLATE(A5836,""bn"",""en"")"),"Paint colors separated in tubes require remixing")</f>
        <v>Paint colors separated in tubes require remixing</v>
      </c>
    </row>
    <row r="5837" spans="1:3" ht="15.75" customHeight="1" x14ac:dyDescent="0.25">
      <c r="A5837" s="2" t="s">
        <v>5839</v>
      </c>
      <c r="B5837" s="3" t="s">
        <v>4</v>
      </c>
      <c r="C5837" s="2" t="str">
        <f ca="1">IFERROR(__xludf.DUMMYFUNCTION("GOOGLETRANSLATE(A5837,""bn"",""en"")"),"Each product in the kit is easy to apply")</f>
        <v>Each product in the kit is easy to apply</v>
      </c>
    </row>
    <row r="5838" spans="1:3" ht="15.75" customHeight="1" x14ac:dyDescent="0.25">
      <c r="A5838" s="2" t="s">
        <v>5840</v>
      </c>
      <c r="B5838" s="3" t="s">
        <v>2</v>
      </c>
      <c r="C5838" s="2" t="str">
        <f ca="1">IFERROR(__xludf.DUMMYFUNCTION("GOOGLETRANSLATE(A5838,""bn"",""en"")"),"Smart pill dispenser dispenses medication but programming is complex")</f>
        <v>Smart pill dispenser dispenses medication but programming is complex</v>
      </c>
    </row>
    <row r="5839" spans="1:3" ht="15.75" customHeight="1" x14ac:dyDescent="0.25">
      <c r="A5839" s="2" t="s">
        <v>5841</v>
      </c>
      <c r="B5839" s="3" t="s">
        <v>2</v>
      </c>
      <c r="C5839" s="2" t="str">
        <f ca="1">IFERROR(__xludf.DUMMYFUNCTION("GOOGLETRANSLATE(A5839,""bn"",""en"")"),"The fertilizer did not work as well, although the crop increased somewhat")</f>
        <v>The fertilizer did not work as well, although the crop increased somewhat</v>
      </c>
    </row>
    <row r="5840" spans="1:3" ht="15.75" customHeight="1" x14ac:dyDescent="0.25">
      <c r="A5840" s="2" t="s">
        <v>5842</v>
      </c>
      <c r="B5840" s="3" t="s">
        <v>6</v>
      </c>
      <c r="C5840" s="2" t="str">
        <f ca="1">IFERROR(__xludf.DUMMYFUNCTION("GOOGLETRANSLATE(A5840,""bn"",""en"")"),"Portable coffee maker lid seal leaks spilling coffee during brewing")</f>
        <v>Portable coffee maker lid seal leaks spilling coffee during brewing</v>
      </c>
    </row>
    <row r="5841" spans="1:3" ht="15.75" customHeight="1" x14ac:dyDescent="0.25">
      <c r="A5841" s="2" t="s">
        <v>5843</v>
      </c>
      <c r="B5841" s="3" t="s">
        <v>6</v>
      </c>
      <c r="C5841" s="2" t="str">
        <f ca="1">IFERROR(__xludf.DUMMYFUNCTION("GOOGLETRANSLATE(A5841,""bn"",""en"")"),"The cups had visible cracks compromising their integrity")</f>
        <v>The cups had visible cracks compromising their integrity</v>
      </c>
    </row>
    <row r="5842" spans="1:3" ht="15.75" customHeight="1" x14ac:dyDescent="0.25">
      <c r="A5842" s="2" t="s">
        <v>5844</v>
      </c>
      <c r="B5842" s="3" t="s">
        <v>4</v>
      </c>
      <c r="C5842" s="2" t="str">
        <f ca="1">IFERROR(__xludf.DUMMYFUNCTION("GOOGLETRANSLATE(A5842,""bn"",""en"")"),"Use of the soap reduces skin blemishes")</f>
        <v>Use of the soap reduces skin blemishes</v>
      </c>
    </row>
    <row r="5843" spans="1:3" ht="15.75" customHeight="1" x14ac:dyDescent="0.25">
      <c r="A5843" s="2" t="s">
        <v>5845</v>
      </c>
      <c r="B5843" s="3" t="s">
        <v>2</v>
      </c>
      <c r="C5843" s="2" t="str">
        <f ca="1">IFERROR(__xludf.DUMMYFUNCTION("GOOGLETRANSLATE(A5843,""bn"",""en"")"),"Some new yields have been produced but are disappointing as they are not fully resolved")</f>
        <v>Some new yields have been produced but are disappointing as they are not fully resolved</v>
      </c>
    </row>
    <row r="5844" spans="1:3" ht="15.75" customHeight="1" x14ac:dyDescent="0.25">
      <c r="A5844" s="2" t="s">
        <v>5846</v>
      </c>
      <c r="B5844" s="3" t="s">
        <v>2</v>
      </c>
      <c r="C5844" s="2" t="str">
        <f ca="1">IFERROR(__xludf.DUMMYFUNCTION("GOOGLETRANSLATE(A5844,""bn"",""en"")"),"Wireless pet food dispenser camera shows animals but night vision is poor")</f>
        <v>Wireless pet food dispenser camera shows animals but night vision is poor</v>
      </c>
    </row>
    <row r="5845" spans="1:3" ht="15.75" customHeight="1" x14ac:dyDescent="0.25">
      <c r="A5845" s="2" t="s">
        <v>5847</v>
      </c>
      <c r="B5845" s="3" t="s">
        <v>4</v>
      </c>
      <c r="C5845" s="2" t="str">
        <f ca="1">IFERROR(__xludf.DUMMYFUNCTION("GOOGLETRANSLATE(A5845,""bn"",""en"")"),"I've noticed that these pillows don't allow dust to accumulate which helps keep my room clean")</f>
        <v>I've noticed that these pillows don't allow dust to accumulate which helps keep my room clean</v>
      </c>
    </row>
    <row r="5846" spans="1:3" ht="15.75" customHeight="1" x14ac:dyDescent="0.25">
      <c r="A5846" s="2" t="s">
        <v>5848</v>
      </c>
      <c r="B5846" s="3" t="s">
        <v>6</v>
      </c>
      <c r="C5846" s="2" t="str">
        <f ca="1">IFERROR(__xludf.DUMMYFUNCTION("GOOGLETRANSLATE(A5846,""bn"",""en"")"),"Packaging negligence results in damage")</f>
        <v>Packaging negligence results in damage</v>
      </c>
    </row>
    <row r="5847" spans="1:3" ht="15.75" customHeight="1" x14ac:dyDescent="0.25">
      <c r="A5847" s="2" t="s">
        <v>5849</v>
      </c>
      <c r="B5847" s="3" t="s">
        <v>2</v>
      </c>
      <c r="C5847" s="2" t="str">
        <f ca="1">IFERROR(__xludf.DUMMYFUNCTION("GOOGLETRANSLATE(A5847,""bn"",""en"")"),"The round scoreboard is fine but doesn't last long")</f>
        <v>The round scoreboard is fine but doesn't last long</v>
      </c>
    </row>
    <row r="5848" spans="1:3" ht="15.75" customHeight="1" x14ac:dyDescent="0.25">
      <c r="A5848" s="2" t="s">
        <v>5850</v>
      </c>
      <c r="B5848" s="3" t="s">
        <v>6</v>
      </c>
      <c r="C5848" s="2" t="str">
        <f ca="1">IFERROR(__xludf.DUMMYFUNCTION("GOOGLETRANSLATE(A5848,""bn"",""en"")"),"Not very good")</f>
        <v>Not very good</v>
      </c>
    </row>
    <row r="5849" spans="1:3" ht="15.75" customHeight="1" x14ac:dyDescent="0.25">
      <c r="A5849" s="2" t="s">
        <v>5851</v>
      </c>
      <c r="B5849" s="3" t="s">
        <v>2</v>
      </c>
      <c r="C5849" s="2" t="str">
        <f ca="1">IFERROR(__xludf.DUMMYFUNCTION("GOOGLETRANSLATE(A5849,""bn"",""en"")"),"Usable for active days but not great")</f>
        <v>Usable for active days but not great</v>
      </c>
    </row>
    <row r="5850" spans="1:3" ht="15.75" customHeight="1" x14ac:dyDescent="0.25">
      <c r="A5850" s="2" t="s">
        <v>5852</v>
      </c>
      <c r="B5850" s="3" t="s">
        <v>2</v>
      </c>
      <c r="C5850" s="2" t="str">
        <f ca="1">IFERROR(__xludf.DUMMYFUNCTION("GOOGLETRANSLATE(A5850,""bn"",""en"")"),"The fit is fine and somewhat comfortable but some improvement is possible")</f>
        <v>The fit is fine and somewhat comfortable but some improvement is possible</v>
      </c>
    </row>
    <row r="5851" spans="1:3" ht="15.75" customHeight="1" x14ac:dyDescent="0.25">
      <c r="A5851" s="2" t="s">
        <v>5853</v>
      </c>
      <c r="B5851" s="3" t="s">
        <v>2</v>
      </c>
      <c r="C5851" s="2" t="str">
        <f ca="1">IFERROR(__xludf.DUMMYFUNCTION("GOOGLETRANSLATE(A5851,""bn"",""en"")"),"Works as expected but not as good")</f>
        <v>Works as expected but not as good</v>
      </c>
    </row>
    <row r="5852" spans="1:3" ht="15.75" customHeight="1" x14ac:dyDescent="0.25">
      <c r="A5852" s="2" t="s">
        <v>5854</v>
      </c>
      <c r="B5852" s="3" t="s">
        <v>2</v>
      </c>
      <c r="C5852" s="2" t="str">
        <f ca="1">IFERROR(__xludf.DUMMYFUNCTION("GOOGLETRANSLATE(A5852,""bn"",""en"")"),"Hopefully the charger will work with most laptops")</f>
        <v>Hopefully the charger will work with most laptops</v>
      </c>
    </row>
    <row r="5853" spans="1:3" ht="15.75" customHeight="1" x14ac:dyDescent="0.25">
      <c r="A5853" s="2" t="s">
        <v>5855</v>
      </c>
      <c r="B5853" s="3" t="s">
        <v>6</v>
      </c>
      <c r="C5853" s="2" t="str">
        <f ca="1">IFERROR(__xludf.DUMMYFUNCTION("GOOGLETRANSLATE(A5853,""bn"",""en"")"),"The retro-inspired product looked great on paper but failed to live up to expectations with outdated technology and performance issues")</f>
        <v>The retro-inspired product looked great on paper but failed to live up to expectations with outdated technology and performance issues</v>
      </c>
    </row>
    <row r="5854" spans="1:3" ht="15.75" customHeight="1" x14ac:dyDescent="0.25">
      <c r="A5854" s="2" t="s">
        <v>5856</v>
      </c>
      <c r="B5854" s="3" t="s">
        <v>6</v>
      </c>
      <c r="C5854" s="2" t="str">
        <f ca="1">IFERROR(__xludf.DUMMYFUNCTION("GOOGLETRANSLATE(A5854,""bn"",""en"")"),"Disappointed with the lack of variety in the image")</f>
        <v>Disappointed with the lack of variety in the image</v>
      </c>
    </row>
    <row r="5855" spans="1:3" ht="15.75" customHeight="1" x14ac:dyDescent="0.25">
      <c r="A5855" s="2" t="s">
        <v>5857</v>
      </c>
      <c r="B5855" s="3" t="s">
        <v>6</v>
      </c>
      <c r="C5855" s="2" t="str">
        <f ca="1">IFERROR(__xludf.DUMMYFUNCTION("GOOGLETRANSLATE(A5855,""bn"",""en"")"),"The garment had a strange smell that lingered after multiple washes")</f>
        <v>The garment had a strange smell that lingered after multiple washes</v>
      </c>
    </row>
    <row r="5856" spans="1:3" ht="15.75" customHeight="1" x14ac:dyDescent="0.25">
      <c r="A5856" s="2" t="s">
        <v>5858</v>
      </c>
      <c r="B5856" s="3" t="s">
        <v>2</v>
      </c>
      <c r="C5856" s="2" t="str">
        <f ca="1">IFERROR(__xludf.DUMMYFUNCTION("GOOGLETRANSLATE(A5856,""bn"",""en"")"),"It is important to wash your hands after playing")</f>
        <v>It is important to wash your hands after playing</v>
      </c>
    </row>
    <row r="5857" spans="1:3" ht="15.75" customHeight="1" x14ac:dyDescent="0.25">
      <c r="A5857" s="2" t="s">
        <v>5859</v>
      </c>
      <c r="B5857" s="3" t="s">
        <v>2</v>
      </c>
      <c r="C5857" s="2" t="str">
        <f ca="1">IFERROR(__xludf.DUMMYFUNCTION("GOOGLETRANSLATE(A5857,""bn"",""en"")"),"Very sweet but a bit more fruity flavor")</f>
        <v>Very sweet but a bit more fruity flavor</v>
      </c>
    </row>
    <row r="5858" spans="1:3" ht="15.75" customHeight="1" x14ac:dyDescent="0.25">
      <c r="A5858" s="2" t="s">
        <v>5860</v>
      </c>
      <c r="B5858" s="3" t="s">
        <v>6</v>
      </c>
      <c r="C5858" s="2" t="str">
        <f ca="1">IFERROR(__xludf.DUMMYFUNCTION("GOOGLETRANSLATE(A5858,""bn"",""en"")")," The lid was too loose and fell off while pouring")</f>
        <v xml:space="preserve"> The lid was too loose and fell off while pouring</v>
      </c>
    </row>
    <row r="5859" spans="1:3" ht="15.75" customHeight="1" x14ac:dyDescent="0.25">
      <c r="A5859" s="2" t="s">
        <v>5861</v>
      </c>
      <c r="B5859" s="3" t="s">
        <v>4</v>
      </c>
      <c r="C5859" s="2" t="str">
        <f ca="1">IFERROR(__xludf.DUMMYFUNCTION("GOOGLETRANSLATE(A5859,""bn"",""en"")"),"It can be used in skin care")</f>
        <v>It can be used in skin care</v>
      </c>
    </row>
    <row r="5860" spans="1:3" ht="15.75" customHeight="1" x14ac:dyDescent="0.25">
      <c r="A5860" s="2" t="s">
        <v>5862</v>
      </c>
      <c r="B5860" s="3" t="s">
        <v>6</v>
      </c>
      <c r="C5860" s="2" t="str">
        <f ca="1">IFERROR(__xludf.DUMMYFUNCTION("GOOGLETRANSLATE(A5860,""bn"",""en"")"),"Lack of visual repetition excitement")</f>
        <v>Lack of visual repetition excitement</v>
      </c>
    </row>
    <row r="5861" spans="1:3" ht="15.75" customHeight="1" x14ac:dyDescent="0.25">
      <c r="A5861" s="2" t="s">
        <v>5863</v>
      </c>
      <c r="B5861" s="3" t="s">
        <v>2</v>
      </c>
      <c r="C5861" s="2" t="str">
        <f ca="1">IFERROR(__xludf.DUMMYFUNCTION("GOOGLETRANSLATE(A5861,""bn"",""en"")"),"Price is good but fabric quality could be better")</f>
        <v>Price is good but fabric quality could be better</v>
      </c>
    </row>
    <row r="5862" spans="1:3" ht="15.75" customHeight="1" x14ac:dyDescent="0.25">
      <c r="A5862" s="2" t="s">
        <v>5864</v>
      </c>
      <c r="B5862" s="3" t="s">
        <v>6</v>
      </c>
      <c r="C5862" s="2" t="str">
        <f ca="1">IFERROR(__xludf.DUMMYFUNCTION("GOOGLETRANSLATE(A5862,""bn"",""en"")"),"Found one with an unpleasant odor that persists after washing suggests poor quality materials or improper storage.")</f>
        <v>Found one with an unpleasant odor that persists after washing suggests poor quality materials or improper storage.</v>
      </c>
    </row>
    <row r="5863" spans="1:3" ht="15.75" customHeight="1" x14ac:dyDescent="0.25">
      <c r="A5863" s="2" t="s">
        <v>5865</v>
      </c>
      <c r="B5863" s="3" t="s">
        <v>4</v>
      </c>
      <c r="C5863" s="2" t="str">
        <f ca="1">IFERROR(__xludf.DUMMYFUNCTION("GOOGLETRANSLATE(A5863,""bn"",""en"")"),"Cool camera")</f>
        <v>Cool camera</v>
      </c>
    </row>
    <row r="5864" spans="1:3" ht="15.75" customHeight="1" x14ac:dyDescent="0.25">
      <c r="A5864" s="2" t="s">
        <v>5866</v>
      </c>
      <c r="B5864" s="3" t="s">
        <v>4</v>
      </c>
      <c r="C5864" s="2" t="str">
        <f ca="1">IFERROR(__xludf.DUMMYFUNCTION("GOOGLETRANSLATE(A5864,""bn"",""en"")"),"The battery life of the mobile is very long")</f>
        <v>The battery life of the mobile is very long</v>
      </c>
    </row>
    <row r="5865" spans="1:3" ht="15.75" customHeight="1" x14ac:dyDescent="0.25">
      <c r="A5865" s="2" t="s">
        <v>5867</v>
      </c>
      <c r="B5865" s="3" t="s">
        <v>4</v>
      </c>
      <c r="C5865" s="2" t="str">
        <f ca="1">IFERROR(__xludf.DUMMYFUNCTION("GOOGLETRANSLATE(A5865,""bn"",""en"")"),"Standard and popular")</f>
        <v>Standard and popular</v>
      </c>
    </row>
    <row r="5866" spans="1:3" ht="15.75" customHeight="1" x14ac:dyDescent="0.25">
      <c r="A5866" s="2" t="s">
        <v>5868</v>
      </c>
      <c r="B5866" s="3" t="s">
        <v>2</v>
      </c>
      <c r="C5866" s="2" t="str">
        <f ca="1">IFERROR(__xludf.DUMMYFUNCTION("GOOGLETRANSLATE(A5866,""bn"",""en"")"),"Charging speed is fairly neither too fast nor too slow")</f>
        <v>Charging speed is fairly neither too fast nor too slow</v>
      </c>
    </row>
    <row r="5867" spans="1:3" ht="15.75" customHeight="1" x14ac:dyDescent="0.25">
      <c r="A5867" s="2" t="s">
        <v>5869</v>
      </c>
      <c r="B5867" s="3" t="s">
        <v>4</v>
      </c>
      <c r="C5867" s="2" t="str">
        <f ca="1">IFERROR(__xludf.DUMMYFUNCTION("GOOGLETRANSLATE(A5867,""bn"",""en"")"),"The extra filling that comes with the set is so handy I can make the pillows harder or softer if needed")</f>
        <v>The extra filling that comes with the set is so handy I can make the pillows harder or softer if needed</v>
      </c>
    </row>
    <row r="5868" spans="1:3" ht="15.75" customHeight="1" x14ac:dyDescent="0.25">
      <c r="A5868" s="2" t="s">
        <v>5870</v>
      </c>
      <c r="B5868" s="3" t="s">
        <v>6</v>
      </c>
      <c r="C5868" s="2" t="str">
        <f ca="1">IFERROR(__xludf.DUMMYFUNCTION("GOOGLETRANSLATE(A5868,""bn"",""en"")"),"Colors were not as vibrant as advertised")</f>
        <v>Colors were not as vibrant as advertised</v>
      </c>
    </row>
    <row r="5869" spans="1:3" ht="15.75" customHeight="1" x14ac:dyDescent="0.25">
      <c r="A5869" s="2" t="s">
        <v>5871</v>
      </c>
      <c r="B5869" s="3" t="s">
        <v>2</v>
      </c>
      <c r="C5869" s="2" t="str">
        <f ca="1">IFERROR(__xludf.DUMMYFUNCTION("GOOGLETRANSLATE(A5869,""bn"",""en"")"),"Sweets are ok but could be more fresh")</f>
        <v>Sweets are ok but could be more fresh</v>
      </c>
    </row>
    <row r="5870" spans="1:3" ht="15.75" customHeight="1" x14ac:dyDescent="0.25">
      <c r="A5870" s="2" t="s">
        <v>5872</v>
      </c>
      <c r="B5870" s="3" t="s">
        <v>4</v>
      </c>
      <c r="C5870" s="2" t="str">
        <f ca="1">IFERROR(__xludf.DUMMYFUNCTION("GOOGLETRANSLATE(A5870,""bn"",""en"")"),"The concealer in the makeup kit covers blemishes")</f>
        <v>The concealer in the makeup kit covers blemishes</v>
      </c>
    </row>
    <row r="5871" spans="1:3" ht="15.75" customHeight="1" x14ac:dyDescent="0.25">
      <c r="A5871" s="2" t="s">
        <v>5873</v>
      </c>
      <c r="B5871" s="3" t="s">
        <v>4</v>
      </c>
      <c r="C5871" s="2" t="str">
        <f ca="1">IFERROR(__xludf.DUMMYFUNCTION("GOOGLETRANSLATE(A5871,""bn"",""en"")"),"Perfect for white paper")</f>
        <v>Perfect for white paper</v>
      </c>
    </row>
    <row r="5872" spans="1:3" ht="15.75" customHeight="1" x14ac:dyDescent="0.25">
      <c r="A5872" s="2" t="s">
        <v>5874</v>
      </c>
      <c r="B5872" s="3" t="s">
        <v>2</v>
      </c>
      <c r="C5872" s="2" t="str">
        <f ca="1">IFERROR(__xludf.DUMMYFUNCTION("GOOGLETRANSLATE(A5872,""bn"",""en"")"),"It's a middle-of-the-road outfit, not exceptional or disappointing")</f>
        <v>It's a middle-of-the-road outfit, not exceptional or disappointing</v>
      </c>
    </row>
    <row r="5873" spans="1:3" ht="15.75" customHeight="1" x14ac:dyDescent="0.25">
      <c r="A5873" s="2" t="s">
        <v>5875</v>
      </c>
      <c r="B5873" s="3" t="s">
        <v>6</v>
      </c>
      <c r="C5873" s="2" t="str">
        <f ca="1">IFERROR(__xludf.DUMMYFUNCTION("GOOGLETRANSLATE(A5873,""bn"",""en"")"),"The set pieces were too small and looked inconsistent")</f>
        <v>The set pieces were too small and looked inconsistent</v>
      </c>
    </row>
    <row r="5874" spans="1:3" ht="15.75" customHeight="1" x14ac:dyDescent="0.25">
      <c r="A5874" s="2" t="s">
        <v>5876</v>
      </c>
      <c r="B5874" s="3" t="s">
        <v>2</v>
      </c>
      <c r="C5874" s="2" t="str">
        <f ca="1">IFERROR(__xludf.DUMMYFUNCTION("GOOGLETRANSLATE(A5874,""bn"",""en"")"),"There should be enough in the bottle")</f>
        <v>There should be enough in the bottle</v>
      </c>
    </row>
    <row r="5875" spans="1:3" ht="15.75" customHeight="1" x14ac:dyDescent="0.25">
      <c r="A5875" s="2" t="s">
        <v>5877</v>
      </c>
      <c r="B5875" s="3" t="s">
        <v>4</v>
      </c>
      <c r="C5875" s="2" t="str">
        <f ca="1">IFERROR(__xludf.DUMMYFUNCTION("GOOGLETRANSLATE(A5875,""bn"",""en"")"),"The boy rides a bicycle every morning")</f>
        <v>The boy rides a bicycle every morning</v>
      </c>
    </row>
    <row r="5876" spans="1:3" ht="15.75" customHeight="1" x14ac:dyDescent="0.25">
      <c r="A5876" s="2" t="s">
        <v>5878</v>
      </c>
      <c r="B5876" s="3" t="s">
        <v>2</v>
      </c>
      <c r="C5876" s="2" t="str">
        <f ca="1">IFERROR(__xludf.DUMMYFUNCTION("GOOGLETRANSLATE(A5876,""bn"",""en"")"),"The paper can be used for sketching on the go")</f>
        <v>The paper can be used for sketching on the go</v>
      </c>
    </row>
    <row r="5877" spans="1:3" ht="15.75" customHeight="1" x14ac:dyDescent="0.25">
      <c r="A5877" s="2" t="s">
        <v>5879</v>
      </c>
      <c r="B5877" s="3" t="s">
        <v>2</v>
      </c>
      <c r="C5877" s="2" t="str">
        <f ca="1">IFERROR(__xludf.DUMMYFUNCTION("GOOGLETRANSLATE(A5877,""bn"",""en"")"),"All items are made of the same material but of different quality")</f>
        <v>All items are made of the same material but of different quality</v>
      </c>
    </row>
    <row r="5878" spans="1:3" ht="15.75" customHeight="1" x14ac:dyDescent="0.25">
      <c r="A5878" s="2" t="s">
        <v>5880</v>
      </c>
      <c r="B5878" s="3" t="s">
        <v>2</v>
      </c>
      <c r="C5878" s="2" t="str">
        <f ca="1">IFERROR(__xludf.DUMMYFUNCTION("GOOGLETRANSLATE(A5878,""bn"",""en"")"),"The taste is quite ordinary but just right for the price")</f>
        <v>The taste is quite ordinary but just right for the price</v>
      </c>
    </row>
    <row r="5879" spans="1:3" ht="15.75" customHeight="1" x14ac:dyDescent="0.25">
      <c r="A5879" s="2" t="s">
        <v>5881</v>
      </c>
      <c r="B5879" s="3" t="s">
        <v>4</v>
      </c>
      <c r="C5879" s="2" t="str">
        <f ca="1">IFERROR(__xludf.DUMMYFUNCTION("GOOGLETRANSLATE(A5879,""bn"",""en"")"),"Its filter system is excellent my allergy problem has reduced a lot since using this AC")</f>
        <v>Its filter system is excellent my allergy problem has reduced a lot since using this AC</v>
      </c>
    </row>
    <row r="5880" spans="1:3" ht="15.75" customHeight="1" x14ac:dyDescent="0.25">
      <c r="A5880" s="2" t="s">
        <v>5882</v>
      </c>
      <c r="B5880" s="3" t="s">
        <v>4</v>
      </c>
      <c r="C5880" s="2" t="str">
        <f ca="1">IFERROR(__xludf.DUMMYFUNCTION("GOOGLETRANSLATE(A5880,""bn"",""en"")"),"The parts of the set fit together perfectly, each item is beautifully coordinated with the others")</f>
        <v>The parts of the set fit together perfectly, each item is beautifully coordinated with the others</v>
      </c>
    </row>
    <row r="5881" spans="1:3" ht="15.75" customHeight="1" x14ac:dyDescent="0.25">
      <c r="A5881" s="2" t="s">
        <v>5883</v>
      </c>
      <c r="B5881" s="3" t="s">
        <v>2</v>
      </c>
      <c r="C5881" s="2" t="str">
        <f ca="1">IFERROR(__xludf.DUMMYFUNCTION("GOOGLETRANSLATE(A5881,""bn"",""en"")"),"Workout bag chains are strong but straps are weak")</f>
        <v>Workout bag chains are strong but straps are weak</v>
      </c>
    </row>
    <row r="5882" spans="1:3" ht="15.75" customHeight="1" x14ac:dyDescent="0.25">
      <c r="A5882" s="2" t="s">
        <v>5884</v>
      </c>
      <c r="B5882" s="3" t="s">
        <v>2</v>
      </c>
      <c r="C5882" s="2" t="str">
        <f ca="1">IFERROR(__xludf.DUMMYFUNCTION("GOOGLETRANSLATE(A5882,""bn"",""en"")"),"Children can move but some parts are too small")</f>
        <v>Children can move but some parts are too small</v>
      </c>
    </row>
    <row r="5883" spans="1:3" ht="15.75" customHeight="1" x14ac:dyDescent="0.25">
      <c r="A5883" s="2" t="s">
        <v>5885</v>
      </c>
      <c r="B5883" s="3" t="s">
        <v>4</v>
      </c>
      <c r="C5883" s="2" t="str">
        <f ca="1">IFERROR(__xludf.DUMMYFUNCTION("GOOGLETRANSLATE(A5883,""bn"",""en"")"),"The powder finish of the makeup kit is perfect")</f>
        <v>The powder finish of the makeup kit is perfect</v>
      </c>
    </row>
    <row r="5884" spans="1:3" ht="15.75" customHeight="1" x14ac:dyDescent="0.25">
      <c r="A5884" s="2" t="s">
        <v>5886</v>
      </c>
      <c r="B5884" s="3" t="s">
        <v>4</v>
      </c>
      <c r="C5884" s="2" t="str">
        <f ca="1">IFERROR(__xludf.DUMMYFUNCTION("GOOGLETRANSLATE(A5884,""bn"",""en"")"),"Each product in the kit is gentle on the skin")</f>
        <v>Each product in the kit is gentle on the skin</v>
      </c>
    </row>
    <row r="5885" spans="1:3" ht="15.75" customHeight="1" x14ac:dyDescent="0.25">
      <c r="A5885" s="2" t="s">
        <v>5887</v>
      </c>
      <c r="B5885" s="3" t="s">
        <v>2</v>
      </c>
      <c r="C5885" s="2" t="str">
        <f ca="1">IFERROR(__xludf.DUMMYFUNCTION("GOOGLETRANSLATE(A5885,""bn"",""en"")"),"Perfect for a medium performance laptop")</f>
        <v>Perfect for a medium performance laptop</v>
      </c>
    </row>
    <row r="5886" spans="1:3" ht="15.75" customHeight="1" x14ac:dyDescent="0.25">
      <c r="A5886" s="2" t="s">
        <v>5888</v>
      </c>
      <c r="B5886" s="3" t="s">
        <v>6</v>
      </c>
      <c r="C5886" s="2" t="str">
        <f ca="1">IFERROR(__xludf.DUMMYFUNCTION("GOOGLETRANSLATE(A5886,""bn"",""en"")")," Roasted too dark obscured their natural flavors")</f>
        <v xml:space="preserve"> Roasted too dark obscured their natural flavors</v>
      </c>
    </row>
    <row r="5887" spans="1:3" ht="15.75" customHeight="1" x14ac:dyDescent="0.25">
      <c r="A5887" s="2" t="s">
        <v>5889</v>
      </c>
      <c r="B5887" s="3" t="s">
        <v>6</v>
      </c>
      <c r="C5887" s="2" t="str">
        <f ca="1">IFERROR(__xludf.DUMMYFUNCTION("GOOGLETRANSLATE(A5887,""bn"",""en"")"),"The paint color had uneven coverage on the canvas")</f>
        <v>The paint color had uneven coverage on the canvas</v>
      </c>
    </row>
    <row r="5888" spans="1:3" ht="15.75" customHeight="1" x14ac:dyDescent="0.25">
      <c r="A5888" s="2" t="s">
        <v>5890</v>
      </c>
      <c r="B5888" s="3" t="s">
        <v>2</v>
      </c>
      <c r="C5888" s="2" t="str">
        <f ca="1">IFERROR(__xludf.DUMMYFUNCTION("GOOGLETRANSLATE(A5888,""bn"",""en"")"),"Charging time takes a little longer")</f>
        <v>Charging time takes a little longer</v>
      </c>
    </row>
    <row r="5889" spans="1:3" ht="15.75" customHeight="1" x14ac:dyDescent="0.25">
      <c r="A5889" s="2" t="s">
        <v>5891</v>
      </c>
      <c r="B5889" s="3" t="s">
        <v>4</v>
      </c>
      <c r="C5889" s="2" t="str">
        <f ca="1">IFERROR(__xludf.DUMMYFUNCTION("GOOGLETRANSLATE(A5889,""bn"",""en"")"),"Every day brings new excitement")</f>
        <v>Every day brings new excitement</v>
      </c>
    </row>
    <row r="5890" spans="1:3" ht="15.75" customHeight="1" x14ac:dyDescent="0.25">
      <c r="A5890" s="2" t="s">
        <v>5892</v>
      </c>
      <c r="B5890" s="3" t="s">
        <v>4</v>
      </c>
      <c r="C5890" s="2" t="str">
        <f ca="1">IFERROR(__xludf.DUMMYFUNCTION("GOOGLETRANSLATE(A5890,""bn"",""en"")"),"The packaging of the product was very nice and secure.The product arrived safely")</f>
        <v>The packaging of the product was very nice and secure.The product arrived safely</v>
      </c>
    </row>
    <row r="5891" spans="1:3" ht="15.75" customHeight="1" x14ac:dyDescent="0.25">
      <c r="A5891" s="2" t="s">
        <v>5893</v>
      </c>
      <c r="B5891" s="3" t="s">
        <v>2</v>
      </c>
      <c r="C5891" s="2" t="str">
        <f ca="1">IFERROR(__xludf.DUMMYFUNCTION("GOOGLETRANSLATE(A5891,""bn"",""en"")"),"A bit more at the right price")</f>
        <v>A bit more at the right price</v>
      </c>
    </row>
    <row r="5892" spans="1:3" ht="15.75" customHeight="1" x14ac:dyDescent="0.25">
      <c r="A5892" s="2" t="s">
        <v>5894</v>
      </c>
      <c r="B5892" s="3" t="s">
        <v>6</v>
      </c>
      <c r="C5892" s="2" t="str">
        <f ca="1">IFERROR(__xludf.DUMMYFUNCTION("GOOGLETRANSLATE(A5892,""bn"",""en"")"),"The flimsy lid pops off unexpectedly spilling the contents")</f>
        <v>The flimsy lid pops off unexpectedly spilling the contents</v>
      </c>
    </row>
    <row r="5893" spans="1:3" ht="15.75" customHeight="1" x14ac:dyDescent="0.25">
      <c r="A5893" s="2" t="s">
        <v>5895</v>
      </c>
      <c r="B5893" s="3" t="s">
        <v>4</v>
      </c>
      <c r="C5893" s="2" t="str">
        <f ca="1">IFERROR(__xludf.DUMMYFUNCTION("GOOGLETRANSLATE(A5893,""bn"",""en"")")," Photos from the decade look like a dream")</f>
        <v xml:space="preserve"> Photos from the decade look like a dream</v>
      </c>
    </row>
    <row r="5894" spans="1:3" ht="15.75" customHeight="1" x14ac:dyDescent="0.25">
      <c r="A5894" s="2" t="s">
        <v>5896</v>
      </c>
      <c r="B5894" s="3" t="s">
        <v>2</v>
      </c>
      <c r="C5894" s="2" t="str">
        <f ca="1">IFERROR(__xludf.DUMMYFUNCTION("GOOGLETRANSLATE(A5894,""bn"",""en"")"),"The cut is nice but the fabric is not durable")</f>
        <v>The cut is nice but the fabric is not durable</v>
      </c>
    </row>
    <row r="5895" spans="1:3" ht="15.75" customHeight="1" x14ac:dyDescent="0.25">
      <c r="A5895" s="2" t="s">
        <v>5897</v>
      </c>
      <c r="B5895" s="3" t="s">
        <v>6</v>
      </c>
      <c r="C5895" s="2" t="str">
        <f ca="1">IFERROR(__xludf.DUMMYFUNCTION("GOOGLETRANSLATE(A5895,""bn"",""en"")"),"Not so fun")</f>
        <v>Not so fun</v>
      </c>
    </row>
    <row r="5896" spans="1:3" ht="15.75" customHeight="1" x14ac:dyDescent="0.25">
      <c r="A5896" s="2" t="s">
        <v>5898</v>
      </c>
      <c r="B5896" s="3" t="s">
        <v>6</v>
      </c>
      <c r="C5896" s="2" t="str">
        <f ca="1">IFERROR(__xludf.DUMMYFUNCTION("GOOGLETRANSLATE(A5896,""bn"",""en"")"),"The tea had a bitter taste that overcame any subtlety in the flavor")</f>
        <v>The tea had a bitter taste that overcame any subtlety in the flavor</v>
      </c>
    </row>
    <row r="5897" spans="1:3" ht="15.75" customHeight="1" x14ac:dyDescent="0.25">
      <c r="A5897" s="2" t="s">
        <v>5899</v>
      </c>
      <c r="B5897" s="3" t="s">
        <v>4</v>
      </c>
      <c r="C5897" s="2" t="str">
        <f ca="1">IFERROR(__xludf.DUMMYFUNCTION("GOOGLETRANSLATE(A5897,""bn"",""en"")"),"Its fragrance is sweet and charming")</f>
        <v>Its fragrance is sweet and charming</v>
      </c>
    </row>
    <row r="5898" spans="1:3" ht="15.75" customHeight="1" x14ac:dyDescent="0.25">
      <c r="A5898" s="2" t="s">
        <v>5900</v>
      </c>
      <c r="B5898" s="3" t="s">
        <v>6</v>
      </c>
      <c r="C5898" s="2" t="str">
        <f ca="1">IFERROR(__xludf.DUMMYFUNCTION("GOOGLETRANSLATE(A5898,""bn"",""en"")"),"The cups had uneven bottoms that caused them to wobble on flat surfaces")</f>
        <v>The cups had uneven bottoms that caused them to wobble on flat surfaces</v>
      </c>
    </row>
    <row r="5899" spans="1:3" ht="15.75" customHeight="1" x14ac:dyDescent="0.25">
      <c r="A5899" s="2" t="s">
        <v>5901</v>
      </c>
      <c r="B5899" s="3" t="s">
        <v>6</v>
      </c>
      <c r="C5899" s="2" t="str">
        <f ca="1">IFERROR(__xludf.DUMMYFUNCTION("GOOGLETRANSLATE(A5899,""bn"",""en"")"),"The firmness of the fabric makes the garment wearable for extended periods of time")</f>
        <v>The firmness of the fabric makes the garment wearable for extended periods of time</v>
      </c>
    </row>
    <row r="5900" spans="1:3" ht="15.75" customHeight="1" x14ac:dyDescent="0.25">
      <c r="A5900" s="2" t="s">
        <v>5902</v>
      </c>
      <c r="B5900" s="3" t="s">
        <v>6</v>
      </c>
      <c r="C5900" s="2" t="str">
        <f ca="1">IFERROR(__xludf.DUMMYFUNCTION("GOOGLETRANSLATE(A5900,""bn"",""en"")")," The timer knob is loose and rotates freely making it challenging to set the precise time")</f>
        <v xml:space="preserve"> The timer knob is loose and rotates freely making it challenging to set the precise time</v>
      </c>
    </row>
    <row r="5901" spans="1:3" ht="15.75" customHeight="1" x14ac:dyDescent="0.25">
      <c r="A5901" s="2" t="s">
        <v>5903</v>
      </c>
      <c r="B5901" s="3" t="s">
        <v>6</v>
      </c>
      <c r="C5901" s="2" t="str">
        <f ca="1">IFERROR(__xludf.DUMMYFUNCTION("GOOGLETRANSLATE(A5901,""bn"",""en"")"),"Unsatisfactory fit causes discomfort")</f>
        <v>Unsatisfactory fit causes discomfort</v>
      </c>
    </row>
    <row r="5902" spans="1:3" ht="15.75" customHeight="1" x14ac:dyDescent="0.25">
      <c r="A5902" s="2" t="s">
        <v>5904</v>
      </c>
      <c r="B5902" s="3" t="s">
        <v>6</v>
      </c>
      <c r="C5902" s="2" t="str">
        <f ca="1">IFERROR(__xludf.DUMMYFUNCTION("GOOGLETRANSLATE(A5902,""bn"",""en"")"),"The dress was advertised as a certain material but felt cheap and flimsy in person")</f>
        <v>The dress was advertised as a certain material but felt cheap and flimsy in person</v>
      </c>
    </row>
    <row r="5903" spans="1:3" ht="15.75" customHeight="1" x14ac:dyDescent="0.25">
      <c r="A5903" s="2" t="s">
        <v>5905</v>
      </c>
      <c r="B5903" s="3" t="s">
        <v>2</v>
      </c>
      <c r="C5903" s="2" t="str">
        <f ca="1">IFERROR(__xludf.DUMMYFUNCTION("GOOGLETRANSLATE(A5903,""bn"",""en"")"),"The design is attractive but the finishing is not good")</f>
        <v>The design is attractive but the finishing is not good</v>
      </c>
    </row>
    <row r="5904" spans="1:3" ht="15.75" customHeight="1" x14ac:dyDescent="0.25">
      <c r="A5904" s="2" t="s">
        <v>5906</v>
      </c>
      <c r="B5904" s="3" t="s">
        <v>6</v>
      </c>
      <c r="C5904" s="2" t="str">
        <f ca="1">IFERROR(__xludf.DUMMYFUNCTION("GOOGLETRANSLATE(A5904,""bn"",""en"")"),"The packaging did not protect the tea from light and moisture which resulted in spoilage")</f>
        <v>The packaging did not protect the tea from light and moisture which resulted in spoilage</v>
      </c>
    </row>
    <row r="5905" spans="1:3" ht="15.75" customHeight="1" x14ac:dyDescent="0.25">
      <c r="A5905" s="2" t="s">
        <v>5907</v>
      </c>
      <c r="B5905" s="3" t="s">
        <v>4</v>
      </c>
      <c r="C5905" s="2" t="str">
        <f ca="1">IFERROR(__xludf.DUMMYFUNCTION("GOOGLETRANSLATE(A5905,""bn"",""en"")"),"The toothpaste formula is very effective")</f>
        <v>The toothpaste formula is very effective</v>
      </c>
    </row>
    <row r="5906" spans="1:3" ht="15.75" customHeight="1" x14ac:dyDescent="0.25">
      <c r="A5906" s="2" t="s">
        <v>5908</v>
      </c>
      <c r="B5906" s="3" t="s">
        <v>2</v>
      </c>
      <c r="C5906" s="2" t="str">
        <f ca="1">IFERROR(__xludf.DUMMYFUNCTION("GOOGLETRANSLATE(A5906,""bn"",""en"")"),"Delicious but lots of artificial ingredients used")</f>
        <v>Delicious but lots of artificial ingredients used</v>
      </c>
    </row>
    <row r="5907" spans="1:3" ht="15.75" customHeight="1" x14ac:dyDescent="0.25">
      <c r="A5907" s="2" t="s">
        <v>5909</v>
      </c>
      <c r="B5907" s="3" t="s">
        <v>6</v>
      </c>
      <c r="C5907" s="2" t="str">
        <f ca="1">IFERROR(__xludf.DUMMYFUNCTION("GOOGLETRANSLATE(A5907,""bn"",""en"")"),"The wrong size chart leads to an incorrect fit")</f>
        <v>The wrong size chart leads to an incorrect fit</v>
      </c>
    </row>
    <row r="5908" spans="1:3" ht="15.75" customHeight="1" x14ac:dyDescent="0.25">
      <c r="A5908" s="2" t="s">
        <v>5910</v>
      </c>
      <c r="B5908" s="3" t="s">
        <v>2</v>
      </c>
      <c r="C5908" s="2" t="str">
        <f ca="1">IFERROR(__xludf.DUMMYFUNCTION("GOOGLETRANSLATE(A5908,""bn"",""en"")"),"Color is bright but finishing is not good")</f>
        <v>Color is bright but finishing is not good</v>
      </c>
    </row>
    <row r="5909" spans="1:3" ht="15.75" customHeight="1" x14ac:dyDescent="0.25">
      <c r="A5909" s="2" t="s">
        <v>5911</v>
      </c>
      <c r="B5909" s="3" t="s">
        <v>6</v>
      </c>
      <c r="C5909" s="2" t="str">
        <f ca="1">IFERROR(__xludf.DUMMYFUNCTION("GOOGLETRANSLATE(A5909,""bn"",""en"")")," Power output fluctuates during operation resulting in inconsistent cooking results")</f>
        <v xml:space="preserve"> Power output fluctuates during operation resulting in inconsistent cooking results</v>
      </c>
    </row>
    <row r="5910" spans="1:3" ht="15.75" customHeight="1" x14ac:dyDescent="0.25">
      <c r="A5910" s="2" t="s">
        <v>5912</v>
      </c>
      <c r="B5910" s="3" t="s">
        <v>2</v>
      </c>
      <c r="C5910" s="2" t="str">
        <f ca="1">IFERROR(__xludf.DUMMYFUNCTION("GOOGLETRANSLATE(A5910,""bn"",""en"")"),"Required subscriptions may have limited functionality")</f>
        <v>Required subscriptions may have limited functionality</v>
      </c>
    </row>
    <row r="5911" spans="1:3" ht="15.75" customHeight="1" x14ac:dyDescent="0.25">
      <c r="A5911" s="2" t="s">
        <v>5913</v>
      </c>
      <c r="B5911" s="3" t="s">
        <v>6</v>
      </c>
      <c r="C5911" s="2" t="str">
        <f ca="1">IFERROR(__xludf.DUMMYFUNCTION("GOOGLETRANSLATE(A5911,""bn"",""en"")"),"The camera's WiFi connection is unreliable and often drops the connection during file transfer")</f>
        <v>The camera's WiFi connection is unreliable and often drops the connection during file transfer</v>
      </c>
    </row>
    <row r="5912" spans="1:3" ht="15.75" customHeight="1" x14ac:dyDescent="0.25">
      <c r="A5912" s="2" t="s">
        <v>5914</v>
      </c>
      <c r="B5912" s="3" t="s">
        <v>4</v>
      </c>
      <c r="C5912" s="2" t="str">
        <f ca="1">IFERROR(__xludf.DUMMYFUNCTION("GOOGLETRANSLATE(A5912,""bn"",""en"")"),"The best ever ")</f>
        <v xml:space="preserve">The best ever </v>
      </c>
    </row>
    <row r="5913" spans="1:3" ht="15.75" customHeight="1" x14ac:dyDescent="0.25">
      <c r="A5913" s="2" t="s">
        <v>5915</v>
      </c>
      <c r="B5913" s="3" t="s">
        <v>6</v>
      </c>
      <c r="C5913" s="2" t="str">
        <f ca="1">IFERROR(__xludf.DUMMYFUNCTION("GOOGLETRANSLATE(A5913,""bn"",""en"")"),"The need for frequent replacement of the water filter adds to overall maintenance costs")</f>
        <v>The need for frequent replacement of the water filter adds to overall maintenance costs</v>
      </c>
    </row>
    <row r="5914" spans="1:3" ht="15.75" customHeight="1" x14ac:dyDescent="0.25">
      <c r="A5914" s="2" t="s">
        <v>5916</v>
      </c>
      <c r="B5914" s="3" t="s">
        <v>4</v>
      </c>
      <c r="C5914" s="2" t="str">
        <f ca="1">IFERROR(__xludf.DUMMYFUNCTION("GOOGLETRANSLATE(A5914,""bn"",""en"")"),"We have green plants in our garden")</f>
        <v>We have green plants in our garden</v>
      </c>
    </row>
    <row r="5915" spans="1:3" ht="15.75" customHeight="1" x14ac:dyDescent="0.25">
      <c r="A5915" s="2" t="s">
        <v>5917</v>
      </c>
      <c r="B5915" s="3" t="s">
        <v>6</v>
      </c>
      <c r="C5915" s="2" t="str">
        <f ca="1">IFERROR(__xludf.DUMMYFUNCTION("GOOGLETRANSLATE(A5915,""bn"",""en"")"),"The fridge door seal is not airtight allowing cold air to escape and hot air to enter")</f>
        <v>The fridge door seal is not airtight allowing cold air to escape and hot air to enter</v>
      </c>
    </row>
    <row r="5916" spans="1:3" ht="15.75" customHeight="1" x14ac:dyDescent="0.25">
      <c r="A5916" s="2" t="s">
        <v>5918</v>
      </c>
      <c r="B5916" s="3" t="s">
        <v>4</v>
      </c>
      <c r="C5916" s="2" t="str">
        <f ca="1">IFERROR(__xludf.DUMMYFUNCTION("GOOGLETRANSLATE(A5916,""bn"",""en"")"),"The soap removes dirt and oil from the skin")</f>
        <v>The soap removes dirt and oil from the skin</v>
      </c>
    </row>
    <row r="5917" spans="1:3" ht="15.75" customHeight="1" x14ac:dyDescent="0.25">
      <c r="A5917" s="2" t="s">
        <v>5919</v>
      </c>
      <c r="B5917" s="3" t="s">
        <v>6</v>
      </c>
      <c r="C5917" s="2" t="str">
        <f ca="1">IFERROR(__xludf.DUMMYFUNCTION("GOOGLETRANSLATE(A5917,""bn"",""en"")"),"The tea had a flat flavor and lacked complexity and depth")</f>
        <v>The tea had a flat flavor and lacked complexity and depth</v>
      </c>
    </row>
    <row r="5918" spans="1:3" ht="15.75" customHeight="1" x14ac:dyDescent="0.25">
      <c r="A5918" s="2" t="s">
        <v>5920</v>
      </c>
      <c r="B5918" s="3" t="s">
        <v>2</v>
      </c>
      <c r="C5918" s="2" t="str">
        <f ca="1">IFERROR(__xludf.DUMMYFUNCTION("GOOGLETRANSLATE(A5918,""bn"",""en"")"),"The music plays but the same tune over and over again")</f>
        <v>The music plays but the same tune over and over again</v>
      </c>
    </row>
    <row r="5919" spans="1:3" ht="15.75" customHeight="1" x14ac:dyDescent="0.25">
      <c r="A5919" s="2" t="s">
        <v>5921</v>
      </c>
      <c r="B5919" s="3" t="s">
        <v>4</v>
      </c>
      <c r="C5919" s="2" t="str">
        <f ca="1">IFERROR(__xludf.DUMMYFUNCTION("GOOGLETRANSLATE(A5919,""bn"",""en"")"),"Being light, there is no fatigue to hold it for a long time")</f>
        <v>Being light, there is no fatigue to hold it for a long time</v>
      </c>
    </row>
    <row r="5920" spans="1:3" ht="15.75" customHeight="1" x14ac:dyDescent="0.25">
      <c r="A5920" s="2" t="s">
        <v>5922</v>
      </c>
      <c r="B5920" s="3" t="s">
        <v>4</v>
      </c>
      <c r="C5920" s="2" t="str">
        <f ca="1">IFERROR(__xludf.DUMMYFUNCTION("GOOGLETRANSLATE(A5920,""bn"",""en"")"),"Gives a feeling of connecting with nature")</f>
        <v>Gives a feeling of connecting with nature</v>
      </c>
    </row>
    <row r="5921" spans="1:3" ht="15.75" customHeight="1" x14ac:dyDescent="0.25">
      <c r="A5921" s="2" t="s">
        <v>5923</v>
      </c>
      <c r="B5921" s="3" t="s">
        <v>6</v>
      </c>
      <c r="C5921" s="2" t="str">
        <f ca="1">IFERROR(__xludf.DUMMYFUNCTION("GOOGLETRANSLATE(A5921,""bn"",""en"")")," The viewfinder is small and dim which makes it difficult to compose shots accurately")</f>
        <v xml:space="preserve"> The viewfinder is small and dim which makes it difficult to compose shots accurately</v>
      </c>
    </row>
    <row r="5922" spans="1:3" ht="15.75" customHeight="1" x14ac:dyDescent="0.25">
      <c r="A5922" s="2" t="s">
        <v>5924</v>
      </c>
      <c r="B5922" s="3" t="s">
        <v>6</v>
      </c>
      <c r="C5922" s="2" t="str">
        <f ca="1">IFERROR(__xludf.DUMMYFUNCTION("GOOGLETRANSLATE(A5922,""bn"",""en"")"),"Upon inspection the garment has a fabric defect such as a hole or hole making it unwearable")</f>
        <v>Upon inspection the garment has a fabric defect such as a hole or hole making it unwearable</v>
      </c>
    </row>
    <row r="5923" spans="1:3" ht="15.75" customHeight="1" x14ac:dyDescent="0.25">
      <c r="A5923" s="2" t="s">
        <v>5925</v>
      </c>
      <c r="B5923" s="3" t="s">
        <v>6</v>
      </c>
      <c r="C5923" s="2" t="str">
        <f ca="1">IFERROR(__xludf.DUMMYFUNCTION("GOOGLETRANSLATE(A5923,""bn"",""en"")"),"The hair mask claimed hydration but failed to revive my damaged ends")</f>
        <v>The hair mask claimed hydration but failed to revive my damaged ends</v>
      </c>
    </row>
    <row r="5924" spans="1:3" ht="15.75" customHeight="1" x14ac:dyDescent="0.25">
      <c r="A5924" s="2" t="s">
        <v>5926</v>
      </c>
      <c r="B5924" s="3" t="s">
        <v>4</v>
      </c>
      <c r="C5924" s="2" t="str">
        <f ca="1">IFERROR(__xludf.DUMMYFUNCTION("GOOGLETRANSLATE(A5924,""bn"",""en"")"),"These kids toys are educational and fun")</f>
        <v>These kids toys are educational and fun</v>
      </c>
    </row>
    <row r="5925" spans="1:3" ht="15.75" customHeight="1" x14ac:dyDescent="0.25">
      <c r="A5925" s="2" t="s">
        <v>5927</v>
      </c>
      <c r="B5925" s="3" t="s">
        <v>4</v>
      </c>
      <c r="C5925" s="2" t="str">
        <f ca="1">IFERROR(__xludf.DUMMYFUNCTION("GOOGLETRANSLATE(A5925,""bn"",""en"")"),"This isolates the biases and creates no spider leg effect")</f>
        <v>This isolates the biases and creates no spider leg effect</v>
      </c>
    </row>
    <row r="5926" spans="1:3" ht="15.75" customHeight="1" x14ac:dyDescent="0.25">
      <c r="A5926" s="2" t="s">
        <v>5928</v>
      </c>
      <c r="B5926" s="3" t="s">
        <v>6</v>
      </c>
      <c r="C5926" s="2" t="str">
        <f ca="1">IFERROR(__xludf.DUMMYFUNCTION("GOOGLETRANSLATE(A5926,""bn"",""en"")"),"Low battery charge")</f>
        <v>Low battery charge</v>
      </c>
    </row>
    <row r="5927" spans="1:3" ht="15.75" customHeight="1" x14ac:dyDescent="0.25">
      <c r="A5927" s="2" t="s">
        <v>5929</v>
      </c>
      <c r="B5927" s="3" t="s">
        <v>4</v>
      </c>
      <c r="C5927" s="2" t="str">
        <f ca="1">IFERROR(__xludf.DUMMYFUNCTION("GOOGLETRANSLATE(A5927,""bn"",""en"")"),"Its napkin wings fit snugly which prevents leaks")</f>
        <v>Its napkin wings fit snugly which prevents leaks</v>
      </c>
    </row>
    <row r="5928" spans="1:3" ht="15.75" customHeight="1" x14ac:dyDescent="0.25">
      <c r="A5928" s="2" t="s">
        <v>5930</v>
      </c>
      <c r="B5928" s="3" t="s">
        <v>6</v>
      </c>
      <c r="C5928" s="2" t="str">
        <f ca="1">IFERROR(__xludf.DUMMYFUNCTION("GOOGLETRANSLATE(A5928,""bn"",""en"")")," The sound profile lacks clarity and detail making it difficult to identify individual instruments or vocals in music playback.")</f>
        <v xml:space="preserve"> The sound profile lacks clarity and detail making it difficult to identify individual instruments or vocals in music playback.</v>
      </c>
    </row>
    <row r="5929" spans="1:3" ht="15.75" customHeight="1" x14ac:dyDescent="0.25">
      <c r="A5929" s="2" t="s">
        <v>5931</v>
      </c>
      <c r="B5929" s="3" t="s">
        <v>2</v>
      </c>
      <c r="C5929" s="2" t="str">
        <f ca="1">IFERROR(__xludf.DUMMYFUNCTION("GOOGLETRANSLATE(A5929,""bn"",""en"")"),"Ring sizers that are barely adequate")</f>
        <v>Ring sizers that are barely adequate</v>
      </c>
    </row>
    <row r="5930" spans="1:3" ht="15.75" customHeight="1" x14ac:dyDescent="0.25">
      <c r="A5930" s="2" t="s">
        <v>5932</v>
      </c>
      <c r="B5930" s="3" t="s">
        <v>2</v>
      </c>
      <c r="C5930" s="2" t="str">
        <f ca="1">IFERROR(__xludf.DUMMYFUNCTION("GOOGLETRANSLATE(A5930,""bn"",""en"")"),"Quality is average")</f>
        <v>Quality is average</v>
      </c>
    </row>
    <row r="5931" spans="1:3" ht="15.75" customHeight="1" x14ac:dyDescent="0.25">
      <c r="A5931" s="2" t="s">
        <v>5933</v>
      </c>
      <c r="B5931" s="3" t="s">
        <v>4</v>
      </c>
      <c r="C5931" s="2" t="str">
        <f ca="1">IFERROR(__xludf.DUMMYFUNCTION("GOOGLETRANSLATE(A5931,""bn"",""en"")"),"This shampoo brings new life to the hair")</f>
        <v>This shampoo brings new life to the hair</v>
      </c>
    </row>
    <row r="5932" spans="1:3" ht="15.75" customHeight="1" x14ac:dyDescent="0.25">
      <c r="A5932" s="2" t="s">
        <v>5934</v>
      </c>
      <c r="B5932" s="3" t="s">
        <v>4</v>
      </c>
      <c r="C5932" s="2" t="str">
        <f ca="1">IFERROR(__xludf.DUMMYFUNCTION("GOOGLETRANSLATE(A5932,""bn"",""en"")"),"The design of the calendar is very attractive and nice")</f>
        <v>The design of the calendar is very attractive and nice</v>
      </c>
    </row>
    <row r="5933" spans="1:3" ht="15.75" customHeight="1" x14ac:dyDescent="0.25">
      <c r="A5933" s="2" t="s">
        <v>5935</v>
      </c>
      <c r="B5933" s="3" t="s">
        <v>2</v>
      </c>
      <c r="C5933" s="2" t="str">
        <f ca="1">IFERROR(__xludf.DUMMYFUNCTION("GOOGLETRANSLATE(A5933,""bn"",""en"")"),"Noise is reduced when using the mop")</f>
        <v>Noise is reduced when using the mop</v>
      </c>
    </row>
    <row r="5934" spans="1:3" ht="15.75" customHeight="1" x14ac:dyDescent="0.25">
      <c r="A5934" s="2" t="s">
        <v>5936</v>
      </c>
      <c r="B5934" s="3" t="s">
        <v>2</v>
      </c>
      <c r="C5934" s="2" t="str">
        <f ca="1">IFERROR(__xludf.DUMMYFUNCTION("GOOGLETRANSLATE(A5934,""bn"",""en"")"),"The bottle is not suitable for travel but can be used for other purposes")</f>
        <v>The bottle is not suitable for travel but can be used for other purposes</v>
      </c>
    </row>
    <row r="5935" spans="1:3" ht="15.75" customHeight="1" x14ac:dyDescent="0.25">
      <c r="A5935" s="2" t="s">
        <v>5937</v>
      </c>
      <c r="B5935" s="3" t="s">
        <v>6</v>
      </c>
      <c r="C5935" s="2" t="str">
        <f ca="1">IFERROR(__xludf.DUMMYFUNCTION("GOOGLETRANSLATE(A5935,""bn"",""en"")"),"The microwaveable burrito had a moist tortilla and the flavor was bland")</f>
        <v>The microwaveable burrito had a moist tortilla and the flavor was bland</v>
      </c>
    </row>
    <row r="5936" spans="1:3" ht="15.75" customHeight="1" x14ac:dyDescent="0.25">
      <c r="A5936" s="2" t="s">
        <v>5938</v>
      </c>
      <c r="B5936" s="3" t="s">
        <v>2</v>
      </c>
      <c r="C5936" s="2" t="str">
        <f ca="1">IFERROR(__xludf.DUMMYFUNCTION("GOOGLETRANSLATE(A5936,""bn"",""en"")"),"The color of the coffee after grinding is dark brown to black")</f>
        <v>The color of the coffee after grinding is dark brown to black</v>
      </c>
    </row>
    <row r="5937" spans="1:3" ht="15.75" customHeight="1" x14ac:dyDescent="0.25">
      <c r="A5937" s="2" t="s">
        <v>5939</v>
      </c>
      <c r="B5937" s="3" t="s">
        <v>2</v>
      </c>
      <c r="C5937" s="2" t="str">
        <f ca="1">IFERROR(__xludf.DUMMYFUNCTION("GOOGLETRANSLATE(A5937,""bn"",""en"")"),"The Smart Garden Sensor measures soil health but is not weatherproof")</f>
        <v>The Smart Garden Sensor measures soil health but is not weatherproof</v>
      </c>
    </row>
    <row r="5938" spans="1:3" ht="15.75" customHeight="1" x14ac:dyDescent="0.25">
      <c r="A5938" s="2" t="s">
        <v>5940</v>
      </c>
      <c r="B5938" s="3" t="s">
        <v>2</v>
      </c>
      <c r="C5938" s="2" t="str">
        <f ca="1">IFERROR(__xludf.DUMMYFUNCTION("GOOGLETRANSLATE(A5938,""bn"",""en"")"),"This can reduce the edge of the pencil")</f>
        <v>This can reduce the edge of the pencil</v>
      </c>
    </row>
    <row r="5939" spans="1:3" ht="15.75" customHeight="1" x14ac:dyDescent="0.25">
      <c r="A5939" s="2" t="s">
        <v>5941</v>
      </c>
      <c r="B5939" s="3" t="s">
        <v>4</v>
      </c>
      <c r="C5939" s="2" t="str">
        <f ca="1">IFERROR(__xludf.DUMMYFUNCTION("GOOGLETRANSLATE(A5939,""bn"",""en"")"),"Excellent memory card")</f>
        <v>Excellent memory card</v>
      </c>
    </row>
    <row r="5940" spans="1:3" ht="15.75" customHeight="1" x14ac:dyDescent="0.25">
      <c r="A5940" s="2" t="s">
        <v>5942</v>
      </c>
      <c r="B5940" s="3" t="s">
        <v>4</v>
      </c>
      <c r="C5940" s="2" t="str">
        <f ca="1">IFERROR(__xludf.DUMMYFUNCTION("GOOGLETRANSLATE(A5940,""bn"",""en"")"),"Encourages creativity")</f>
        <v>Encourages creativity</v>
      </c>
    </row>
    <row r="5941" spans="1:3" ht="15.75" customHeight="1" x14ac:dyDescent="0.25">
      <c r="A5941" s="2" t="s">
        <v>5943</v>
      </c>
      <c r="B5941" s="3" t="s">
        <v>4</v>
      </c>
      <c r="C5941" s="2" t="str">
        <f ca="1">IFERROR(__xludf.DUMMYFUNCTION("GOOGLETRANSLATE(A5941,""bn"",""en"")"),"This shampoo is really great for hair health")</f>
        <v>This shampoo is really great for hair health</v>
      </c>
    </row>
    <row r="5942" spans="1:3" ht="15.75" customHeight="1" x14ac:dyDescent="0.25">
      <c r="A5942" s="2" t="s">
        <v>5944</v>
      </c>
      <c r="B5942" s="3" t="s">
        <v>6</v>
      </c>
      <c r="C5942" s="2" t="str">
        <f ca="1">IFERROR(__xludf.DUMMYFUNCTION("GOOGLETRANSLATE(A5942,""bn"",""en"")"),"Reliability is questionable")</f>
        <v>Reliability is questionable</v>
      </c>
    </row>
    <row r="5943" spans="1:3" ht="15.75" customHeight="1" x14ac:dyDescent="0.25">
      <c r="A5943" s="2" t="s">
        <v>5945</v>
      </c>
      <c r="B5943" s="3" t="s">
        <v>4</v>
      </c>
      <c r="C5943" s="2" t="str">
        <f ca="1">IFERROR(__xludf.DUMMYFUNCTION("GOOGLETRANSLATE(A5943,""bn"",""en"")"),"It helps satisfy my hunger but doesn't make me feel too heavy")</f>
        <v>It helps satisfy my hunger but doesn't make me feel too heavy</v>
      </c>
    </row>
    <row r="5944" spans="1:3" ht="15.75" customHeight="1" x14ac:dyDescent="0.25">
      <c r="A5944" s="2" t="s">
        <v>5946</v>
      </c>
      <c r="B5944" s="3" t="s">
        <v>6</v>
      </c>
      <c r="C5944" s="2" t="str">
        <f ca="1">IFERROR(__xludf.DUMMYFUNCTION("GOOGLETRANSLATE(A5944,""bn"",""en"")"),"Limited manual control options prevent advanced users from finetuning settings for specific shooting conditions")</f>
        <v>Limited manual control options prevent advanced users from finetuning settings for specific shooting conditions</v>
      </c>
    </row>
    <row r="5945" spans="1:3" ht="15.75" customHeight="1" x14ac:dyDescent="0.25">
      <c r="A5945" s="2" t="s">
        <v>5947</v>
      </c>
      <c r="B5945" s="3" t="s">
        <v>2</v>
      </c>
      <c r="C5945" s="2" t="str">
        <f ca="1">IFERROR(__xludf.DUMMYFUNCTION("GOOGLETRANSLATE(A5945,""bn"",""en"")"),"Pocketsize digital tea infuser makes tea but difficult to control temperature")</f>
        <v>Pocketsize digital tea infuser makes tea but difficult to control temperature</v>
      </c>
    </row>
    <row r="5946" spans="1:3" ht="15.75" customHeight="1" x14ac:dyDescent="0.25">
      <c r="A5946" s="2" t="s">
        <v>5948</v>
      </c>
      <c r="B5946" s="3" t="s">
        <v>4</v>
      </c>
      <c r="C5946" s="2" t="str">
        <f ca="1">IFERROR(__xludf.DUMMYFUNCTION("GOOGLETRANSLATE(A5946,""bn"",""en"")"),"Students in our class are always attentive")</f>
        <v>Students in our class are always attentive</v>
      </c>
    </row>
    <row r="5947" spans="1:3" ht="15.75" customHeight="1" x14ac:dyDescent="0.25">
      <c r="A5947" s="2" t="s">
        <v>5949</v>
      </c>
      <c r="B5947" s="3" t="s">
        <v>4</v>
      </c>
      <c r="C5947" s="2" t="str">
        <f ca="1">IFERROR(__xludf.DUMMYFUNCTION("GOOGLETRANSLATE(A5947,""bn"",""en"")"),"The legs of the cupboard do not leave any marks on the floor")</f>
        <v>The legs of the cupboard do not leave any marks on the floor</v>
      </c>
    </row>
    <row r="5948" spans="1:3" ht="15.75" customHeight="1" x14ac:dyDescent="0.25">
      <c r="A5948" s="2" t="s">
        <v>5950</v>
      </c>
      <c r="B5948" s="3" t="s">
        <v>6</v>
      </c>
      <c r="C5948" s="2" t="str">
        <f ca="1">IFERROR(__xludf.DUMMYFUNCTION("GOOGLETRANSLATE(A5948,""bn"",""en"")"),"The shower gel bottle cracked and leaked spoiling the product")</f>
        <v>The shower gel bottle cracked and leaked spoiling the product</v>
      </c>
    </row>
    <row r="5949" spans="1:3" ht="15.75" customHeight="1" x14ac:dyDescent="0.25">
      <c r="A5949" s="2" t="s">
        <v>5951</v>
      </c>
      <c r="B5949" s="3" t="s">
        <v>2</v>
      </c>
      <c r="C5949" s="2" t="str">
        <f ca="1">IFERROR(__xludf.DUMMYFUNCTION("GOOGLETRANSLATE(A5949,""bn"",""en"")"),"A digital pocket microscope magnifies objects but is difficult to focus")</f>
        <v>A digital pocket microscope magnifies objects but is difficult to focus</v>
      </c>
    </row>
    <row r="5950" spans="1:3" ht="15.75" customHeight="1" x14ac:dyDescent="0.25">
      <c r="A5950" s="2" t="s">
        <v>5952</v>
      </c>
      <c r="B5950" s="3" t="s">
        <v>2</v>
      </c>
      <c r="C5950" s="2" t="str">
        <f ca="1">IFERROR(__xludf.DUMMYFUNCTION("GOOGLETRANSLATE(A5950,""bn"",""en"")"),"I like the color but the fitting is not right")</f>
        <v>I like the color but the fitting is not right</v>
      </c>
    </row>
    <row r="5951" spans="1:3" ht="15.75" customHeight="1" x14ac:dyDescent="0.25">
      <c r="A5951" s="2" t="s">
        <v>5953</v>
      </c>
      <c r="B5951" s="3" t="s">
        <v>6</v>
      </c>
      <c r="C5951" s="2" t="str">
        <f ca="1">IFERROR(__xludf.DUMMYFUNCTION("GOOGLETRANSLATE(A5951,""bn"",""en"")")," The handle feels flimsy and cheaply made, lacking durability")</f>
        <v xml:space="preserve"> The handle feels flimsy and cheaply made, lacking durability</v>
      </c>
    </row>
    <row r="5952" spans="1:3" ht="15.75" customHeight="1" x14ac:dyDescent="0.25">
      <c r="A5952" s="2" t="s">
        <v>5954</v>
      </c>
      <c r="B5952" s="3" t="s">
        <v>6</v>
      </c>
      <c r="C5952" s="2" t="str">
        <f ca="1">IFERROR(__xludf.DUMMYFUNCTION("GOOGLETRANSLATE(A5952,""bn"",""en"")"),"Unforgettable artwork lacks creativity")</f>
        <v>Unforgettable artwork lacks creativity</v>
      </c>
    </row>
    <row r="5953" spans="1:3" ht="15.75" customHeight="1" x14ac:dyDescent="0.25">
      <c r="A5953" s="2" t="s">
        <v>5955</v>
      </c>
      <c r="B5953" s="3" t="s">
        <v>6</v>
      </c>
      <c r="C5953" s="2" t="str">
        <f ca="1">IFERROR(__xludf.DUMMYFUNCTION("GOOGLETRANSLATE(A5953,""bn"",""en"")"),"Quality is not good")</f>
        <v>Quality is not good</v>
      </c>
    </row>
    <row r="5954" spans="1:3" ht="15.75" customHeight="1" x14ac:dyDescent="0.25">
      <c r="A5954" s="2" t="s">
        <v>5956</v>
      </c>
      <c r="B5954" s="3" t="s">
        <v>6</v>
      </c>
      <c r="C5954" s="2" t="str">
        <f ca="1">IFERROR(__xludf.DUMMYFUNCTION("GOOGLETRANSLATE(A5954,""bn"",""en"")"),"The instant noodles had an artificial flavor that was overpowering and unpleasant")</f>
        <v>The instant noodles had an artificial flavor that was overpowering and unpleasant</v>
      </c>
    </row>
    <row r="5955" spans="1:3" ht="15.75" customHeight="1" x14ac:dyDescent="0.25">
      <c r="A5955" s="2" t="s">
        <v>5957</v>
      </c>
      <c r="B5955" s="3" t="s">
        <v>6</v>
      </c>
      <c r="C5955" s="2" t="str">
        <f ca="1">IFERROR(__xludf.DUMMYFUNCTION("GOOGLETRANSLATE(A5955,""bn"",""en"")")," Door hinges are rusted compromising their structural integrity")</f>
        <v xml:space="preserve"> Door hinges are rusted compromising their structural integrity</v>
      </c>
    </row>
    <row r="5956" spans="1:3" ht="15.75" customHeight="1" x14ac:dyDescent="0.25">
      <c r="A5956" s="2" t="s">
        <v>5958</v>
      </c>
      <c r="B5956" s="3" t="s">
        <v>2</v>
      </c>
      <c r="C5956" s="2" t="str">
        <f ca="1">IFERROR(__xludf.DUMMYFUNCTION("GOOGLETRANSLATE(A5956,""bn"",""en"")"),"It can be cleaned easily")</f>
        <v>It can be cleaned easily</v>
      </c>
    </row>
    <row r="5957" spans="1:3" ht="15.75" customHeight="1" x14ac:dyDescent="0.25">
      <c r="A5957" s="2" t="s">
        <v>5959</v>
      </c>
      <c r="B5957" s="3" t="s">
        <v>6</v>
      </c>
      <c r="C5957" s="2" t="str">
        <f ca="1">IFERROR(__xludf.DUMMYFUNCTION("GOOGLETRANSLATE(A5957,""bn"",""en"")"),"The coffee had a burnt taste that indicated over-roasting")</f>
        <v>The coffee had a burnt taste that indicated over-roasting</v>
      </c>
    </row>
    <row r="5958" spans="1:3" ht="15.75" customHeight="1" x14ac:dyDescent="0.25">
      <c r="A5958" s="2" t="s">
        <v>5960</v>
      </c>
      <c r="B5958" s="3" t="s">
        <v>4</v>
      </c>
      <c r="C5958" s="2" t="str">
        <f ca="1">IFERROR(__xludf.DUMMYFUNCTION("GOOGLETRANSLATE(A5958,""bn"",""en"")"),"It also brightens the dark corners of the room")</f>
        <v>It also brightens the dark corners of the room</v>
      </c>
    </row>
    <row r="5959" spans="1:3" ht="15.75" customHeight="1" x14ac:dyDescent="0.25">
      <c r="A5959" s="2" t="s">
        <v>5961</v>
      </c>
      <c r="B5959" s="3" t="s">
        <v>2</v>
      </c>
      <c r="C5959" s="2" t="str">
        <f ca="1">IFERROR(__xludf.DUMMYFUNCTION("GOOGLETRANSLATE(A5959,""bn"",""en"")"),"Good product but not exceptional")</f>
        <v>Good product but not exceptional</v>
      </c>
    </row>
    <row r="5960" spans="1:3" ht="15.75" customHeight="1" x14ac:dyDescent="0.25">
      <c r="A5960" s="2" t="s">
        <v>5962</v>
      </c>
      <c r="B5960" s="3" t="s">
        <v>4</v>
      </c>
      <c r="C5960" s="2" t="str">
        <f ca="1">IFERROR(__xludf.DUMMYFUNCTION("GOOGLETRANSLATE(A5960,""bn"",""en"")"),"The deep thinking of the author is commendable")</f>
        <v>The deep thinking of the author is commendable</v>
      </c>
    </row>
    <row r="5961" spans="1:3" ht="15.75" customHeight="1" x14ac:dyDescent="0.25">
      <c r="A5961" s="2" t="s">
        <v>5963</v>
      </c>
      <c r="B5961" s="3" t="s">
        <v>4</v>
      </c>
      <c r="C5961" s="2" t="str">
        <f ca="1">IFERROR(__xludf.DUMMYFUNCTION("GOOGLETRANSLATE(A5961,""bn"",""en"")"),"Every story in the new book is very interesting")</f>
        <v>Every story in the new book is very interesting</v>
      </c>
    </row>
    <row r="5962" spans="1:3" ht="15.75" customHeight="1" x14ac:dyDescent="0.25">
      <c r="A5962" s="2" t="s">
        <v>5964</v>
      </c>
      <c r="B5962" s="3" t="s">
        <v>2</v>
      </c>
      <c r="C5962" s="2" t="str">
        <f ca="1">IFERROR(__xludf.DUMMYFUNCTION("GOOGLETRANSLATE(A5962,""bn"",""en"")"),"Looks nice but not very comfortable to use")</f>
        <v>Looks nice but not very comfortable to use</v>
      </c>
    </row>
    <row r="5963" spans="1:3" ht="15.75" customHeight="1" x14ac:dyDescent="0.25">
      <c r="A5963" s="2" t="s">
        <v>5965</v>
      </c>
      <c r="B5963" s="3" t="s">
        <v>2</v>
      </c>
      <c r="C5963" s="2" t="str">
        <f ca="1">IFERROR(__xludf.DUMMYFUNCTION("GOOGLETRANSLATE(A5963,""bn"",""en"")"),"The design is attractive but the fabric is stiff")</f>
        <v>The design is attractive but the fabric is stiff</v>
      </c>
    </row>
    <row r="5964" spans="1:3" ht="15.75" customHeight="1" x14ac:dyDescent="0.25">
      <c r="A5964" s="2" t="s">
        <v>5966</v>
      </c>
      <c r="B5964" s="3" t="s">
        <v>6</v>
      </c>
      <c r="C5964" s="2" t="str">
        <f ca="1">IFERROR(__xludf.DUMMYFUNCTION("GOOGLETRANSLATE(A5964,""bn"",""en"")"),"Antiaging serums fail to produce visible results despite regular use over extended periods of time")</f>
        <v>Antiaging serums fail to produce visible results despite regular use over extended periods of time</v>
      </c>
    </row>
    <row r="5965" spans="1:3" ht="15.75" customHeight="1" x14ac:dyDescent="0.25">
      <c r="A5965" s="2" t="s">
        <v>5967</v>
      </c>
      <c r="B5965" s="3" t="s">
        <v>4</v>
      </c>
      <c r="C5965" s="2" t="str">
        <f ca="1">IFERROR(__xludf.DUMMYFUNCTION("GOOGLETRANSLATE(A5965,""bn"",""en"")"),"The taste of this coffee draws me back again and again")</f>
        <v>The taste of this coffee draws me back again and again</v>
      </c>
    </row>
    <row r="5966" spans="1:3" ht="15.75" customHeight="1" x14ac:dyDescent="0.25">
      <c r="A5966" s="2" t="s">
        <v>5968</v>
      </c>
      <c r="B5966" s="3" t="s">
        <v>6</v>
      </c>
      <c r="C5966" s="2" t="str">
        <f ca="1">IFERROR(__xludf.DUMMYFUNCTION("GOOGLETRANSLATE(A5966,""bn"",""en"")"),"The smell was very floral overpowering the natural flavor of the tea leaves")</f>
        <v>The smell was very floral overpowering the natural flavor of the tea leaves</v>
      </c>
    </row>
    <row r="5967" spans="1:3" ht="15.75" customHeight="1" x14ac:dyDescent="0.25">
      <c r="A5967" s="2" t="s">
        <v>5969</v>
      </c>
      <c r="B5967" s="3" t="s">
        <v>6</v>
      </c>
      <c r="C5967" s="2" t="str">
        <f ca="1">IFERROR(__xludf.DUMMYFUNCTION("GOOGLETRANSLATE(A5967,""bn"",""en"")"),"The toe box is narrow causing discomfort and pain for people with wide feet")</f>
        <v>The toe box is narrow causing discomfort and pain for people with wide feet</v>
      </c>
    </row>
    <row r="5968" spans="1:3" ht="15.75" customHeight="1" x14ac:dyDescent="0.25">
      <c r="A5968" s="2" t="s">
        <v>5970</v>
      </c>
      <c r="B5968" s="3" t="s">
        <v>4</v>
      </c>
      <c r="C5968" s="2" t="str">
        <f ca="1">IFERROR(__xludf.DUMMYFUNCTION("GOOGLETRANSLATE(A5968,""bn"",""en"")"),"It gives a nice shine to my hair")</f>
        <v>It gives a nice shine to my hair</v>
      </c>
    </row>
    <row r="5969" spans="1:3" ht="15.75" customHeight="1" x14ac:dyDescent="0.25">
      <c r="A5969" s="2" t="s">
        <v>5971</v>
      </c>
      <c r="B5969" s="3" t="s">
        <v>6</v>
      </c>
      <c r="C5969" s="2" t="str">
        <f ca="1">IFERROR(__xludf.DUMMYFUNCTION("GOOGLETRANSLATE(A5969,""bn"",""en"")"),"Easily absorbent material retains odors")</f>
        <v>Easily absorbent material retains odors</v>
      </c>
    </row>
    <row r="5970" spans="1:3" ht="15.75" customHeight="1" x14ac:dyDescent="0.25">
      <c r="A5970" s="2" t="s">
        <v>5972</v>
      </c>
      <c r="B5970" s="3" t="s">
        <v>2</v>
      </c>
      <c r="C5970" s="2" t="str">
        <f ca="1">IFERROR(__xludf.DUMMYFUNCTION("GOOGLETRANSLATE(A5970,""bn"",""en"")"),"A portable digital microphone mixer mixes audio but has limited input ports")</f>
        <v>A portable digital microphone mixer mixes audio but has limited input ports</v>
      </c>
    </row>
    <row r="5971" spans="1:3" ht="15.75" customHeight="1" x14ac:dyDescent="0.25">
      <c r="A5971" s="2" t="s">
        <v>5973</v>
      </c>
      <c r="B5971" s="3" t="s">
        <v>2</v>
      </c>
      <c r="C5971" s="2" t="str">
        <f ca="1">IFERROR(__xludf.DUMMYFUNCTION("GOOGLETRANSLATE(A5971,""bn"",""en"")"),"Hoping for better attention")</f>
        <v>Hoping for better attention</v>
      </c>
    </row>
    <row r="5972" spans="1:3" ht="15.75" customHeight="1" x14ac:dyDescent="0.25">
      <c r="A5972" s="2" t="s">
        <v>5974</v>
      </c>
      <c r="B5972" s="3" t="s">
        <v>2</v>
      </c>
      <c r="C5972" s="2" t="str">
        <f ca="1">IFERROR(__xludf.DUMMYFUNCTION("GOOGLETRANSLATE(A5972,""bn"",""en"")"),"Yes, a bit disappointed")</f>
        <v>Yes, a bit disappointed</v>
      </c>
    </row>
    <row r="5973" spans="1:3" ht="15.75" customHeight="1" x14ac:dyDescent="0.25">
      <c r="A5973" s="2" t="s">
        <v>5975</v>
      </c>
      <c r="B5973" s="3" t="s">
        <v>4</v>
      </c>
      <c r="C5973" s="2" t="str">
        <f ca="1">IFERROR(__xludf.DUMMYFUNCTION("GOOGLETRANSLATE(A5973,""bn"",""en"")"),"The serving bowls that come with the set come in different sizes which are very useful for serving different types of food")</f>
        <v>The serving bowls that come with the set come in different sizes which are very useful for serving different types of food</v>
      </c>
    </row>
    <row r="5974" spans="1:3" ht="15.75" customHeight="1" x14ac:dyDescent="0.25">
      <c r="A5974" s="2" t="s">
        <v>5976</v>
      </c>
      <c r="B5974" s="3" t="s">
        <v>6</v>
      </c>
      <c r="C5974" s="2" t="str">
        <f ca="1">IFERROR(__xludf.DUMMYFUNCTION("GOOGLETRANSLATE(A5974,""bn"",""en"")"),"The foundation's coverage is patchy and uneven leaving some areas bare and others cakey")</f>
        <v>The foundation's coverage is patchy and uneven leaving some areas bare and others cakey</v>
      </c>
    </row>
    <row r="5975" spans="1:3" ht="15.75" customHeight="1" x14ac:dyDescent="0.25">
      <c r="A5975" s="2" t="s">
        <v>5977</v>
      </c>
      <c r="B5975" s="3" t="s">
        <v>4</v>
      </c>
      <c r="C5975" s="2" t="str">
        <f ca="1">IFERROR(__xludf.DUMMYFUNCTION("GOOGLETRANSLATE(A5975,""bn"",""en"")"),"The formula contains anti-aging ingredients")</f>
        <v>The formula contains anti-aging ingredients</v>
      </c>
    </row>
    <row r="5976" spans="1:3" ht="15.75" customHeight="1" x14ac:dyDescent="0.25">
      <c r="A5976" s="2" t="s">
        <v>5978</v>
      </c>
      <c r="B5976" s="3" t="s">
        <v>6</v>
      </c>
      <c r="C5976" s="2" t="str">
        <f ca="1">IFERROR(__xludf.DUMMYFUNCTION("GOOGLETRANSLATE(A5976,""bn"",""en"")"),"The camera's LCD screen is prone to glare, making composing outdoor shots challenging")</f>
        <v>The camera's LCD screen is prone to glare, making composing outdoor shots challenging</v>
      </c>
    </row>
    <row r="5977" spans="1:3" ht="15.75" customHeight="1" x14ac:dyDescent="0.25">
      <c r="A5977" s="2" t="s">
        <v>5979</v>
      </c>
      <c r="B5977" s="3" t="s">
        <v>2</v>
      </c>
      <c r="C5977" s="2" t="str">
        <f ca="1">IFERROR(__xludf.DUMMYFUNCTION("GOOGLETRANSLATE(A5977,""bn"",""en"")"),"I have mixed feelings after reading the book, the continuity of the story is good")</f>
        <v>I have mixed feelings after reading the book, the continuity of the story is good</v>
      </c>
    </row>
    <row r="5978" spans="1:3" ht="15.75" customHeight="1" x14ac:dyDescent="0.25">
      <c r="A5978" s="2" t="s">
        <v>5980</v>
      </c>
      <c r="B5978" s="3" t="s">
        <v>2</v>
      </c>
      <c r="C5978" s="2" t="str">
        <f ca="1">IFERROR(__xludf.DUMMYFUNCTION("GOOGLETRANSLATE(A5978,""bn"",""en"")"),"The product will be easy to clean")</f>
        <v>The product will be easy to clean</v>
      </c>
    </row>
    <row r="5979" spans="1:3" ht="15.75" customHeight="1" x14ac:dyDescent="0.25">
      <c r="A5979" s="2" t="s">
        <v>5981</v>
      </c>
      <c r="B5979" s="3" t="s">
        <v>4</v>
      </c>
      <c r="C5979" s="2" t="str">
        <f ca="1">IFERROR(__xludf.DUMMYFUNCTION("GOOGLETRANSLATE(A5979,""bn"",""en"")"),"Good value product very nice")</f>
        <v>Good value product very nice</v>
      </c>
    </row>
    <row r="5980" spans="1:3" ht="15.75" customHeight="1" x14ac:dyDescent="0.25">
      <c r="A5980" s="2" t="s">
        <v>5982</v>
      </c>
      <c r="B5980" s="3" t="s">
        <v>6</v>
      </c>
      <c r="C5980" s="2" t="str">
        <f ca="1">IFERROR(__xludf.DUMMYFUNCTION("GOOGLETRANSLATE(A5980,""bn"",""en"")")," The panel had a narrow viewing angle resulting in distorted colors at offcenter angles")</f>
        <v xml:space="preserve"> The panel had a narrow viewing angle resulting in distorted colors at offcenter angles</v>
      </c>
    </row>
    <row r="5981" spans="1:3" ht="15.75" customHeight="1" x14ac:dyDescent="0.25">
      <c r="A5981" s="2" t="s">
        <v>5983</v>
      </c>
      <c r="B5981" s="3" t="s">
        <v>2</v>
      </c>
      <c r="C5981" s="2" t="str">
        <f ca="1">IFERROR(__xludf.DUMMYFUNCTION("GOOGLETRANSLATE(A5981,""bn"",""en"")"),"May be larger for smaller devices")</f>
        <v>May be larger for smaller devices</v>
      </c>
    </row>
    <row r="5982" spans="1:3" ht="15.75" customHeight="1" x14ac:dyDescent="0.25">
      <c r="A5982" s="2" t="s">
        <v>5984</v>
      </c>
      <c r="B5982" s="3" t="s">
        <v>4</v>
      </c>
      <c r="C5982" s="2" t="str">
        <f ca="1">IFERROR(__xludf.DUMMYFUNCTION("GOOGLETRANSLATE(A5982,""bn"",""en"")"),"The plastic flower can be used in various occasions")</f>
        <v>The plastic flower can be used in various occasions</v>
      </c>
    </row>
    <row r="5983" spans="1:3" ht="15.75" customHeight="1" x14ac:dyDescent="0.25">
      <c r="A5983" s="2" t="s">
        <v>5985</v>
      </c>
      <c r="B5983" s="3" t="s">
        <v>6</v>
      </c>
      <c r="C5983" s="2" t="str">
        <f ca="1">IFERROR(__xludf.DUMMYFUNCTION("GOOGLETRANSLATE(A5983,""bn"",""en"")"),"It was wobbly on the countertop due to the unstable base")</f>
        <v>It was wobbly on the countertop due to the unstable base</v>
      </c>
    </row>
    <row r="5984" spans="1:3" ht="15.75" customHeight="1" x14ac:dyDescent="0.25">
      <c r="A5984" s="2" t="s">
        <v>5986</v>
      </c>
      <c r="B5984" s="3" t="s">
        <v>2</v>
      </c>
      <c r="C5984" s="2" t="str">
        <f ca="1">IFERROR(__xludf.DUMMYFUNCTION("GOOGLETRANSLATE(A5984,""bn"",""en"")"),"The color is fine but the price seems a bit high")</f>
        <v>The color is fine but the price seems a bit high</v>
      </c>
    </row>
    <row r="5985" spans="1:3" ht="15.75" customHeight="1" x14ac:dyDescent="0.25">
      <c r="A5985" s="2" t="s">
        <v>5987</v>
      </c>
      <c r="B5985" s="3" t="s">
        <v>4</v>
      </c>
      <c r="C5985" s="2" t="str">
        <f ca="1">IFERROR(__xludf.DUMMYFUNCTION("GOOGLETRANSLATE(A5985,""bn"",""en"")"),"This blanket is extremely comfortable")</f>
        <v>This blanket is extremely comfortable</v>
      </c>
    </row>
    <row r="5986" spans="1:3" ht="15.75" customHeight="1" x14ac:dyDescent="0.25">
      <c r="A5986" s="2" t="s">
        <v>5988</v>
      </c>
      <c r="B5986" s="3" t="s">
        <v>2</v>
      </c>
      <c r="C5986" s="2" t="str">
        <f ca="1">IFERROR(__xludf.DUMMYFUNCTION("GOOGLETRANSLATE(A5986,""bn"",""en"")"),"The mop cloth absorbs water fairly well")</f>
        <v>The mop cloth absorbs water fairly well</v>
      </c>
    </row>
    <row r="5987" spans="1:3" ht="15.75" customHeight="1" x14ac:dyDescent="0.25">
      <c r="A5987" s="2" t="s">
        <v>5989</v>
      </c>
      <c r="B5987" s="3" t="s">
        <v>4</v>
      </c>
      <c r="C5987" s="2" t="str">
        <f ca="1">IFERROR(__xludf.DUMMYFUNCTION("GOOGLETRANSLATE(A5987,""bn"",""en"")"),"The handle grip of the brush is quite comfortable and easy to hold")</f>
        <v>The handle grip of the brush is quite comfortable and easy to hold</v>
      </c>
    </row>
    <row r="5988" spans="1:3" ht="15.75" customHeight="1" x14ac:dyDescent="0.25">
      <c r="A5988" s="2" t="s">
        <v>5990</v>
      </c>
      <c r="B5988" s="3" t="s">
        <v>4</v>
      </c>
      <c r="C5988" s="2" t="str">
        <f ca="1">IFERROR(__xludf.DUMMYFUNCTION("GOOGLETRANSLATE(A5988,""bn"",""en"")"),"Very sturdy and quality")</f>
        <v>Very sturdy and quality</v>
      </c>
    </row>
    <row r="5989" spans="1:3" ht="15.75" customHeight="1" x14ac:dyDescent="0.25">
      <c r="A5989" s="2" t="s">
        <v>5991</v>
      </c>
      <c r="B5989" s="3" t="s">
        <v>4</v>
      </c>
      <c r="C5989" s="2" t="str">
        <f ca="1">IFERROR(__xludf.DUMMYFUNCTION("GOOGLETRANSLATE(A5989,""bn"",""en"")"),"A joy to watch and easy setup")</f>
        <v>A joy to watch and easy setup</v>
      </c>
    </row>
    <row r="5990" spans="1:3" ht="15.75" customHeight="1" x14ac:dyDescent="0.25">
      <c r="A5990" s="2" t="s">
        <v>5992</v>
      </c>
      <c r="B5990" s="3" t="s">
        <v>4</v>
      </c>
      <c r="C5990" s="2" t="str">
        <f ca="1">IFERROR(__xludf.DUMMYFUNCTION("GOOGLETRANSLATE(A5990,""bn"",""en"")"),"The pillow covers that come with the set are beautifully designed and go well with my room decor")</f>
        <v>The pillow covers that come with the set are beautifully designed and go well with my room decor</v>
      </c>
    </row>
    <row r="5991" spans="1:3" ht="15.75" customHeight="1" x14ac:dyDescent="0.25">
      <c r="A5991" s="2" t="s">
        <v>5993</v>
      </c>
      <c r="B5991" s="3" t="s">
        <v>2</v>
      </c>
      <c r="C5991" s="2" t="str">
        <f ca="1">IFERROR(__xludf.DUMMYFUNCTION("GOOGLETRANSLATE(A5991,""bn"",""en"")"),"The smart band feature is good but does not show accurate information")</f>
        <v>The smart band feature is good but does not show accurate information</v>
      </c>
    </row>
    <row r="5992" spans="1:3" ht="15.75" customHeight="1" x14ac:dyDescent="0.25">
      <c r="A5992" s="2" t="s">
        <v>5994</v>
      </c>
      <c r="B5992" s="3" t="s">
        <v>2</v>
      </c>
      <c r="C5992" s="2" t="str">
        <f ca="1">IFERROR(__xludf.DUMMYFUNCTION("GOOGLETRANSLATE(A5992,""bn"",""en"")"),"Operation sound will be tolerable")</f>
        <v>Operation sound will be tolerable</v>
      </c>
    </row>
    <row r="5993" spans="1:3" ht="15.75" customHeight="1" x14ac:dyDescent="0.25">
      <c r="A5993" s="2" t="s">
        <v>5995</v>
      </c>
      <c r="B5993" s="3" t="s">
        <v>6</v>
      </c>
      <c r="C5993" s="2" t="str">
        <f ca="1">IFERROR(__xludf.DUMMYFUNCTION("GOOGLETRANSLATE(A5993,""bn"",""en"")")," The design is outdated and unattractive and doesn't fit the modern kitchen aesthetic")</f>
        <v xml:space="preserve"> The design is outdated and unattractive and doesn't fit the modern kitchen aesthetic</v>
      </c>
    </row>
    <row r="5994" spans="1:3" ht="15.75" customHeight="1" x14ac:dyDescent="0.25">
      <c r="A5994" s="2" t="s">
        <v>5996</v>
      </c>
      <c r="B5994" s="3" t="s">
        <v>4</v>
      </c>
      <c r="C5994" s="2" t="str">
        <f ca="1">IFERROR(__xludf.DUMMYFUNCTION("GOOGLETRANSLATE(A5994,""bn"",""en"")"),"My blog makes the sound great")</f>
        <v>My blog makes the sound great</v>
      </c>
    </row>
    <row r="5995" spans="1:3" ht="15.75" customHeight="1" x14ac:dyDescent="0.25">
      <c r="A5995" s="2" t="s">
        <v>5997</v>
      </c>
      <c r="B5995" s="3" t="s">
        <v>6</v>
      </c>
      <c r="C5995" s="2" t="str">
        <f ca="1">IFERROR(__xludf.DUMMYFUNCTION("GOOGLETRANSLATE(A5995,""bn"",""en"")"),"The item lacked innovation or creativity in its design")</f>
        <v>The item lacked innovation or creativity in its design</v>
      </c>
    </row>
    <row r="5996" spans="1:3" ht="15.75" customHeight="1" x14ac:dyDescent="0.25">
      <c r="A5996" s="2" t="s">
        <v>5998</v>
      </c>
      <c r="B5996" s="3" t="s">
        <v>4</v>
      </c>
      <c r="C5996" s="2" t="str">
        <f ca="1">IFERROR(__xludf.DUMMYFUNCTION("GOOGLETRANSLATE(A5996,""bn"",""en"")"),"Secure and easy to install")</f>
        <v>Secure and easy to install</v>
      </c>
    </row>
    <row r="5997" spans="1:3" ht="15.75" customHeight="1" x14ac:dyDescent="0.25">
      <c r="A5997" s="2" t="s">
        <v>5999</v>
      </c>
      <c r="B5997" s="3" t="s">
        <v>2</v>
      </c>
      <c r="C5997" s="2" t="str">
        <f ca="1">IFERROR(__xludf.DUMMYFUNCTION("GOOGLETRANSLATE(A5997,""bn"",""en"")"),"The product has quality standards and some limitations")</f>
        <v>The product has quality standards and some limitations</v>
      </c>
    </row>
    <row r="5998" spans="1:3" ht="15.75" customHeight="1" x14ac:dyDescent="0.25">
      <c r="A5998" s="2" t="s">
        <v>6000</v>
      </c>
      <c r="B5998" s="3" t="s">
        <v>4</v>
      </c>
      <c r="C5998" s="2" t="str">
        <f ca="1">IFERROR(__xludf.DUMMYFUNCTION("GOOGLETRANSLATE(A5998,""bn"",""en"")"),"The computer monitor display is very clear and bright")</f>
        <v>The computer monitor display is very clear and bright</v>
      </c>
    </row>
    <row r="5999" spans="1:3" ht="15.75" customHeight="1" x14ac:dyDescent="0.25">
      <c r="A5999" s="2" t="s">
        <v>6001</v>
      </c>
      <c r="B5999" s="3" t="s">
        <v>6</v>
      </c>
      <c r="C5999" s="2" t="str">
        <f ca="1">IFERROR(__xludf.DUMMYFUNCTION("GOOGLETRANSLATE(A5999,""bn"",""en"")"),"Curcuma joint guard is an excellent medicine ")</f>
        <v xml:space="preserve">Curcuma joint guard is an excellent medicine </v>
      </c>
    </row>
    <row r="6000" spans="1:3" ht="15.75" customHeight="1" x14ac:dyDescent="0.25">
      <c r="A6000" s="2" t="s">
        <v>6002</v>
      </c>
      <c r="B6000" s="3" t="s">
        <v>6</v>
      </c>
      <c r="C6000" s="2" t="str">
        <f ca="1">IFERROR(__xludf.DUMMYFUNCTION("GOOGLETRANSLATE(A6000,""bn"",""en"")"),"  The outer fabric scratches easily and shows signs of wear")</f>
        <v xml:space="preserve">  The outer fabric scratches easily and shows signs of wear</v>
      </c>
    </row>
    <row r="6001" spans="1:3" ht="15.75" customHeight="1" x14ac:dyDescent="0.25">
      <c r="A6001" s="2" t="s">
        <v>6003</v>
      </c>
      <c r="B6001" s="3" t="s">
        <v>4</v>
      </c>
      <c r="C6001" s="2" t="str">
        <f ca="1">IFERROR(__xludf.DUMMYFUNCTION("GOOGLETRANSLATE(A6001,""bn"",""en"")"),"Each product in the kit is well packaged")</f>
        <v>Each product in the kit is well packaged</v>
      </c>
    </row>
    <row r="6002" spans="1:3" ht="15.75" customHeight="1" x14ac:dyDescent="0.25">
      <c r="A6002" s="2" t="s">
        <v>6004</v>
      </c>
      <c r="B6002" s="3" t="s">
        <v>6</v>
      </c>
      <c r="C6002" s="2" t="str">
        <f ca="1">IFERROR(__xludf.DUMMYFUNCTION("GOOGLETRANSLATE(A6002,""bn"",""en"")"),"Poor quality is not worth the price")</f>
        <v>Poor quality is not worth the price</v>
      </c>
    </row>
    <row r="6003" spans="1:3" ht="15.75" customHeight="1" x14ac:dyDescent="0.25">
      <c r="A6003" s="2" t="s">
        <v>6005</v>
      </c>
      <c r="B6003" s="3" t="s">
        <v>6</v>
      </c>
      <c r="C6003" s="2" t="str">
        <f ca="1">IFERROR(__xludf.DUMMYFUNCTION("GOOGLETRANSLATE(A6003,""bn"",""en"")")," The fog had a strange chemical smell that lingered all day")</f>
        <v xml:space="preserve"> The fog had a strange chemical smell that lingered all day</v>
      </c>
    </row>
    <row r="6004" spans="1:3" ht="15.75" customHeight="1" x14ac:dyDescent="0.25">
      <c r="A6004" s="2" t="s">
        <v>6006</v>
      </c>
      <c r="B6004" s="3" t="s">
        <v>2</v>
      </c>
      <c r="C6004" s="2" t="str">
        <f ca="1">IFERROR(__xludf.DUMMYFUNCTION("GOOGLETRANSLATE(A6004,""bn"",""en"")"),"It is recommended to stir or mix the contents of the product before use")</f>
        <v>It is recommended to stir or mix the contents of the product before use</v>
      </c>
    </row>
    <row r="6005" spans="1:3" ht="15.75" customHeight="1" x14ac:dyDescent="0.25">
      <c r="A6005" s="2" t="s">
        <v>6007</v>
      </c>
      <c r="B6005" s="3" t="s">
        <v>4</v>
      </c>
      <c r="C6005" s="2" t="str">
        <f ca="1">IFERROR(__xludf.DUMMYFUNCTION("GOOGLETRANSLATE(A6005,""bn"",""en"")"),"My winter nights are much more pleasant after using the blanket tea")</f>
        <v>My winter nights are much more pleasant after using the blanket tea</v>
      </c>
    </row>
    <row r="6006" spans="1:3" ht="15.75" customHeight="1" x14ac:dyDescent="0.25">
      <c r="A6006" s="2" t="s">
        <v>6008</v>
      </c>
      <c r="B6006" s="3" t="s">
        <v>4</v>
      </c>
      <c r="C6006" s="2" t="str">
        <f ca="1">IFERROR(__xludf.DUMMYFUNCTION("GOOGLETRANSLATE(A6006,""bn"",""en"")"),"Very tasty and quality")</f>
        <v>Very tasty and quality</v>
      </c>
    </row>
    <row r="6007" spans="1:3" ht="15.75" customHeight="1" x14ac:dyDescent="0.25">
      <c r="A6007" s="2" t="s">
        <v>6009</v>
      </c>
      <c r="B6007" s="3" t="s">
        <v>2</v>
      </c>
      <c r="C6007" s="2" t="str">
        <f ca="1">IFERROR(__xludf.DUMMYFUNCTION("GOOGLETRANSLATE(A6007,""bn"",""en"")"),"The fit is okay but a bit generic")</f>
        <v>The fit is okay but a bit generic</v>
      </c>
    </row>
    <row r="6008" spans="1:3" ht="15.75" customHeight="1" x14ac:dyDescent="0.25">
      <c r="A6008" s="2" t="s">
        <v>6010</v>
      </c>
      <c r="B6008" s="3" t="s">
        <v>6</v>
      </c>
      <c r="C6008" s="2" t="str">
        <f ca="1">IFERROR(__xludf.DUMMYFUNCTION("GOOGLETRANSLATE(A6008,""bn"",""en"")"),"The paint had a glossy finish not suitable for certain techniques")</f>
        <v>The paint had a glossy finish not suitable for certain techniques</v>
      </c>
    </row>
    <row r="6009" spans="1:3" ht="15.75" customHeight="1" x14ac:dyDescent="0.25">
      <c r="A6009" s="2" t="s">
        <v>6011</v>
      </c>
      <c r="B6009" s="3" t="s">
        <v>6</v>
      </c>
      <c r="C6009" s="2" t="str">
        <f ca="1">IFERROR(__xludf.DUMMYFUNCTION("GOOGLETRANSLATE(A6009,""bn"",""en"")"),"Condensation inside the fridge requires frequent wiping")</f>
        <v>Condensation inside the fridge requires frequent wiping</v>
      </c>
    </row>
    <row r="6010" spans="1:3" ht="15.75" customHeight="1" x14ac:dyDescent="0.25">
      <c r="A6010" s="2" t="s">
        <v>6012</v>
      </c>
      <c r="B6010" s="3" t="s">
        <v>6</v>
      </c>
      <c r="C6010" s="2" t="str">
        <f ca="1">IFERROR(__xludf.DUMMYFUNCTION("GOOGLETRANSLATE(A6010,""bn"",""en"")"),"The painting set did not include enough palette knives for mixing")</f>
        <v>The painting set did not include enough palette knives for mixing</v>
      </c>
    </row>
    <row r="6011" spans="1:3" ht="15.75" customHeight="1" x14ac:dyDescent="0.25">
      <c r="A6011" s="2" t="s">
        <v>6013</v>
      </c>
      <c r="B6011" s="3" t="s">
        <v>6</v>
      </c>
      <c r="C6011" s="2" t="str">
        <f ca="1">IFERROR(__xludf.DUMMYFUNCTION("GOOGLETRANSLATE(A6011,""bn"",""en"")"),"Continuous shooting mode misses important moments during sluggish fast-paced action")</f>
        <v>Continuous shooting mode misses important moments during sluggish fast-paced action</v>
      </c>
    </row>
    <row r="6012" spans="1:3" ht="15.75" customHeight="1" x14ac:dyDescent="0.25">
      <c r="A6012" s="2" t="s">
        <v>6014</v>
      </c>
      <c r="B6012" s="3" t="s">
        <v>6</v>
      </c>
      <c r="C6012" s="2" t="str">
        <f ca="1">IFERROR(__xludf.DUMMYFUNCTION("GOOGLETRANSLATE(A6012,""bn"",""en"")"),"Bath mats quickly develop mold despite regular cleaning")</f>
        <v>Bath mats quickly develop mold despite regular cleaning</v>
      </c>
    </row>
    <row r="6013" spans="1:3" ht="15.75" customHeight="1" x14ac:dyDescent="0.25">
      <c r="A6013" s="2" t="s">
        <v>6015</v>
      </c>
      <c r="B6013" s="3" t="s">
        <v>2</v>
      </c>
      <c r="C6013" s="2" t="str">
        <f ca="1">IFERROR(__xludf.DUMMYFUNCTION("GOOGLETRANSLATE(A6013,""bn"",""en"")"),"Check if this is a very good product")</f>
        <v>Check if this is a very good product</v>
      </c>
    </row>
    <row r="6014" spans="1:3" ht="15.75" customHeight="1" x14ac:dyDescent="0.25">
      <c r="A6014" s="2" t="s">
        <v>6016</v>
      </c>
      <c r="B6014" s="3" t="s">
        <v>6</v>
      </c>
      <c r="C6014" s="2" t="str">
        <f ca="1">IFERROR(__xludf.DUMMYFUNCTION("GOOGLETRANSLATE(A6014,""bn"",""en"")"),"Despite its delicate appearance, the jewelry felt heavy and cumbersome to wear, weighing down my ears and neck uncomfortably")</f>
        <v>Despite its delicate appearance, the jewelry felt heavy and cumbersome to wear, weighing down my ears and neck uncomfortably</v>
      </c>
    </row>
    <row r="6015" spans="1:3" ht="15.75" customHeight="1" x14ac:dyDescent="0.25">
      <c r="A6015" s="2" t="s">
        <v>6017</v>
      </c>
      <c r="B6015" s="3" t="s">
        <v>2</v>
      </c>
      <c r="C6015" s="2" t="str">
        <f ca="1">IFERROR(__xludf.DUMMYFUNCTION("GOOGLETRANSLATE(A6015,""bn"",""en"")"),"The cover is soft but not too soft")</f>
        <v>The cover is soft but not too soft</v>
      </c>
    </row>
    <row r="6016" spans="1:3" ht="15.75" customHeight="1" x14ac:dyDescent="0.25">
      <c r="A6016" s="2" t="s">
        <v>6018</v>
      </c>
      <c r="B6016" s="3" t="s">
        <v>6</v>
      </c>
      <c r="C6016" s="2" t="str">
        <f ca="1">IFERROR(__xludf.DUMMYFUNCTION("GOOGLETRANSLATE(A6016,""bn"",""en"")"),"Improper clothing frustrated by incorrect sizing")</f>
        <v>Improper clothing frustrated by incorrect sizing</v>
      </c>
    </row>
    <row r="6017" spans="1:3" ht="15.75" customHeight="1" x14ac:dyDescent="0.25">
      <c r="A6017" s="2" t="s">
        <v>6019</v>
      </c>
      <c r="B6017" s="3" t="s">
        <v>4</v>
      </c>
      <c r="C6017" s="2" t="str">
        <f ca="1">IFERROR(__xludf.DUMMYFUNCTION("GOOGLETRANSLATE(A6017,""bn"",""en"")"),"Perfect to eat with tea")</f>
        <v>Perfect to eat with tea</v>
      </c>
    </row>
    <row r="6018" spans="1:3" ht="15.75" customHeight="1" x14ac:dyDescent="0.25">
      <c r="A6018" s="2" t="s">
        <v>6020</v>
      </c>
      <c r="B6018" s="3" t="s">
        <v>4</v>
      </c>
      <c r="C6018" s="2" t="str">
        <f ca="1">IFERROR(__xludf.DUMMYFUNCTION("GOOGLETRANSLATE(A6018,""bn"",""en"")"),"Each layer of the shelf is load bearing")</f>
        <v>Each layer of the shelf is load bearing</v>
      </c>
    </row>
    <row r="6019" spans="1:3" ht="15.75" customHeight="1" x14ac:dyDescent="0.25">
      <c r="A6019" s="2" t="s">
        <v>6021</v>
      </c>
      <c r="B6019" s="3" t="s">
        <v>2</v>
      </c>
      <c r="C6019" s="2" t="str">
        <f ca="1">IFERROR(__xludf.DUMMYFUNCTION("GOOGLETRANSLATE(A6019,""bn"",""en"")"),"Exactly what is needed may not be suitable for all types of jewelry")</f>
        <v>Exactly what is needed may not be suitable for all types of jewelry</v>
      </c>
    </row>
    <row r="6020" spans="1:3" ht="15.75" customHeight="1" x14ac:dyDescent="0.25">
      <c r="A6020" s="2" t="s">
        <v>6022</v>
      </c>
      <c r="B6020" s="3" t="s">
        <v>2</v>
      </c>
      <c r="C6020" s="2" t="str">
        <f ca="1">IFERROR(__xludf.DUMMYFUNCTION("GOOGLETRANSLATE(A6020,""bn"",""en"")"),"The design is good but the fabric is a bit uncomfortable")</f>
        <v>The design is good but the fabric is a bit uncomfortable</v>
      </c>
    </row>
    <row r="6021" spans="1:3" ht="15.75" customHeight="1" x14ac:dyDescent="0.25">
      <c r="A6021" s="2" t="s">
        <v>6023</v>
      </c>
      <c r="B6021" s="3" t="s">
        <v>2</v>
      </c>
      <c r="C6021" s="2" t="str">
        <f ca="1">IFERROR(__xludf.DUMMYFUNCTION("GOOGLETRANSLATE(A6021,""bn"",""en"")"),"Keeps food hot but also gets hot")</f>
        <v>Keeps food hot but also gets hot</v>
      </c>
    </row>
    <row r="6022" spans="1:3" ht="15.75" customHeight="1" x14ac:dyDescent="0.25">
      <c r="A6022" s="2" t="s">
        <v>6024</v>
      </c>
      <c r="B6022" s="3" t="s">
        <v>6</v>
      </c>
      <c r="C6022" s="2" t="str">
        <f ca="1">IFERROR(__xludf.DUMMYFUNCTION("GOOGLETRANSLATE(A6022,""bn"",""en"")"),"The lip gloss applicator is very stiff making it difficult to control during application")</f>
        <v>The lip gloss applicator is very stiff making it difficult to control during application</v>
      </c>
    </row>
    <row r="6023" spans="1:3" ht="15.75" customHeight="1" x14ac:dyDescent="0.25">
      <c r="A6023" s="2" t="s">
        <v>6025</v>
      </c>
      <c r="B6023" s="3" t="s">
        <v>4</v>
      </c>
      <c r="C6023" s="2" t="str">
        <f ca="1">IFERROR(__xludf.DUMMYFUNCTION("GOOGLETRANSLATE(A6023,""bn"",""en"")"),"This tea has become a form of self-care for me")</f>
        <v>This tea has become a form of self-care for me</v>
      </c>
    </row>
    <row r="6024" spans="1:3" ht="15.75" customHeight="1" x14ac:dyDescent="0.25">
      <c r="A6024" s="2" t="s">
        <v>6026</v>
      </c>
      <c r="B6024" s="3" t="s">
        <v>4</v>
      </c>
      <c r="C6024" s="2" t="str">
        <f ca="1">IFERROR(__xludf.DUMMYFUNCTION("GOOGLETRANSLATE(A6024,""bn"",""en"")"),"The girl is doing well in her dance class")</f>
        <v>The girl is doing well in her dance class</v>
      </c>
    </row>
    <row r="6025" spans="1:3" ht="15.75" customHeight="1" x14ac:dyDescent="0.25">
      <c r="A6025" s="2" t="s">
        <v>6027</v>
      </c>
      <c r="B6025" s="3" t="s">
        <v>2</v>
      </c>
      <c r="C6025" s="2" t="str">
        <f ca="1">IFERROR(__xludf.DUMMYFUNCTION("GOOGLETRANSLATE(A6025,""bn"",""en"")"),"Top quality audio isn't perfect after a few adjustments")</f>
        <v>Top quality audio isn't perfect after a few adjustments</v>
      </c>
    </row>
    <row r="6026" spans="1:3" ht="15.75" customHeight="1" x14ac:dyDescent="0.25">
      <c r="A6026" s="2" t="s">
        <v>6028</v>
      </c>
      <c r="B6026" s="3" t="s">
        <v>4</v>
      </c>
      <c r="C6026" s="2" t="str">
        <f ca="1">IFERROR(__xludf.DUMMYFUNCTION("GOOGLETRANSLATE(A6026,""bn"",""en"")"),"Servicing is readily available")</f>
        <v>Servicing is readily available</v>
      </c>
    </row>
    <row r="6027" spans="1:3" ht="15.75" customHeight="1" x14ac:dyDescent="0.25">
      <c r="A6027" s="2" t="s">
        <v>6029</v>
      </c>
      <c r="B6027" s="3" t="s">
        <v>2</v>
      </c>
      <c r="C6027" s="2" t="str">
        <f ca="1">IFERROR(__xludf.DUMMYFUNCTION("GOOGLETRANSLATE(A6027,""bn"",""en"")"),"The air purifier works beautifully but may make a slight noise after some time")</f>
        <v>The air purifier works beautifully but may make a slight noise after some time</v>
      </c>
    </row>
    <row r="6028" spans="1:3" ht="15.75" customHeight="1" x14ac:dyDescent="0.25">
      <c r="A6028" s="2" t="s">
        <v>6030</v>
      </c>
      <c r="B6028" s="3" t="s">
        <v>2</v>
      </c>
      <c r="C6028" s="2" t="str">
        <f ca="1">IFERROR(__xludf.DUMMYFUNCTION("GOOGLETRANSLATE(A6028,""bn"",""en"")"),"Even if the quality of cotton is low, everyone takes it")</f>
        <v>Even if the quality of cotton is low, everyone takes it</v>
      </c>
    </row>
    <row r="6029" spans="1:3" ht="15.75" customHeight="1" x14ac:dyDescent="0.25">
      <c r="A6029" s="2" t="s">
        <v>6031</v>
      </c>
      <c r="B6029" s="3" t="s">
        <v>4</v>
      </c>
      <c r="C6029" s="2" t="str">
        <f ca="1">IFERROR(__xludf.DUMMYFUNCTION("GOOGLETRANSLATE(A6029,""bn"",""en"")"),"High quality sewing work")</f>
        <v>High quality sewing work</v>
      </c>
    </row>
    <row r="6030" spans="1:3" ht="15.75" customHeight="1" x14ac:dyDescent="0.25">
      <c r="A6030" s="2" t="s">
        <v>6032</v>
      </c>
      <c r="B6030" s="3" t="s">
        <v>6</v>
      </c>
      <c r="C6030" s="2" t="str">
        <f ca="1">IFERROR(__xludf.DUMMYFUNCTION("GOOGLETRANSLATE(A6030,""bn"",""en"")"),"Thin flimsy fabric compromises durability")</f>
        <v>Thin flimsy fabric compromises durability</v>
      </c>
    </row>
    <row r="6031" spans="1:3" ht="15.75" customHeight="1" x14ac:dyDescent="0.25">
      <c r="A6031" s="2" t="s">
        <v>6033</v>
      </c>
      <c r="B6031" s="3" t="s">
        <v>2</v>
      </c>
      <c r="C6031" s="2" t="str">
        <f ca="1">IFERROR(__xludf.DUMMYFUNCTION("GOOGLETRANSLATE(A6031,""bn"",""en"")"),"A portable clothes dryer dries clothes but consumes more electricity")</f>
        <v>A portable clothes dryer dries clothes but consumes more electricity</v>
      </c>
    </row>
    <row r="6032" spans="1:3" ht="15.75" customHeight="1" x14ac:dyDescent="0.25">
      <c r="A6032" s="2" t="s">
        <v>6034</v>
      </c>
      <c r="B6032" s="3" t="s">
        <v>2</v>
      </c>
      <c r="C6032" s="2" t="str">
        <f ca="1">IFERROR(__xludf.DUMMYFUNCTION("GOOGLETRANSLATE(A6032,""bn"",""en"")"),"Affordable but not suitable for long term use")</f>
        <v>Affordable but not suitable for long term use</v>
      </c>
    </row>
    <row r="6033" spans="1:3" ht="15.75" customHeight="1" x14ac:dyDescent="0.25">
      <c r="A6033" s="2" t="s">
        <v>6035</v>
      </c>
      <c r="B6033" s="3" t="s">
        <v>4</v>
      </c>
      <c r="C6033" s="2" t="str">
        <f ca="1">IFERROR(__xludf.DUMMYFUNCTION("GOOGLETRANSLATE(A6033,""bn"",""en"")"),"Cool camera worked so well I bought a second one")</f>
        <v>Cool camera worked so well I bought a second one</v>
      </c>
    </row>
    <row r="6034" spans="1:3" ht="15.75" customHeight="1" x14ac:dyDescent="0.25">
      <c r="A6034" s="2" t="s">
        <v>6036</v>
      </c>
      <c r="B6034" s="3" t="s">
        <v>2</v>
      </c>
      <c r="C6034" s="2" t="str">
        <f ca="1">IFERROR(__xludf.DUMMYFUNCTION("GOOGLETRANSLATE(A6034,""bn"",""en"")"),"Can be used in the kitchen but cannot withstand high temperatures")</f>
        <v>Can be used in the kitchen but cannot withstand high temperatures</v>
      </c>
    </row>
    <row r="6035" spans="1:3" ht="15.75" customHeight="1" x14ac:dyDescent="0.25">
      <c r="A6035" s="2" t="s">
        <v>6037</v>
      </c>
      <c r="B6035" s="3" t="s">
        <v>2</v>
      </c>
      <c r="C6035" s="2" t="str">
        <f ca="1">IFERROR(__xludf.DUMMYFUNCTION("GOOGLETRANSLATE(A6035,""bn"",""en"")"),"Recommended steeping time minutes")</f>
        <v>Recommended steeping time minutes</v>
      </c>
    </row>
    <row r="6036" spans="1:3" ht="15.75" customHeight="1" x14ac:dyDescent="0.25">
      <c r="A6036" s="2" t="s">
        <v>6038</v>
      </c>
      <c r="B6036" s="3" t="s">
        <v>2</v>
      </c>
      <c r="C6036" s="2" t="str">
        <f ca="1">IFERROR(__xludf.DUMMYFUNCTION("GOOGLETRANSLATE(A6036,""bn"",""en"")"),"The wedding table runner is somewhat average")</f>
        <v>The wedding table runner is somewhat average</v>
      </c>
    </row>
    <row r="6037" spans="1:3" ht="15.75" customHeight="1" x14ac:dyDescent="0.25">
      <c r="A6037" s="2" t="s">
        <v>6039</v>
      </c>
      <c r="B6037" s="3" t="s">
        <v>6</v>
      </c>
      <c r="C6037" s="2" t="str">
        <f ca="1">IFERROR(__xludf.DUMMYFUNCTION("GOOGLETRANSLATE(A6037,""bn"",""en"")"),"The mattress emits a foul odor that indicates mold or mildew growth between the layers")</f>
        <v>The mattress emits a foul odor that indicates mold or mildew growth between the layers</v>
      </c>
    </row>
    <row r="6038" spans="1:3" ht="15.75" customHeight="1" x14ac:dyDescent="0.25">
      <c r="A6038" s="2" t="s">
        <v>6040</v>
      </c>
      <c r="B6038" s="3" t="s">
        <v>6</v>
      </c>
      <c r="C6038" s="2" t="str">
        <f ca="1">IFERROR(__xludf.DUMMYFUNCTION("GOOGLETRANSLATE(A6038,""bn"",""en"")"),"Dry shampoo left a chalky residue that made my hair look gray instead of clean")</f>
        <v>Dry shampoo left a chalky residue that made my hair look gray instead of clean</v>
      </c>
    </row>
    <row r="6039" spans="1:3" ht="15.75" customHeight="1" x14ac:dyDescent="0.25">
      <c r="A6039" s="2" t="s">
        <v>6041</v>
      </c>
      <c r="B6039" s="3" t="s">
        <v>2</v>
      </c>
      <c r="C6039" s="2" t="str">
        <f ca="1">IFERROR(__xludf.DUMMYFUNCTION("GOOGLETRANSLATE(A6039,""bn"",""en"")"),"Leakage resistance is fairly good")</f>
        <v>Leakage resistance is fairly good</v>
      </c>
    </row>
    <row r="6040" spans="1:3" ht="15.75" customHeight="1" x14ac:dyDescent="0.25">
      <c r="A6040" s="2" t="s">
        <v>6042</v>
      </c>
      <c r="B6040" s="3" t="s">
        <v>4</v>
      </c>
      <c r="C6040" s="2" t="str">
        <f ca="1">IFERROR(__xludf.DUMMYFUNCTION("GOOGLETRANSLATE(A6040,""bn"",""en"")"),"Great thing")</f>
        <v>Great thing</v>
      </c>
    </row>
    <row r="6041" spans="1:3" ht="15.75" customHeight="1" x14ac:dyDescent="0.25">
      <c r="A6041" s="2" t="s">
        <v>6043</v>
      </c>
      <c r="B6041" s="3" t="s">
        <v>2</v>
      </c>
      <c r="C6041" s="2" t="str">
        <f ca="1">IFERROR(__xludf.DUMMYFUNCTION("GOOGLETRANSLATE(A6041,""bn"",""en"")"),"No reaction was observed after use")</f>
        <v>No reaction was observed after use</v>
      </c>
    </row>
    <row r="6042" spans="1:3" ht="15.75" customHeight="1" x14ac:dyDescent="0.25">
      <c r="A6042" s="2" t="s">
        <v>6044</v>
      </c>
      <c r="B6042" s="3" t="s">
        <v>6</v>
      </c>
      <c r="C6042" s="2" t="str">
        <f ca="1">IFERROR(__xludf.DUMMYFUNCTION("GOOGLETRANSLATE(A6042,""bn"",""en"")"),"Repetitive and dull fail to capture interest")</f>
        <v>Repetitive and dull fail to capture interest</v>
      </c>
    </row>
    <row r="6043" spans="1:3" ht="15.75" customHeight="1" x14ac:dyDescent="0.25">
      <c r="A6043" s="2" t="s">
        <v>6045</v>
      </c>
      <c r="B6043" s="3" t="s">
        <v>2</v>
      </c>
      <c r="C6043" s="2" t="str">
        <f ca="1">IFERROR(__xludf.DUMMYFUNCTION("GOOGLETRANSLATE(A6043,""bn"",""en"")"),"Design is attractive but quality deteriorates after wash")</f>
        <v>Design is attractive but quality deteriorates after wash</v>
      </c>
    </row>
    <row r="6044" spans="1:3" ht="15.75" customHeight="1" x14ac:dyDescent="0.25">
      <c r="A6044" s="2" t="s">
        <v>6046</v>
      </c>
      <c r="B6044" s="3" t="s">
        <v>2</v>
      </c>
      <c r="C6044" s="2" t="str">
        <f ca="1">IFERROR(__xludf.DUMMYFUNCTION("GOOGLETRANSLATE(A6044,""bn"",""en"")"),"Things are given with some limitations")</f>
        <v>Things are given with some limitations</v>
      </c>
    </row>
    <row r="6045" spans="1:3" ht="15.75" customHeight="1" x14ac:dyDescent="0.25">
      <c r="A6045" s="2" t="s">
        <v>6047</v>
      </c>
      <c r="B6045" s="3" t="s">
        <v>6</v>
      </c>
      <c r="C6045" s="2" t="str">
        <f ca="1">IFERROR(__xludf.DUMMYFUNCTION("GOOGLETRANSLATE(A6045,""bn"",""en"")")," The door seal emits a foul odor that indicates mold growth within the cavity")</f>
        <v xml:space="preserve"> The door seal emits a foul odor that indicates mold growth within the cavity</v>
      </c>
    </row>
    <row r="6046" spans="1:3" ht="15.75" customHeight="1" x14ac:dyDescent="0.25">
      <c r="A6046" s="2" t="s">
        <v>6048</v>
      </c>
      <c r="B6046" s="3" t="s">
        <v>2</v>
      </c>
      <c r="C6046" s="2" t="str">
        <f ca="1">IFERROR(__xludf.DUMMYFUNCTION("GOOGLETRANSLATE(A6046,""bn"",""en"")"),"The yield per hectare was not good but the fertility of the land increased slightly")</f>
        <v>The yield per hectare was not good but the fertility of the land increased slightly</v>
      </c>
    </row>
    <row r="6047" spans="1:3" ht="15.75" customHeight="1" x14ac:dyDescent="0.25">
      <c r="A6047" s="2" t="s">
        <v>6049</v>
      </c>
      <c r="B6047" s="3" t="s">
        <v>6</v>
      </c>
      <c r="C6047" s="2" t="str">
        <f ca="1">IFERROR(__xludf.DUMMYFUNCTION("GOOGLETRANSLATE(A6047,""bn"",""en"")"),"  The design lacks structural integrity, feels flimsy and is overall poorly made")</f>
        <v xml:space="preserve">  The design lacks structural integrity, feels flimsy and is overall poorly made</v>
      </c>
    </row>
    <row r="6048" spans="1:3" ht="15.75" customHeight="1" x14ac:dyDescent="0.25">
      <c r="A6048" s="2" t="s">
        <v>6050</v>
      </c>
      <c r="B6048" s="3" t="s">
        <v>4</v>
      </c>
      <c r="C6048" s="2" t="str">
        <f ca="1">IFERROR(__xludf.DUMMYFUNCTION("GOOGLETRANSLATE(A6048,""bn"",""en"")"),"The flower looks great on the shelf")</f>
        <v>The flower looks great on the shelf</v>
      </c>
    </row>
    <row r="6049" spans="1:3" ht="15.75" customHeight="1" x14ac:dyDescent="0.25">
      <c r="A6049" s="2" t="s">
        <v>6051</v>
      </c>
      <c r="B6049" s="3" t="s">
        <v>4</v>
      </c>
      <c r="C6049" s="2" t="str">
        <f ca="1">IFERROR(__xludf.DUMMYFUNCTION("GOOGLETRANSLATE(A6049,""bn"",""en"")"),"The bag zips work smoothly")</f>
        <v>The bag zips work smoothly</v>
      </c>
    </row>
    <row r="6050" spans="1:3" ht="15.75" customHeight="1" x14ac:dyDescent="0.25">
      <c r="A6050" s="2" t="s">
        <v>6052</v>
      </c>
      <c r="B6050" s="3" t="s">
        <v>4</v>
      </c>
      <c r="C6050" s="2" t="str">
        <f ca="1">IFERROR(__xludf.DUMMYFUNCTION("GOOGLETRANSLATE(A6050,""bn"",""en"")"),"The design is very modern and attractive")</f>
        <v>The design is very modern and attractive</v>
      </c>
    </row>
    <row r="6051" spans="1:3" ht="15.75" customHeight="1" x14ac:dyDescent="0.25">
      <c r="A6051" s="2" t="s">
        <v>6053</v>
      </c>
      <c r="B6051" s="3" t="s">
        <v>2</v>
      </c>
      <c r="C6051" s="2" t="str">
        <f ca="1">IFERROR(__xludf.DUMMYFUNCTION("GOOGLETRANSLATE(A6051,""bn"",""en"")"),"Roller skate wheels are fast but balance is difficult")</f>
        <v>Roller skate wheels are fast but balance is difficult</v>
      </c>
    </row>
    <row r="6052" spans="1:3" ht="15.75" customHeight="1" x14ac:dyDescent="0.25">
      <c r="A6052" s="2" t="s">
        <v>6054</v>
      </c>
      <c r="B6052" s="3" t="s">
        <v>6</v>
      </c>
      <c r="C6052" s="2" t="str">
        <f ca="1">IFERROR(__xludf.DUMMYFUNCTION("GOOGLETRANSLATE(A6052,""bn"",""en"")"),"The tea set is incomplete with missing key pieces")</f>
        <v>The tea set is incomplete with missing key pieces</v>
      </c>
    </row>
    <row r="6053" spans="1:3" ht="15.75" customHeight="1" x14ac:dyDescent="0.25">
      <c r="A6053" s="2" t="s">
        <v>6055</v>
      </c>
      <c r="B6053" s="3" t="s">
        <v>4</v>
      </c>
      <c r="C6053" s="2" t="str">
        <f ca="1">IFERROR(__xludf.DUMMYFUNCTION("GOOGLETRANSLATE(A6053,""bn"",""en"")"),"The girl helps her mother with work every day")</f>
        <v>The girl helps her mother with work every day</v>
      </c>
    </row>
    <row r="6054" spans="1:3" ht="15.75" customHeight="1" x14ac:dyDescent="0.25">
      <c r="A6054" s="2" t="s">
        <v>6056</v>
      </c>
      <c r="B6054" s="3" t="s">
        <v>4</v>
      </c>
      <c r="C6054" s="2" t="str">
        <f ca="1">IFERROR(__xludf.DUMMYFUNCTION("GOOGLETRANSLATE(A6054,""bn"",""en"")"),"ACT's outdoor unit takes up very little space and easily fit in my small balcony")</f>
        <v>ACT's outdoor unit takes up very little space and easily fit in my small balcony</v>
      </c>
    </row>
    <row r="6055" spans="1:3" ht="15.75" customHeight="1" x14ac:dyDescent="0.25">
      <c r="A6055" s="2" t="s">
        <v>6057</v>
      </c>
      <c r="B6055" s="3" t="s">
        <v>6</v>
      </c>
      <c r="C6055" s="2" t="str">
        <f ca="1">IFERROR(__xludf.DUMMYFUNCTION("GOOGLETRANSLATE(A6055,""bn"",""en"")"),"Disappointing performance is incredible")</f>
        <v>Disappointing performance is incredible</v>
      </c>
    </row>
    <row r="6056" spans="1:3" ht="15.75" customHeight="1" x14ac:dyDescent="0.25">
      <c r="A6056" s="2" t="s">
        <v>6058</v>
      </c>
      <c r="B6056" s="3" t="s">
        <v>6</v>
      </c>
      <c r="C6056" s="2" t="str">
        <f ca="1">IFERROR(__xludf.DUMMYFUNCTION("GOOGLETRANSLATE(A6056,""bn"",""en"")"),"Use original power supply or it will crash Reliability remains uncertain")</f>
        <v>Use original power supply or it will crash Reliability remains uncertain</v>
      </c>
    </row>
    <row r="6057" spans="1:3" ht="15.75" customHeight="1" x14ac:dyDescent="0.25">
      <c r="A6057" s="2" t="s">
        <v>6059</v>
      </c>
      <c r="B6057" s="3" t="s">
        <v>6</v>
      </c>
      <c r="C6057" s="2" t="str">
        <f ca="1">IFERROR(__xludf.DUMMYFUNCTION("GOOGLETRANSLATE(A6057,""bn"",""en"")"),"The material feels cheap")</f>
        <v>The material feels cheap</v>
      </c>
    </row>
    <row r="6058" spans="1:3" ht="15.75" customHeight="1" x14ac:dyDescent="0.25">
      <c r="A6058" s="2" t="s">
        <v>6060</v>
      </c>
      <c r="B6058" s="3" t="s">
        <v>4</v>
      </c>
      <c r="C6058" s="2" t="str">
        <f ca="1">IFERROR(__xludf.DUMMYFUNCTION("GOOGLETRANSLATE(A6058,""bn"",""en"")"),"Toothpaste is effective in cleaning teeth")</f>
        <v>Toothpaste is effective in cleaning teeth</v>
      </c>
    </row>
    <row r="6059" spans="1:3" ht="15.75" customHeight="1" x14ac:dyDescent="0.25">
      <c r="A6059" s="2" t="s">
        <v>6061</v>
      </c>
      <c r="B6059" s="3" t="s">
        <v>2</v>
      </c>
      <c r="C6059" s="2" t="str">
        <f ca="1">IFERROR(__xludf.DUMMYFUNCTION("GOOGLETRANSLATE(A6059,""bn"",""en"")"),"Layering is possible")</f>
        <v>Layering is possible</v>
      </c>
    </row>
    <row r="6060" spans="1:3" ht="15.75" customHeight="1" x14ac:dyDescent="0.25">
      <c r="A6060" s="2" t="s">
        <v>6062</v>
      </c>
      <c r="B6060" s="3" t="s">
        <v>6</v>
      </c>
      <c r="C6060" s="2" t="str">
        <f ca="1">IFERROR(__xludf.DUMMYFUNCTION("GOOGLETRANSLATE(A6060,""bn"",""en"")"),"The pieces of the tea set appear to have been put together haphazardly")</f>
        <v>The pieces of the tea set appear to have been put together haphazardly</v>
      </c>
    </row>
    <row r="6061" spans="1:3" ht="15.75" customHeight="1" x14ac:dyDescent="0.25">
      <c r="A6061" s="2" t="s">
        <v>6063</v>
      </c>
      <c r="B6061" s="3" t="s">
        <v>6</v>
      </c>
      <c r="C6061" s="2" t="str">
        <f ca="1">IFERROR(__xludf.DUMMYFUNCTION("GOOGLETRANSLATE(A6061,""bn"",""en"")"),"The product was disappointing")</f>
        <v>The product was disappointing</v>
      </c>
    </row>
    <row r="6062" spans="1:3" ht="15.75" customHeight="1" x14ac:dyDescent="0.25">
      <c r="A6062" s="2" t="s">
        <v>6064</v>
      </c>
      <c r="B6062" s="3" t="s">
        <v>2</v>
      </c>
      <c r="C6062" s="2" t="str">
        <f ca="1">IFERROR(__xludf.DUMMYFUNCTION("GOOGLETRANSLATE(A6062,""bn"",""en"")"),"The bicycle seat is comfortable but the color fades quickly")</f>
        <v>The bicycle seat is comfortable but the color fades quickly</v>
      </c>
    </row>
    <row r="6063" spans="1:3" ht="15.75" customHeight="1" x14ac:dyDescent="0.25">
      <c r="A6063" s="2" t="s">
        <v>6065</v>
      </c>
      <c r="B6063" s="3" t="s">
        <v>6</v>
      </c>
      <c r="C6063" s="2" t="str">
        <f ca="1">IFERROR(__xludf.DUMMYFUNCTION("GOOGLETRANSLATE(A6063,""bn"",""en"")"),"Vacuum cleaners have poor suction power and barely pick up any dirt")</f>
        <v>Vacuum cleaners have poor suction power and barely pick up any dirt</v>
      </c>
    </row>
    <row r="6064" spans="1:3" ht="15.75" customHeight="1" x14ac:dyDescent="0.25">
      <c r="A6064" s="2" t="s">
        <v>6066</v>
      </c>
      <c r="B6064" s="3" t="s">
        <v>6</v>
      </c>
      <c r="C6064" s="2" t="str">
        <f ca="1">IFERROR(__xludf.DUMMYFUNCTION("GOOGLETRANSLATE(A6064,""bn"",""en"")"),"Overheats quickly causing the system to crash")</f>
        <v>Overheats quickly causing the system to crash</v>
      </c>
    </row>
    <row r="6065" spans="1:3" ht="15.75" customHeight="1" x14ac:dyDescent="0.25">
      <c r="A6065" s="2" t="s">
        <v>6067</v>
      </c>
      <c r="B6065" s="3" t="s">
        <v>6</v>
      </c>
      <c r="C6065" s="2" t="str">
        <f ca="1">IFERROR(__xludf.DUMMYFUNCTION("GOOGLETRANSLATE(A6065,""bn"",""en"")"),"Poorly designed latch mechanisms frequently jam")</f>
        <v>Poorly designed latch mechanisms frequently jam</v>
      </c>
    </row>
    <row r="6066" spans="1:3" ht="15.75" customHeight="1" x14ac:dyDescent="0.25">
      <c r="A6066" s="2" t="s">
        <v>6068</v>
      </c>
      <c r="B6066" s="3" t="s">
        <v>4</v>
      </c>
      <c r="C6066" s="2" t="str">
        <f ca="1">IFERROR(__xludf.DUMMYFUNCTION("GOOGLETRANSLATE(A6066,""bn"",""en"")"),"The remote control is very easy to use with all functions at your fingertips")</f>
        <v>The remote control is very easy to use with all functions at your fingertips</v>
      </c>
    </row>
    <row r="6067" spans="1:3" ht="15.75" customHeight="1" x14ac:dyDescent="0.25">
      <c r="A6067" s="2" t="s">
        <v>6069</v>
      </c>
      <c r="B6067" s="3" t="s">
        <v>4</v>
      </c>
      <c r="C6067" s="2" t="str">
        <f ca="1">IFERROR(__xludf.DUMMYFUNCTION("GOOGLETRANSLATE(A6067,""bn"",""en"")"),"The multitasking performance of the mobile is excellent")</f>
        <v>The multitasking performance of the mobile is excellent</v>
      </c>
    </row>
    <row r="6068" spans="1:3" ht="15.75" customHeight="1" x14ac:dyDescent="0.25">
      <c r="A6068" s="2" t="s">
        <v>6070</v>
      </c>
      <c r="B6068" s="3" t="s">
        <v>6</v>
      </c>
      <c r="C6068" s="2" t="str">
        <f ca="1">IFERROR(__xludf.DUMMYFUNCTION("GOOGLETRANSLATE(A6068,""bn"",""en"")"),"Overheating can be dangerous")</f>
        <v>Overheating can be dangerous</v>
      </c>
    </row>
    <row r="6069" spans="1:3" ht="15.75" customHeight="1" x14ac:dyDescent="0.25">
      <c r="A6069" s="2" t="s">
        <v>6071</v>
      </c>
      <c r="B6069" s="3" t="s">
        <v>4</v>
      </c>
      <c r="C6069" s="2" t="str">
        <f ca="1">IFERROR(__xludf.DUMMYFUNCTION("GOOGLETRANSLATE(A6069,""bn"",""en"")"),"This product is the best among biscuits")</f>
        <v>This product is the best among biscuits</v>
      </c>
    </row>
    <row r="6070" spans="1:3" ht="15.75" customHeight="1" x14ac:dyDescent="0.25">
      <c r="A6070" s="2" t="s">
        <v>6072</v>
      </c>
      <c r="B6070" s="3" t="s">
        <v>6</v>
      </c>
      <c r="C6070" s="2" t="str">
        <f ca="1">IFERROR(__xludf.DUMMYFUNCTION("GOOGLETRANSLATE(A6070,""bn"",""en"")"),"  The lotion was too thin and didn't moisturize well")</f>
        <v xml:space="preserve">  The lotion was too thin and didn't moisturize well</v>
      </c>
    </row>
    <row r="6071" spans="1:3" ht="15.75" customHeight="1" x14ac:dyDescent="0.25">
      <c r="A6071" s="2" t="s">
        <v>6073</v>
      </c>
      <c r="B6071" s="3" t="s">
        <v>4</v>
      </c>
      <c r="C6071" s="2" t="str">
        <f ca="1">IFERROR(__xludf.DUMMYFUNCTION("GOOGLETRANSLATE(A6071,""bn"",""en"")"),"This fan works for PC")</f>
        <v>This fan works for PC</v>
      </c>
    </row>
    <row r="6072" spans="1:3" ht="15.75" customHeight="1" x14ac:dyDescent="0.25">
      <c r="A6072" s="2" t="s">
        <v>6074</v>
      </c>
      <c r="B6072" s="3" t="s">
        <v>6</v>
      </c>
      <c r="C6072" s="2" t="str">
        <f ca="1">IFERROR(__xludf.DUMMYFUNCTION("GOOGLETRANSLATE(A6072,""bn"",""en"")"),"  The polish contains harsh chemicals that burn my skin")</f>
        <v xml:space="preserve">  The polish contains harsh chemicals that burn my skin</v>
      </c>
    </row>
    <row r="6073" spans="1:3" ht="15.75" customHeight="1" x14ac:dyDescent="0.25">
      <c r="A6073" s="2" t="s">
        <v>6075</v>
      </c>
      <c r="B6073" s="3" t="s">
        <v>6</v>
      </c>
      <c r="C6073" s="2" t="str">
        <f ca="1">IFERROR(__xludf.DUMMYFUNCTION("GOOGLETRANSLATE(A6073,""bn"",""en"")"),"Bottled smoothies had a syrupy texture and overly sweet taste that was far from refreshing at home.")</f>
        <v>Bottled smoothies had a syrupy texture and overly sweet taste that was far from refreshing at home.</v>
      </c>
    </row>
    <row r="6074" spans="1:3" ht="15.75" customHeight="1" x14ac:dyDescent="0.25">
      <c r="A6074" s="2" t="s">
        <v>6076</v>
      </c>
      <c r="B6074" s="3" t="s">
        <v>2</v>
      </c>
      <c r="C6074" s="2" t="str">
        <f ca="1">IFERROR(__xludf.DUMMYFUNCTION("GOOGLETRANSLATE(A6074,""bn"",""en"")"),"Fabric quality is fair but style is attractive")</f>
        <v>Fabric quality is fair but style is attractive</v>
      </c>
    </row>
    <row r="6075" spans="1:3" ht="15.75" customHeight="1" x14ac:dyDescent="0.25">
      <c r="A6075" s="2" t="s">
        <v>6077</v>
      </c>
      <c r="B6075" s="3" t="s">
        <v>2</v>
      </c>
      <c r="C6075" s="2" t="str">
        <f ca="1">IFERROR(__xludf.DUMMYFUNCTION("GOOGLETRANSLATE(A6075,""bn"",""en"")"),"The color of the dress is nice but the fabric quality is average")</f>
        <v>The color of the dress is nice but the fabric quality is average</v>
      </c>
    </row>
    <row r="6076" spans="1:3" ht="15.75" customHeight="1" x14ac:dyDescent="0.25">
      <c r="A6076" s="2" t="s">
        <v>6078</v>
      </c>
      <c r="B6076" s="3" t="s">
        <v>6</v>
      </c>
      <c r="C6076" s="2" t="str">
        <f ca="1">IFERROR(__xludf.DUMMYFUNCTION("GOOGLETRANSLATE(A6076,""bn"",""en"")"),"It is excellent and durable")</f>
        <v>It is excellent and durable</v>
      </c>
    </row>
    <row r="6077" spans="1:3" ht="15.75" customHeight="1" x14ac:dyDescent="0.25">
      <c r="A6077" s="2" t="s">
        <v>6079</v>
      </c>
      <c r="B6077" s="3" t="s">
        <v>6</v>
      </c>
      <c r="C6077" s="2" t="str">
        <f ca="1">IFERROR(__xludf.DUMMYFUNCTION("GOOGLETRANSLATE(A6077,""bn"",""en"")"),"Disappointed by poor product quality")</f>
        <v>Disappointed by poor product quality</v>
      </c>
    </row>
    <row r="6078" spans="1:3" ht="15.75" customHeight="1" x14ac:dyDescent="0.25">
      <c r="A6078" s="2" t="s">
        <v>6080</v>
      </c>
      <c r="B6078" s="3" t="s">
        <v>2</v>
      </c>
      <c r="C6078" s="2" t="str">
        <f ca="1">IFERROR(__xludf.DUMMYFUNCTION("GOOGLETRANSLATE(A6078,""bn"",""en"")"),"Hope the quality is ok")</f>
        <v>Hope the quality is ok</v>
      </c>
    </row>
    <row r="6079" spans="1:3" ht="15.75" customHeight="1" x14ac:dyDescent="0.25">
      <c r="A6079" s="2" t="s">
        <v>6081</v>
      </c>
      <c r="B6079" s="3" t="s">
        <v>6</v>
      </c>
      <c r="C6079" s="2" t="str">
        <f ca="1">IFERROR(__xludf.DUMMYFUNCTION("GOOGLETRANSLATE(A6079,""bn"",""en"")"),"Solar powered fountain pump nozzle is very small weak water flow")</f>
        <v>Solar powered fountain pump nozzle is very small weak water flow</v>
      </c>
    </row>
    <row r="6080" spans="1:3" ht="15.75" customHeight="1" x14ac:dyDescent="0.25">
      <c r="A6080" s="2" t="s">
        <v>6082</v>
      </c>
      <c r="B6080" s="3" t="s">
        <v>2</v>
      </c>
      <c r="C6080" s="2" t="str">
        <f ca="1">IFERROR(__xludf.DUMMYFUNCTION("GOOGLETRANSLATE(A6080,""bn"",""en"")"),"Pros and cons will be known after using it for some time")</f>
        <v>Pros and cons will be known after using it for some time</v>
      </c>
    </row>
    <row r="6081" spans="1:3" ht="15.75" customHeight="1" x14ac:dyDescent="0.25">
      <c r="A6081" s="2" t="s">
        <v>6083</v>
      </c>
      <c r="B6081" s="3" t="s">
        <v>6</v>
      </c>
      <c r="C6081" s="2" t="str">
        <f ca="1">IFERROR(__xludf.DUMMYFUNCTION("GOOGLETRANSLATE(A6081,""bn"",""en"")")," Limited wireless range causes frequent dropouts or interruptions in audio playback when moving away from the source device")</f>
        <v xml:space="preserve"> Limited wireless range causes frequent dropouts or interruptions in audio playback when moving away from the source device</v>
      </c>
    </row>
    <row r="6082" spans="1:3" ht="15.75" customHeight="1" x14ac:dyDescent="0.25">
      <c r="A6082" s="2" t="s">
        <v>6084</v>
      </c>
      <c r="B6082" s="3" t="s">
        <v>2</v>
      </c>
      <c r="C6082" s="2" t="str">
        <f ca="1">IFERROR(__xludf.DUMMYFUNCTION("GOOGLETRANSLATE(A6082,""bn"",""en"")"),"The felt is not as thick as I thought it would be")</f>
        <v>The felt is not as thick as I thought it would be</v>
      </c>
    </row>
    <row r="6083" spans="1:3" ht="15.75" customHeight="1" x14ac:dyDescent="0.25">
      <c r="A6083" s="2" t="s">
        <v>6085</v>
      </c>
      <c r="B6083" s="3" t="s">
        <v>2</v>
      </c>
      <c r="C6083" s="2" t="str">
        <f ca="1">IFERROR(__xludf.DUMMYFUNCTION("GOOGLETRANSLATE(A6083,""bn"",""en"")"),"Will check if the quality is that good")</f>
        <v>Will check if the quality is that good</v>
      </c>
    </row>
    <row r="6084" spans="1:3" ht="15.75" customHeight="1" x14ac:dyDescent="0.25">
      <c r="A6084" s="2" t="s">
        <v>6086</v>
      </c>
      <c r="B6084" s="3" t="s">
        <v>6</v>
      </c>
      <c r="C6084" s="2" t="str">
        <f ca="1">IFERROR(__xludf.DUMMYFUNCTION("GOOGLETRANSLATE(A6084,""bn"",""en"")"),"The sharp seams in the material of the item were a cut hazard")</f>
        <v>The sharp seams in the material of the item were a cut hazard</v>
      </c>
    </row>
    <row r="6085" spans="1:3" ht="15.75" customHeight="1" x14ac:dyDescent="0.25">
      <c r="A6085" s="2" t="s">
        <v>6087</v>
      </c>
      <c r="B6085" s="3" t="s">
        <v>4</v>
      </c>
      <c r="C6085" s="2" t="str">
        <f ca="1">IFERROR(__xludf.DUMMYFUNCTION("GOOGLETRANSLATE(A6085,""bn"",""en"")"),"Ok Garmin I love this watch")</f>
        <v>Ok Garmin I love this watch</v>
      </c>
    </row>
    <row r="6086" spans="1:3" ht="15.75" customHeight="1" x14ac:dyDescent="0.25">
      <c r="A6086" s="2" t="s">
        <v>6088</v>
      </c>
      <c r="B6086" s="3" t="s">
        <v>2</v>
      </c>
      <c r="C6086" s="2" t="str">
        <f ca="1">IFERROR(__xludf.DUMMYFUNCTION("GOOGLETRANSLATE(A6086,""bn"",""en"")"),"Although the fertilizer was affordable, the yield was not satisfactory")</f>
        <v>Although the fertilizer was affordable, the yield was not satisfactory</v>
      </c>
    </row>
    <row r="6087" spans="1:3" ht="15.75" customHeight="1" x14ac:dyDescent="0.25">
      <c r="A6087" s="2" t="s">
        <v>6089</v>
      </c>
      <c r="B6087" s="3" t="s">
        <v>6</v>
      </c>
      <c r="C6087" s="2" t="str">
        <f ca="1">IFERROR(__xludf.DUMMYFUNCTION("GOOGLETRANSLATE(A6087,""bn"",""en"")"),"Durability cannot be guaranteed")</f>
        <v>Durability cannot be guaranteed</v>
      </c>
    </row>
    <row r="6088" spans="1:3" ht="15.75" customHeight="1" x14ac:dyDescent="0.25">
      <c r="A6088" s="2" t="s">
        <v>6090</v>
      </c>
      <c r="B6088" s="3" t="s">
        <v>2</v>
      </c>
      <c r="C6088" s="2" t="str">
        <f ca="1">IFERROR(__xludf.DUMMYFUNCTION("GOOGLETRANSLATE(A6088,""bn"",""en"")"),"Can be consumed with breakfast")</f>
        <v>Can be consumed with breakfast</v>
      </c>
    </row>
    <row r="6089" spans="1:3" ht="15.75" customHeight="1" x14ac:dyDescent="0.25">
      <c r="A6089" s="2" t="s">
        <v>6091</v>
      </c>
      <c r="B6089" s="3" t="s">
        <v>2</v>
      </c>
      <c r="C6089" s="2" t="str">
        <f ca="1">IFERROR(__xludf.DUMMYFUNCTION("GOOGLETRANSLATE(A6089,""bn"",""en"")"),"Product quality is somewhat good but not great")</f>
        <v>Product quality is somewhat good but not great</v>
      </c>
    </row>
    <row r="6090" spans="1:3" ht="15.75" customHeight="1" x14ac:dyDescent="0.25">
      <c r="A6090" s="2" t="s">
        <v>6092</v>
      </c>
      <c r="B6090" s="3" t="s">
        <v>6</v>
      </c>
      <c r="C6090" s="2" t="str">
        <f ca="1">IFERROR(__xludf.DUMMYFUNCTION("GOOGLETRANSLATE(A6090,""bn"",""en"")"),"The unattractive design makes it a dud")</f>
        <v>The unattractive design makes it a dud</v>
      </c>
    </row>
    <row r="6091" spans="1:3" ht="15.75" customHeight="1" x14ac:dyDescent="0.25">
      <c r="A6091" s="2" t="s">
        <v>6093</v>
      </c>
      <c r="B6091" s="3" t="s">
        <v>2</v>
      </c>
      <c r="C6091" s="2" t="str">
        <f ca="1">IFERROR(__xludf.DUMMYFUNCTION("GOOGLETRANSLATE(A6091,""bn"",""en"")"),"It can be used in various places but it is a bit difficult to take out")</f>
        <v>It can be used in various places but it is a bit difficult to take out</v>
      </c>
    </row>
    <row r="6092" spans="1:3" ht="15.75" customHeight="1" x14ac:dyDescent="0.25">
      <c r="A6092" s="2" t="s">
        <v>6094</v>
      </c>
      <c r="B6092" s="3" t="s">
        <v>2</v>
      </c>
      <c r="C6092" s="2" t="str">
        <f ca="1">IFERROR(__xludf.DUMMYFUNCTION("GOOGLETRANSLATE(A6092,""bn"",""en"")"),"Colors are vibrant but fabric quality is poor")</f>
        <v>Colors are vibrant but fabric quality is poor</v>
      </c>
    </row>
    <row r="6093" spans="1:3" ht="15.75" customHeight="1" x14ac:dyDescent="0.25">
      <c r="A6093" s="2" t="s">
        <v>6095</v>
      </c>
      <c r="B6093" s="3" t="s">
        <v>6</v>
      </c>
      <c r="C6093" s="2" t="str">
        <f ca="1">IFERROR(__xludf.DUMMYFUNCTION("GOOGLETRANSLATE(A6093,""bn"",""en"")"),"The poor quality of the fabric is evident in its enlargement and fraying")</f>
        <v>The poor quality of the fabric is evident in its enlargement and fraying</v>
      </c>
    </row>
    <row r="6094" spans="1:3" ht="15.75" customHeight="1" x14ac:dyDescent="0.25">
      <c r="A6094" s="2" t="s">
        <v>6096</v>
      </c>
      <c r="B6094" s="3" t="s">
        <v>4</v>
      </c>
      <c r="C6094" s="2" t="str">
        <f ca="1">IFERROR(__xludf.DUMMYFUNCTION("GOOGLETRANSLATE(A6094,""bn"",""en"")"),"Protects from the severity of winter")</f>
        <v>Protects from the severity of winter</v>
      </c>
    </row>
    <row r="6095" spans="1:3" ht="15.75" customHeight="1" x14ac:dyDescent="0.25">
      <c r="A6095" s="2" t="s">
        <v>6097</v>
      </c>
      <c r="B6095" s="3" t="s">
        <v>4</v>
      </c>
      <c r="C6095" s="2" t="str">
        <f ca="1">IFERROR(__xludf.DUMMYFUNCTION("GOOGLETRANSLATE(A6095,""bn"",""en"")"),"The composition and design of the vase is very attractive")</f>
        <v>The composition and design of the vase is very attractive</v>
      </c>
    </row>
    <row r="6096" spans="1:3" ht="15.75" customHeight="1" x14ac:dyDescent="0.25">
      <c r="A6096" s="2" t="s">
        <v>6098</v>
      </c>
      <c r="B6096" s="3" t="s">
        <v>2</v>
      </c>
      <c r="C6096" s="2" t="str">
        <f ca="1">IFERROR(__xludf.DUMMYFUNCTION("GOOGLETRANSLATE(A6096,""bn"",""en"")"),"Nice product but won't last long")</f>
        <v>Nice product but won't last long</v>
      </c>
    </row>
    <row r="6097" spans="1:3" ht="15.75" customHeight="1" x14ac:dyDescent="0.25">
      <c r="A6097" s="2" t="s">
        <v>6099</v>
      </c>
      <c r="B6097" s="3" t="s">
        <v>2</v>
      </c>
      <c r="C6097" s="2" t="str">
        <f ca="1">IFERROR(__xludf.DUMMYFUNCTION("GOOGLETRANSLATE(A6097,""bn"",""en"")"),"Price is average compared to quality")</f>
        <v>Price is average compared to quality</v>
      </c>
    </row>
    <row r="6098" spans="1:3" ht="15.75" customHeight="1" x14ac:dyDescent="0.25">
      <c r="A6098" s="2" t="s">
        <v>6100</v>
      </c>
      <c r="B6098" s="3" t="s">
        <v>4</v>
      </c>
      <c r="C6098" s="2" t="str">
        <f ca="1">IFERROR(__xludf.DUMMYFUNCTION("GOOGLETRANSLATE(A6098,""bn"",""en"")"),"Good affordable fitness watch")</f>
        <v>Good affordable fitness watch</v>
      </c>
    </row>
    <row r="6099" spans="1:3" ht="15.75" customHeight="1" x14ac:dyDescent="0.25">
      <c r="A6099" s="2" t="s">
        <v>6101</v>
      </c>
      <c r="B6099" s="3" t="s">
        <v>4</v>
      </c>
      <c r="C6099" s="2" t="str">
        <f ca="1">IFERROR(__xludf.DUMMYFUNCTION("GOOGLETRANSLATE(A6099,""bn"",""en"")"),"My team won the game and it was very exciting")</f>
        <v>My team won the game and it was very exciting</v>
      </c>
    </row>
    <row r="6100" spans="1:3" ht="15.75" customHeight="1" x14ac:dyDescent="0.25">
      <c r="A6100" s="2" t="s">
        <v>6102</v>
      </c>
      <c r="B6100" s="3" t="s">
        <v>2</v>
      </c>
      <c r="C6100" s="2" t="str">
        <f ca="1">IFERROR(__xludf.DUMMYFUNCTION("GOOGLETRANSLATE(A6100,""bn"",""en"")"),"Can be placed on the dressing table")</f>
        <v>Can be placed on the dressing table</v>
      </c>
    </row>
    <row r="6101" spans="1:3" ht="15.75" customHeight="1" x14ac:dyDescent="0.25">
      <c r="A6101" s="2" t="s">
        <v>6103</v>
      </c>
      <c r="B6101" s="3" t="s">
        <v>6</v>
      </c>
      <c r="C6101" s="2" t="str">
        <f ca="1">IFERROR(__xludf.DUMMYFUNCTION("GOOGLETRANSLATE(A6101,""bn"",""en"")"),"The design of the product was poorly thought out and lacked functionality")</f>
        <v>The design of the product was poorly thought out and lacked functionality</v>
      </c>
    </row>
    <row r="6102" spans="1:3" ht="15.75" customHeight="1" x14ac:dyDescent="0.25">
      <c r="A6102" s="2" t="s">
        <v>6104</v>
      </c>
      <c r="B6102" s="3" t="s">
        <v>6</v>
      </c>
      <c r="C6102" s="2" t="str">
        <f ca="1">IFERROR(__xludf.DUMMYFUNCTION("GOOGLETRANSLATE(A6102,""bn"",""en"")"),"Cheap materials make the item feel flimsy")</f>
        <v>Cheap materials make the item feel flimsy</v>
      </c>
    </row>
    <row r="6103" spans="1:3" ht="15.75" customHeight="1" x14ac:dyDescent="0.25">
      <c r="A6103" s="2" t="s">
        <v>6105</v>
      </c>
      <c r="B6103" s="3" t="s">
        <v>2</v>
      </c>
      <c r="C6103" s="2" t="str">
        <f ca="1">IFERROR(__xludf.DUMMYFUNCTION("GOOGLETRANSLATE(A6103,""bn"",""en"")"),"The quality never seemed so great")</f>
        <v>The quality never seemed so great</v>
      </c>
    </row>
    <row r="6104" spans="1:3" ht="15.75" customHeight="1" x14ac:dyDescent="0.25">
      <c r="A6104" s="2" t="s">
        <v>6106</v>
      </c>
      <c r="B6104" s="3" t="s">
        <v>6</v>
      </c>
      <c r="C6104" s="2" t="str">
        <f ca="1">IFERROR(__xludf.DUMMYFUNCTION("GOOGLETRANSLATE(A6104,""bn"",""en"")"),"The painting set did not include enough varnish to seal the finished artwork")</f>
        <v>The painting set did not include enough varnish to seal the finished artwork</v>
      </c>
    </row>
    <row r="6105" spans="1:3" ht="15.75" customHeight="1" x14ac:dyDescent="0.25">
      <c r="A6105" s="2" t="s">
        <v>6107</v>
      </c>
      <c r="B6105" s="3" t="s">
        <v>2</v>
      </c>
      <c r="C6105" s="2" t="str">
        <f ca="1">IFERROR(__xludf.DUMMYFUNCTION("GOOGLETRANSLATE(A6105,""bn"",""en"")"),"The toilet brush cleans but the handle is slippery")</f>
        <v>The toilet brush cleans but the handle is slippery</v>
      </c>
    </row>
    <row r="6106" spans="1:3" ht="15.75" customHeight="1" x14ac:dyDescent="0.25">
      <c r="A6106" s="2" t="s">
        <v>6108</v>
      </c>
      <c r="B6106" s="3" t="s">
        <v>2</v>
      </c>
      <c r="C6106" s="2" t="str">
        <f ca="1">IFERROR(__xludf.DUMMYFUNCTION("GOOGLETRANSLATE(A6106,""bn"",""en"")"),"Plant health improved somewhat but yields were not quite as expected")</f>
        <v>Plant health improved somewhat but yields were not quite as expected</v>
      </c>
    </row>
    <row r="6107" spans="1:3" ht="15.75" customHeight="1" x14ac:dyDescent="0.25">
      <c r="A6107" s="2" t="s">
        <v>6109</v>
      </c>
      <c r="B6107" s="3" t="s">
        <v>4</v>
      </c>
      <c r="C6107" s="2" t="str">
        <f ca="1">IFERROR(__xludf.DUMMYFUNCTION("GOOGLETRANSLATE(A6107,""bn"",""en"")"),"Honey removes toxins from the body")</f>
        <v>Honey removes toxins from the body</v>
      </c>
    </row>
    <row r="6108" spans="1:3" ht="15.75" customHeight="1" x14ac:dyDescent="0.25">
      <c r="A6108" s="2" t="s">
        <v>6110</v>
      </c>
      <c r="B6108" s="3" t="s">
        <v>6</v>
      </c>
      <c r="C6108" s="2" t="str">
        <f ca="1">IFERROR(__xludf.DUMMYFUNCTION("GOOGLETRANSLATE(A6108,""bn"",""en"")")," The bag strap broke unexpectedly while I was carrying it causing my device to crash to the ground causing irreparable damage.")</f>
        <v xml:space="preserve"> The bag strap broke unexpectedly while I was carrying it causing my device to crash to the ground causing irreparable damage.</v>
      </c>
    </row>
    <row r="6109" spans="1:3" ht="15.75" customHeight="1" x14ac:dyDescent="0.25">
      <c r="A6109" s="2" t="s">
        <v>6111</v>
      </c>
      <c r="B6109" s="3" t="s">
        <v>4</v>
      </c>
      <c r="C6109" s="2" t="str">
        <f ca="1">IFERROR(__xludf.DUMMYFUNCTION("GOOGLETRANSLATE(A6109,""bn"",""en"")"),"Energy efficient which helps to reduce costs")</f>
        <v>Energy efficient which helps to reduce costs</v>
      </c>
    </row>
    <row r="6110" spans="1:3" ht="15.75" customHeight="1" x14ac:dyDescent="0.25">
      <c r="A6110" s="2" t="s">
        <v>6112</v>
      </c>
      <c r="B6110" s="3" t="s">
        <v>4</v>
      </c>
      <c r="C6110" s="2" t="str">
        <f ca="1">IFERROR(__xludf.DUMMYFUNCTION("GOOGLETRANSLATE(A6110,""bn"",""en"")"),"Mobile camera focusing is very fast and clear")</f>
        <v>Mobile camera focusing is very fast and clear</v>
      </c>
    </row>
    <row r="6111" spans="1:3" ht="15.75" customHeight="1" x14ac:dyDescent="0.25">
      <c r="A6111" s="2" t="s">
        <v>6113</v>
      </c>
      <c r="B6111" s="3" t="s">
        <v>4</v>
      </c>
      <c r="C6111" s="2" t="str">
        <f ca="1">IFERROR(__xludf.DUMMYFUNCTION("GOOGLETRANSLATE(A6111,""bn"",""en"")"),"The edges of the shelf are very smooth")</f>
        <v>The edges of the shelf are very smooth</v>
      </c>
    </row>
    <row r="6112" spans="1:3" ht="15.75" customHeight="1" x14ac:dyDescent="0.25">
      <c r="A6112" s="2" t="s">
        <v>6114</v>
      </c>
      <c r="B6112" s="3" t="s">
        <v>4</v>
      </c>
      <c r="C6112" s="2" t="str">
        <f ca="1">IFERROR(__xludf.DUMMYFUNCTION("GOOGLETRANSLATE(A6112,""bn"",""en"")"),"The design of this ring is very attractive and wonderful")</f>
        <v>The design of this ring is very attractive and wonderful</v>
      </c>
    </row>
    <row r="6113" spans="1:3" ht="15.75" customHeight="1" x14ac:dyDescent="0.25">
      <c r="A6113" s="2" t="s">
        <v>6115</v>
      </c>
      <c r="B6113" s="3" t="s">
        <v>4</v>
      </c>
      <c r="C6113" s="2" t="str">
        <f ca="1">IFERROR(__xludf.DUMMYFUNCTION("GOOGLETRANSLATE(A6113,""bn"",""en"")"),"Suitable for any occasion")</f>
        <v>Suitable for any occasion</v>
      </c>
    </row>
    <row r="6114" spans="1:3" ht="15.75" customHeight="1" x14ac:dyDescent="0.25">
      <c r="A6114" s="2" t="s">
        <v>6116</v>
      </c>
      <c r="B6114" s="3" t="s">
        <v>2</v>
      </c>
      <c r="C6114" s="2" t="str">
        <f ca="1">IFERROR(__xludf.DUMMYFUNCTION("GOOGLETRANSLATE(A6114,""bn"",""en"")"),"Giving new review")</f>
        <v>Giving new review</v>
      </c>
    </row>
    <row r="6115" spans="1:3" ht="15.75" customHeight="1" x14ac:dyDescent="0.25">
      <c r="A6115" s="2" t="s">
        <v>6117</v>
      </c>
      <c r="B6115" s="3" t="s">
        <v>4</v>
      </c>
      <c r="C6115" s="2" t="str">
        <f ca="1">IFERROR(__xludf.DUMMYFUNCTION("GOOGLETRANSLATE(A6115,""bn"",""en"")"),"It is very effective and powerful")</f>
        <v>It is very effective and powerful</v>
      </c>
    </row>
    <row r="6116" spans="1:3" ht="15.75" customHeight="1" x14ac:dyDescent="0.25">
      <c r="A6116" s="2" t="s">
        <v>6118</v>
      </c>
      <c r="B6116" s="3" t="s">
        <v>6</v>
      </c>
      <c r="C6116" s="2" t="str">
        <f ca="1">IFERROR(__xludf.DUMMYFUNCTION("GOOGLETRANSLATE(A6116,""bn"",""en"")"),"The camera's autofocus system is noisy and confusing, especially during video recording")</f>
        <v>The camera's autofocus system is noisy and confusing, especially during video recording</v>
      </c>
    </row>
    <row r="6117" spans="1:3" ht="15.75" customHeight="1" x14ac:dyDescent="0.25">
      <c r="A6117" s="2" t="s">
        <v>6119</v>
      </c>
      <c r="B6117" s="3" t="s">
        <v>6</v>
      </c>
      <c r="C6117" s="2" t="str">
        <f ca="1">IFERROR(__xludf.DUMMYFUNCTION("GOOGLETRANSLATE(A6117,""bn"",""en"")"),"The power bank weighs more than expected making it less portable for travel")</f>
        <v>The power bank weighs more than expected making it less portable for travel</v>
      </c>
    </row>
    <row r="6118" spans="1:3" ht="15.75" customHeight="1" x14ac:dyDescent="0.25">
      <c r="A6118" s="2" t="s">
        <v>6120</v>
      </c>
      <c r="B6118" s="3" t="s">
        <v>6</v>
      </c>
      <c r="C6118" s="2" t="str">
        <f ca="1">IFERROR(__xludf.DUMMYFUNCTION("GOOGLETRANSLATE(A6118,""bn"",""en"")"),"Annoying sound of electric bike pedals screeching loudly")</f>
        <v>Annoying sound of electric bike pedals screeching loudly</v>
      </c>
    </row>
    <row r="6119" spans="1:3" ht="15.75" customHeight="1" x14ac:dyDescent="0.25">
      <c r="A6119" s="2" t="s">
        <v>6121</v>
      </c>
      <c r="B6119" s="3" t="s">
        <v>4</v>
      </c>
      <c r="C6119" s="2" t="str">
        <f ca="1">IFERROR(__xludf.DUMMYFUNCTION("GOOGLETRANSLATE(A6119,""bn"",""en"")"),"The girl tries to learn to play the guitar every day")</f>
        <v>The girl tries to learn to play the guitar every day</v>
      </c>
    </row>
    <row r="6120" spans="1:3" ht="15.75" customHeight="1" x14ac:dyDescent="0.25">
      <c r="A6120" s="2" t="s">
        <v>6122</v>
      </c>
      <c r="B6120" s="3" t="s">
        <v>4</v>
      </c>
      <c r="C6120" s="2" t="str">
        <f ca="1">IFERROR(__xludf.DUMMYFUNCTION("GOOGLETRANSLATE(A6120,""bn"",""en"")")," Just hype doesn't actually work very well")</f>
        <v xml:space="preserve"> Just hype doesn't actually work very well</v>
      </c>
    </row>
    <row r="6121" spans="1:3" ht="15.75" customHeight="1" x14ac:dyDescent="0.25">
      <c r="A6121" s="2" t="s">
        <v>6123</v>
      </c>
      <c r="B6121" s="3" t="s">
        <v>2</v>
      </c>
      <c r="C6121" s="2" t="str">
        <f ca="1">IFERROR(__xludf.DUMMYFUNCTION("GOOGLETRANSLATE(A6121,""bn"",""en"")"),"I am used to using the product")</f>
        <v>I am used to using the product</v>
      </c>
    </row>
    <row r="6122" spans="1:3" ht="15.75" customHeight="1" x14ac:dyDescent="0.25">
      <c r="A6122" s="2" t="s">
        <v>6124</v>
      </c>
      <c r="B6122" s="3" t="s">
        <v>6</v>
      </c>
      <c r="C6122" s="2" t="str">
        <f ca="1">IFERROR(__xludf.DUMMYFUNCTION("GOOGLETRANSLATE(A6122,""bn"",""en"")"),"The performance of the item was less than that of competitors")</f>
        <v>The performance of the item was less than that of competitors</v>
      </c>
    </row>
    <row r="6123" spans="1:3" ht="15.75" customHeight="1" x14ac:dyDescent="0.25">
      <c r="A6123" s="2" t="s">
        <v>6125</v>
      </c>
      <c r="B6123" s="3" t="s">
        <v>2</v>
      </c>
      <c r="C6123" s="2" t="str">
        <f ca="1">IFERROR(__xludf.DUMMYFUNCTION("GOOGLETRANSLATE(A6123,""bn"",""en"")"),"The watch looks pretty good")</f>
        <v>The watch looks pretty good</v>
      </c>
    </row>
    <row r="6124" spans="1:3" ht="15.75" customHeight="1" x14ac:dyDescent="0.25">
      <c r="A6124" s="2" t="s">
        <v>6126</v>
      </c>
      <c r="B6124" s="3" t="s">
        <v>4</v>
      </c>
      <c r="C6124" s="2" t="str">
        <f ca="1">IFERROR(__xludf.DUMMYFUNCTION("GOOGLETRANSLATE(A6124,""bn"",""en"")"),"The RAM management of the device is excellent")</f>
        <v>The RAM management of the device is excellent</v>
      </c>
    </row>
    <row r="6125" spans="1:3" ht="15.75" customHeight="1" x14ac:dyDescent="0.25">
      <c r="A6125" s="2" t="s">
        <v>6127</v>
      </c>
      <c r="B6125" s="3" t="s">
        <v>4</v>
      </c>
      <c r="C6125" s="2" t="str">
        <f ca="1">IFERROR(__xludf.DUMMYFUNCTION("GOOGLETRANSLATE(A6125,""bn"",""en"")"),"The beauty soap makes the skin soft and smooth")</f>
        <v>The beauty soap makes the skin soft and smooth</v>
      </c>
    </row>
    <row r="6126" spans="1:3" ht="15.75" customHeight="1" x14ac:dyDescent="0.25">
      <c r="A6126" s="2" t="s">
        <v>6128</v>
      </c>
      <c r="B6126" s="3" t="s">
        <v>2</v>
      </c>
      <c r="C6126" s="2" t="str">
        <f ca="1">IFERROR(__xludf.DUMMYFUNCTION("GOOGLETRANSLATE(A6126,""bn"",""en"")"),"The USB humidifier adds moisture to the air but the tank is small")</f>
        <v>The USB humidifier adds moisture to the air but the tank is small</v>
      </c>
    </row>
    <row r="6127" spans="1:3" ht="15.75" customHeight="1" x14ac:dyDescent="0.25">
      <c r="A6127" s="2" t="s">
        <v>6129</v>
      </c>
      <c r="B6127" s="3" t="s">
        <v>2</v>
      </c>
      <c r="C6127" s="2" t="str">
        <f ca="1">IFERROR(__xludf.DUMMYFUNCTION("GOOGLETRANSLATE(A6127,""bn"",""en"")"),"Product rating is fair")</f>
        <v>Product rating is fair</v>
      </c>
    </row>
    <row r="6128" spans="1:3" ht="15.75" customHeight="1" x14ac:dyDescent="0.25">
      <c r="A6128" s="2" t="s">
        <v>6130</v>
      </c>
      <c r="B6128" s="3" t="s">
        <v>2</v>
      </c>
      <c r="C6128" s="2" t="str">
        <f ca="1">IFERROR(__xludf.DUMMYFUNCTION("GOOGLETRANSLATE(A6128,""bn"",""en"")"),"The design would have been better if it had wings")</f>
        <v>The design would have been better if it had wings</v>
      </c>
    </row>
    <row r="6129" spans="1:3" ht="15.75" customHeight="1" x14ac:dyDescent="0.25">
      <c r="A6129" s="2" t="s">
        <v>6131</v>
      </c>
      <c r="B6129" s="3" t="s">
        <v>2</v>
      </c>
      <c r="C6129" s="2" t="str">
        <f ca="1">IFERROR(__xludf.DUMMYFUNCTION("GOOGLETRANSLATE(A6129,""bn"",""en"")"),"The pedals are light but become loose after a long time")</f>
        <v>The pedals are light but become loose after a long time</v>
      </c>
    </row>
    <row r="6130" spans="1:3" ht="15.75" customHeight="1" x14ac:dyDescent="0.25">
      <c r="A6130" s="2" t="s">
        <v>6132</v>
      </c>
      <c r="B6130" s="3" t="s">
        <v>4</v>
      </c>
      <c r="C6130" s="2" t="str">
        <f ca="1">IFERROR(__xludf.DUMMYFUNCTION("GOOGLETRANSLATE(A6130,""bn"",""en"")"),"The child had fun going to the market with his mother")</f>
        <v>The child had fun going to the market with his mother</v>
      </c>
    </row>
    <row r="6131" spans="1:3" ht="15.75" customHeight="1" x14ac:dyDescent="0.25">
      <c r="A6131" s="2" t="s">
        <v>6133</v>
      </c>
      <c r="B6131" s="3" t="s">
        <v>6</v>
      </c>
      <c r="C6131" s="2" t="str">
        <f ca="1">IFERROR(__xludf.DUMMYFUNCTION("GOOGLETRANSLATE(A6131,""bn"",""en"")"),"Disappointing product performance")</f>
        <v>Disappointing product performance</v>
      </c>
    </row>
    <row r="6132" spans="1:3" ht="15.75" customHeight="1" x14ac:dyDescent="0.25">
      <c r="A6132" s="2" t="s">
        <v>6134</v>
      </c>
      <c r="B6132" s="3" t="s">
        <v>6</v>
      </c>
      <c r="C6132" s="2" t="str">
        <f ca="1">IFERROR(__xludf.DUMMYFUNCTION("GOOGLETRANSLATE(A6132,""bn"",""en"")"),"The lack of structure shows the continuous shape of an unrepentant insult")</f>
        <v>The lack of structure shows the continuous shape of an unrepentant insult</v>
      </c>
    </row>
    <row r="6133" spans="1:3" ht="15.75" customHeight="1" x14ac:dyDescent="0.25">
      <c r="A6133" s="2" t="s">
        <v>6135</v>
      </c>
      <c r="B6133" s="3" t="s">
        <v>6</v>
      </c>
      <c r="C6133" s="2" t="str">
        <f ca="1">IFERROR(__xludf.DUMMYFUNCTION("GOOGLETRANSLATE(A6133,""bn"",""en"")"),"The canned soup was overly salty and had an unpleasant chemical taste")</f>
        <v>The canned soup was overly salty and had an unpleasant chemical taste</v>
      </c>
    </row>
    <row r="6134" spans="1:3" ht="15.75" customHeight="1" x14ac:dyDescent="0.25">
      <c r="A6134" s="2" t="s">
        <v>6136</v>
      </c>
      <c r="B6134" s="3" t="s">
        <v>6</v>
      </c>
      <c r="C6134" s="2" t="str">
        <f ca="1">IFERROR(__xludf.DUMMYFUNCTION("GOOGLETRANSLATE(A6134,""bn"",""en"")"),"There was visible discoloration of the canvas material")</f>
        <v>There was visible discoloration of the canvas material</v>
      </c>
    </row>
    <row r="6135" spans="1:3" ht="15.75" customHeight="1" x14ac:dyDescent="0.25">
      <c r="A6135" s="2" t="s">
        <v>6137</v>
      </c>
      <c r="B6135" s="3" t="s">
        <v>6</v>
      </c>
      <c r="C6135" s="2" t="str">
        <f ca="1">IFERROR(__xludf.DUMMYFUNCTION("GOOGLETRANSLATE(A6135,""bn"",""en"")"),"The wobbly handle is a challenge to hold")</f>
        <v>The wobbly handle is a challenge to hold</v>
      </c>
    </row>
    <row r="6136" spans="1:3" ht="15.75" customHeight="1" x14ac:dyDescent="0.25">
      <c r="A6136" s="2" t="s">
        <v>6138</v>
      </c>
      <c r="B6136" s="3" t="s">
        <v>6</v>
      </c>
      <c r="C6136" s="2" t="str">
        <f ca="1">IFERROR(__xludf.DUMMYFUNCTION("GOOGLETRANSLATE(A6136,""bn"",""en"")"),"The setting powder leaves a chalky residue on the skin making it look dull")</f>
        <v>The setting powder leaves a chalky residue on the skin making it look dull</v>
      </c>
    </row>
    <row r="6137" spans="1:3" ht="15.75" customHeight="1" x14ac:dyDescent="0.25">
      <c r="A6137" s="2" t="s">
        <v>6139</v>
      </c>
      <c r="B6137" s="3" t="s">
        <v>2</v>
      </c>
      <c r="C6137" s="2" t="str">
        <f ca="1">IFERROR(__xludf.DUMMYFUNCTION("GOOGLETRANSLATE(A6137,""bn"",""en"")"),"The mop is handy for reaching corners")</f>
        <v>The mop is handy for reaching corners</v>
      </c>
    </row>
    <row r="6138" spans="1:3" ht="15.75" customHeight="1" x14ac:dyDescent="0.25">
      <c r="A6138" s="2" t="s">
        <v>6140</v>
      </c>
      <c r="B6138" s="3" t="s">
        <v>4</v>
      </c>
      <c r="C6138" s="2" t="str">
        <f ca="1">IFERROR(__xludf.DUMMYFUNCTION("GOOGLETRANSLATE(A6138,""bn"",""en"")"),"The garment dries quickly")</f>
        <v>The garment dries quickly</v>
      </c>
    </row>
    <row r="6139" spans="1:3" ht="15.75" customHeight="1" x14ac:dyDescent="0.25">
      <c r="A6139" s="2" t="s">
        <v>6141</v>
      </c>
      <c r="B6139" s="3" t="s">
        <v>6</v>
      </c>
      <c r="C6139" s="2" t="str">
        <f ca="1">IFERROR(__xludf.DUMMYFUNCTION("GOOGLETRANSLATE(A6139,""bn"",""en"")"),"The solar powered bird repeller's motion sensor is not deterred by very slow birds")</f>
        <v>The solar powered bird repeller's motion sensor is not deterred by very slow birds</v>
      </c>
    </row>
    <row r="6140" spans="1:3" ht="15.75" customHeight="1" x14ac:dyDescent="0.25">
      <c r="A6140" s="2" t="s">
        <v>6142</v>
      </c>
      <c r="B6140" s="3" t="s">
        <v>4</v>
      </c>
      <c r="C6140" s="2" t="str">
        <f ca="1">IFERROR(__xludf.DUMMYFUNCTION("GOOGLETRANSLATE(A6140,""bn"",""en"")"),"The picture on the new TV screen is very clear and crisp")</f>
        <v>The picture on the new TV screen is very clear and crisp</v>
      </c>
    </row>
    <row r="6141" spans="1:3" ht="15.75" customHeight="1" x14ac:dyDescent="0.25">
      <c r="A6141" s="2" t="s">
        <v>6143</v>
      </c>
      <c r="B6141" s="3" t="s">
        <v>6</v>
      </c>
      <c r="C6141" s="2" t="str">
        <f ca="1">IFERROR(__xludf.DUMMYFUNCTION("GOOGLETRANSLATE(A6141,""bn"",""en"")"),"The water supply nozzle is poorly designed causing water to splash on the floor")</f>
        <v>The water supply nozzle is poorly designed causing water to splash on the floor</v>
      </c>
    </row>
    <row r="6142" spans="1:3" ht="15.75" customHeight="1" x14ac:dyDescent="0.25">
      <c r="A6142" s="2" t="s">
        <v>6144</v>
      </c>
      <c r="B6142" s="3" t="s">
        <v>4</v>
      </c>
      <c r="C6142" s="2" t="str">
        <f ca="1">IFERROR(__xludf.DUMMYFUNCTION("GOOGLETRANSLATE(A6142,""bn"",""en"")"),"Makeup brushes improve skin texture")</f>
        <v>Makeup brushes improve skin texture</v>
      </c>
    </row>
    <row r="6143" spans="1:3" ht="15.75" customHeight="1" x14ac:dyDescent="0.25">
      <c r="A6143" s="2" t="s">
        <v>6145</v>
      </c>
      <c r="B6143" s="3" t="s">
        <v>4</v>
      </c>
      <c r="C6143" s="2" t="str">
        <f ca="1">IFERROR(__xludf.DUMMYFUNCTION("GOOGLETRANSLATE(A6143,""bn"",""en"")"),"A stylish and functional companion to my Airtags")</f>
        <v>A stylish and functional companion to my Airtags</v>
      </c>
    </row>
    <row r="6144" spans="1:3" ht="15.75" customHeight="1" x14ac:dyDescent="0.25">
      <c r="A6144" s="2" t="s">
        <v>6146</v>
      </c>
      <c r="B6144" s="3" t="s">
        <v>2</v>
      </c>
      <c r="C6144" s="2" t="str">
        <f ca="1">IFERROR(__xludf.DUMMYFUNCTION("GOOGLETRANSLATE(A6144,""bn"",""en"")"),"Can be used to clean glasses")</f>
        <v>Can be used to clean glasses</v>
      </c>
    </row>
    <row r="6145" spans="1:3" ht="15.75" customHeight="1" x14ac:dyDescent="0.25">
      <c r="A6145" s="2" t="s">
        <v>6147</v>
      </c>
      <c r="B6145" s="3" t="s">
        <v>6</v>
      </c>
      <c r="C6145" s="2" t="str">
        <f ca="1">IFERROR(__xludf.DUMMYFUNCTION("GOOGLETRANSLATE(A6145,""bn"",""en"")"),"The blush powder is very powdery resulting in fall out during application")</f>
        <v>The blush powder is very powdery resulting in fall out during application</v>
      </c>
    </row>
    <row r="6146" spans="1:3" ht="15.75" customHeight="1" x14ac:dyDescent="0.25">
      <c r="A6146" s="2" t="s">
        <v>6148</v>
      </c>
      <c r="B6146" s="3" t="s">
        <v>6</v>
      </c>
      <c r="C6146" s="2" t="str">
        <f ca="1">IFERROR(__xludf.DUMMYFUNCTION("GOOGLETRANSLATE(A6146,""bn"",""en"")"),"Inadequate packaging causes damage during transit")</f>
        <v>Inadequate packaging causes damage during transit</v>
      </c>
    </row>
    <row r="6147" spans="1:3" ht="15.75" customHeight="1" x14ac:dyDescent="0.25">
      <c r="A6147" s="2" t="s">
        <v>6149</v>
      </c>
      <c r="B6147" s="3" t="s">
        <v>2</v>
      </c>
      <c r="C6147" s="2" t="str">
        <f ca="1">IFERROR(__xludf.DUMMYFUNCTION("GOOGLETRANSLATE(A6147,""bn"",""en"")"),"A difficult choice will be made")</f>
        <v>A difficult choice will be made</v>
      </c>
    </row>
    <row r="6148" spans="1:3" ht="15.75" customHeight="1" x14ac:dyDescent="0.25">
      <c r="A6148" s="2" t="s">
        <v>6150</v>
      </c>
      <c r="B6148" s="3" t="s">
        <v>6</v>
      </c>
      <c r="C6148" s="2" t="str">
        <f ca="1">IFERROR(__xludf.DUMMYFUNCTION("GOOGLETRANSLATE(A6148,""bn"",""en"")"),"The boxed macaroni and cheese had a powdery cheese sauce and spicy pasta that lacked flavor and texture.")</f>
        <v>The boxed macaroni and cheese had a powdery cheese sauce and spicy pasta that lacked flavor and texture.</v>
      </c>
    </row>
    <row r="6149" spans="1:3" ht="15.75" customHeight="1" x14ac:dyDescent="0.25">
      <c r="A6149" s="2" t="s">
        <v>6151</v>
      </c>
      <c r="B6149" s="3" t="s">
        <v>6</v>
      </c>
      <c r="C6149" s="2" t="str">
        <f ca="1">IFERROR(__xludf.DUMMYFUNCTION("GOOGLETRANSLATE(A6149,""bn"",""en"")"),"The fabric feels cheap and prone to wrinkling, giving the garment a less desirable look")</f>
        <v>The fabric feels cheap and prone to wrinkling, giving the garment a less desirable look</v>
      </c>
    </row>
    <row r="6150" spans="1:3" ht="15.75" customHeight="1" x14ac:dyDescent="0.25">
      <c r="A6150" s="2" t="s">
        <v>6152</v>
      </c>
      <c r="B6150" s="3" t="s">
        <v>4</v>
      </c>
      <c r="C6150" s="2" t="str">
        <f ca="1">IFERROR(__xludf.DUMMYFUNCTION("GOOGLETRANSLATE(A6150,""bn"",""en"")"),"No greasy feeling on hands after use")</f>
        <v>No greasy feeling on hands after use</v>
      </c>
    </row>
    <row r="6151" spans="1:3" ht="15.75" customHeight="1" x14ac:dyDescent="0.25">
      <c r="A6151" s="2" t="s">
        <v>6153</v>
      </c>
      <c r="B6151" s="3" t="s">
        <v>6</v>
      </c>
      <c r="C6151" s="2" t="str">
        <f ca="1">IFERROR(__xludf.DUMMYFUNCTION("GOOGLETRANSLATE(A6151,""bn"",""en"")"),"The serum caused a break in the acne")</f>
        <v>The serum caused a break in the acne</v>
      </c>
    </row>
    <row r="6152" spans="1:3" ht="15.75" customHeight="1" x14ac:dyDescent="0.25">
      <c r="A6152" s="2" t="s">
        <v>6154</v>
      </c>
      <c r="B6152" s="3" t="s">
        <v>2</v>
      </c>
      <c r="C6152" s="2" t="str">
        <f ca="1">IFERROR(__xludf.DUMMYFUNCTION("GOOGLETRANSLATE(A6152,""bn"",""en"")"),"The pocket gram scale measures weight but the buttons are sensitive")</f>
        <v>The pocket gram scale measures weight but the buttons are sensitive</v>
      </c>
    </row>
    <row r="6153" spans="1:3" ht="15.75" customHeight="1" x14ac:dyDescent="0.25">
      <c r="A6153" s="2" t="s">
        <v>6155</v>
      </c>
      <c r="B6153" s="3" t="s">
        <v>6</v>
      </c>
      <c r="C6153" s="2" t="str">
        <f ca="1">IFERROR(__xludf.DUMMYFUNCTION("GOOGLETRANSLATE(A6153,""bn"",""en"")"),"Despite being described as water resistant, the jewelery rusts and discolours after exposure to water making it look tarnished and unsightly.")</f>
        <v>Despite being described as water resistant, the jewelery rusts and discolours after exposure to water making it look tarnished and unsightly.</v>
      </c>
    </row>
    <row r="6154" spans="1:3" ht="15.75" customHeight="1" x14ac:dyDescent="0.25">
      <c r="A6154" s="2" t="s">
        <v>6156</v>
      </c>
      <c r="B6154" s="3" t="s">
        <v>4</v>
      </c>
      <c r="C6154" s="2" t="str">
        <f ca="1">IFERROR(__xludf.DUMMYFUNCTION("GOOGLETRANSLATE(A6154,""bn"",""en"")"),"This body wash keeps the skin soft")</f>
        <v>This body wash keeps the skin soft</v>
      </c>
    </row>
    <row r="6155" spans="1:3" ht="15.75" customHeight="1" x14ac:dyDescent="0.25">
      <c r="A6155" s="2" t="s">
        <v>6157</v>
      </c>
      <c r="B6155" s="3" t="s">
        <v>2</v>
      </c>
      <c r="C6155" s="2" t="str">
        <f ca="1">IFERROR(__xludf.DUMMYFUNCTION("GOOGLETRANSLATE(A6155,""bn"",""en"")"),"Teaches words but pronunciation is not clear")</f>
        <v>Teaches words but pronunciation is not clear</v>
      </c>
    </row>
    <row r="6156" spans="1:3" ht="15.75" customHeight="1" x14ac:dyDescent="0.25">
      <c r="A6156" s="2" t="s">
        <v>6158</v>
      </c>
      <c r="B6156" s="3" t="s">
        <v>2</v>
      </c>
      <c r="C6156" s="2" t="str">
        <f ca="1">IFERROR(__xludf.DUMMYFUNCTION("GOOGLETRANSLATE(A6156,""bn"",""en"")"),"There are pictures of different seasons but the difference is very little")</f>
        <v>There are pictures of different seasons but the difference is very little</v>
      </c>
    </row>
    <row r="6157" spans="1:3" ht="15.75" customHeight="1" x14ac:dyDescent="0.25">
      <c r="A6157" s="2" t="s">
        <v>6159</v>
      </c>
      <c r="B6157" s="3" t="s">
        <v>6</v>
      </c>
      <c r="C6157" s="2" t="str">
        <f ca="1">IFERROR(__xludf.DUMMYFUNCTION("GOOGLETRANSLATE(A6157,""bn"",""en"")"),"The fabric feels like it will tear with the slightest tug")</f>
        <v>The fabric feels like it will tear with the slightest tug</v>
      </c>
    </row>
    <row r="6158" spans="1:3" ht="15.75" customHeight="1" x14ac:dyDescent="0.25">
      <c r="A6158" s="2" t="s">
        <v>6160</v>
      </c>
      <c r="B6158" s="3" t="s">
        <v>6</v>
      </c>
      <c r="C6158" s="2" t="str">
        <f ca="1">IFERROR(__xludf.DUMMYFUNCTION("GOOGLETRANSLATE(A6158,""bn"",""en"")"),"Brittle material cracks easily under pressure")</f>
        <v>Brittle material cracks easily under pressure</v>
      </c>
    </row>
    <row r="6159" spans="1:3" ht="15.75" customHeight="1" x14ac:dyDescent="0.25">
      <c r="A6159" s="2" t="s">
        <v>6161</v>
      </c>
      <c r="B6159" s="3" t="s">
        <v>4</v>
      </c>
      <c r="C6159" s="2" t="str">
        <f ca="1">IFERROR(__xludf.DUMMYFUNCTION("GOOGLETRANSLATE(A6159,""bn"",""en"")"),"Fits the body very nicely")</f>
        <v>Fits the body very nicely</v>
      </c>
    </row>
    <row r="6160" spans="1:3" ht="15.75" customHeight="1" x14ac:dyDescent="0.25">
      <c r="A6160" s="2" t="s">
        <v>6162</v>
      </c>
      <c r="B6160" s="3" t="s">
        <v>4</v>
      </c>
      <c r="C6160" s="2" t="str">
        <f ca="1">IFERROR(__xludf.DUMMYFUNCTION("GOOGLETRANSLATE(A6160,""bn"",""en"")"),"  The review product of the month is simply the best  ")</f>
        <v xml:space="preserve">  The review product of the month is simply the best  </v>
      </c>
    </row>
    <row r="6161" spans="1:3" ht="15.75" customHeight="1" x14ac:dyDescent="0.25">
      <c r="A6161" s="2" t="s">
        <v>6163</v>
      </c>
      <c r="B6161" s="3" t="s">
        <v>4</v>
      </c>
      <c r="C6161" s="2" t="str">
        <f ca="1">IFERROR(__xludf.DUMMYFUNCTION("GOOGLETRANSLATE(A6161,""bn"",""en"")"),"The shampoo gives a natural look to the hair")</f>
        <v>The shampoo gives a natural look to the hair</v>
      </c>
    </row>
    <row r="6162" spans="1:3" ht="15.75" customHeight="1" x14ac:dyDescent="0.25">
      <c r="A6162" s="2" t="s">
        <v>6164</v>
      </c>
      <c r="B6162" s="3" t="s">
        <v>4</v>
      </c>
      <c r="C6162" s="2" t="str">
        <f ca="1">IFERROR(__xludf.DUMMYFUNCTION("GOOGLETRANSLATE(A6162,""bn"",""en"")"),"The flower created a cozy atmosphere in my room")</f>
        <v>The flower created a cozy atmosphere in my room</v>
      </c>
    </row>
    <row r="6163" spans="1:3" ht="15.75" customHeight="1" x14ac:dyDescent="0.25">
      <c r="A6163" s="2" t="s">
        <v>6165</v>
      </c>
      <c r="B6163" s="3" t="s">
        <v>6</v>
      </c>
      <c r="C6163" s="2" t="str">
        <f ca="1">IFERROR(__xludf.DUMMYFUNCTION("GOOGLETRANSLATE(A6163,""bn"",""en"")"),"The prongs of the charger are bent and do not fit properly in the outlet resulting in intermittent charging")</f>
        <v>The prongs of the charger are bent and do not fit properly in the outlet resulting in intermittent charging</v>
      </c>
    </row>
    <row r="6164" spans="1:3" ht="15.75" customHeight="1" x14ac:dyDescent="0.25">
      <c r="A6164" s="2" t="s">
        <v>6166</v>
      </c>
      <c r="B6164" s="3" t="s">
        <v>6</v>
      </c>
      <c r="C6164" s="2" t="str">
        <f ca="1">IFERROR(__xludf.DUMMYFUNCTION("GOOGLETRANSLATE(A6164,""bn"",""en"")"),"The phone's battery drains quickly even with minimal usage")</f>
        <v>The phone's battery drains quickly even with minimal usage</v>
      </c>
    </row>
    <row r="6165" spans="1:3" ht="15.75" customHeight="1" x14ac:dyDescent="0.25">
      <c r="A6165" s="2" t="s">
        <v>6167</v>
      </c>
      <c r="B6165" s="3" t="s">
        <v>2</v>
      </c>
      <c r="C6165" s="2" t="str">
        <f ca="1">IFERROR(__xludf.DUMMYFUNCTION("GOOGLETRANSLATE(A6165,""bn"",""en"")"),"Good quality fabric can be better")</f>
        <v>Good quality fabric can be better</v>
      </c>
    </row>
    <row r="6166" spans="1:3" ht="15.75" customHeight="1" x14ac:dyDescent="0.25">
      <c r="A6166" s="2" t="s">
        <v>6168</v>
      </c>
      <c r="B6166" s="3" t="s">
        <v>6</v>
      </c>
      <c r="C6166" s="2" t="str">
        <f ca="1">IFERROR(__xludf.DUMMYFUNCTION("GOOGLETRANSLATE(A6166,""bn"",""en"")"),"Incredible performance tread isolation")</f>
        <v>Incredible performance tread isolation</v>
      </c>
    </row>
    <row r="6167" spans="1:3" ht="15.75" customHeight="1" x14ac:dyDescent="0.25">
      <c r="A6167" s="2" t="s">
        <v>6169</v>
      </c>
      <c r="B6167" s="3" t="s">
        <v>6</v>
      </c>
      <c r="C6167" s="2" t="str">
        <f ca="1">IFERROR(__xludf.DUMMYFUNCTION("GOOGLETRANSLATE(A6167,""bn"",""en"")"),"Toy batteries die quickly and require frequent replacement")</f>
        <v>Toy batteries die quickly and require frequent replacement</v>
      </c>
    </row>
    <row r="6168" spans="1:3" ht="15.75" customHeight="1" x14ac:dyDescent="0.25">
      <c r="A6168" s="2" t="s">
        <v>6170</v>
      </c>
      <c r="B6168" s="3" t="s">
        <v>6</v>
      </c>
      <c r="C6168" s="2" t="str">
        <f ca="1">IFERROR(__xludf.DUMMYFUNCTION("GOOGLETRANSLATE(A6168,""bn"",""en"")"),"One was obtained with loose threads and unfinished seams indicating a hasty and careless manufacturing process")</f>
        <v>One was obtained with loose threads and unfinished seams indicating a hasty and careless manufacturing process</v>
      </c>
    </row>
    <row r="6169" spans="1:3" ht="15.75" customHeight="1" x14ac:dyDescent="0.25">
      <c r="A6169" s="2" t="s">
        <v>6171</v>
      </c>
      <c r="B6169" s="3" t="s">
        <v>2</v>
      </c>
      <c r="C6169" s="2" t="str">
        <f ca="1">IFERROR(__xludf.DUMMYFUNCTION("GOOGLETRANSLATE(A6169,""bn"",""en"")"),"Floors are not as slippery as before using the product")</f>
        <v>Floors are not as slippery as before using the product</v>
      </c>
    </row>
    <row r="6170" spans="1:3" ht="15.75" customHeight="1" x14ac:dyDescent="0.25">
      <c r="A6170" s="2" t="s">
        <v>6172</v>
      </c>
      <c r="B6170" s="3" t="s">
        <v>4</v>
      </c>
      <c r="C6170" s="2" t="str">
        <f ca="1">IFERROR(__xludf.DUMMYFUNCTION("GOOGLETRANSLATE(A6170,""bn"",""en"")"),"The back cover design of the mobile is very nice")</f>
        <v>The back cover design of the mobile is very nice</v>
      </c>
    </row>
    <row r="6171" spans="1:3" ht="15.75" customHeight="1" x14ac:dyDescent="0.25">
      <c r="A6171" s="2" t="s">
        <v>6173</v>
      </c>
      <c r="B6171" s="3" t="s">
        <v>4</v>
      </c>
      <c r="C6171" s="2" t="str">
        <f ca="1">IFERROR(__xludf.DUMMYFUNCTION("GOOGLETRANSLATE(A6171,""bn"",""en"")"),"The watch consumes very little power")</f>
        <v>The watch consumes very little power</v>
      </c>
    </row>
    <row r="6172" spans="1:3" ht="15.75" customHeight="1" x14ac:dyDescent="0.25">
      <c r="A6172" s="2" t="s">
        <v>6174</v>
      </c>
      <c r="B6172" s="3" t="s">
        <v>2</v>
      </c>
      <c r="C6172" s="2" t="str">
        <f ca="1">IFERROR(__xludf.DUMMYFUNCTION("GOOGLETRANSLATE(A6172,""bn"",""en"")"),"Nice color quality could be better")</f>
        <v>Nice color quality could be better</v>
      </c>
    </row>
    <row r="6173" spans="1:3" ht="15.75" customHeight="1" x14ac:dyDescent="0.25">
      <c r="A6173" s="2" t="s">
        <v>6175</v>
      </c>
      <c r="B6173" s="3" t="s">
        <v>6</v>
      </c>
      <c r="C6173" s="2" t="str">
        <f ca="1">IFERROR(__xludf.DUMMYFUNCTION("GOOGLETRANSLATE(A6173,""bn"",""en"")"),"Was expecting good quality but totally disappointed")</f>
        <v>Was expecting good quality but totally disappointed</v>
      </c>
    </row>
    <row r="6174" spans="1:3" ht="15.75" customHeight="1" x14ac:dyDescent="0.25">
      <c r="A6174" s="2" t="s">
        <v>6176</v>
      </c>
      <c r="B6174" s="3" t="s">
        <v>4</v>
      </c>
      <c r="C6174" s="2" t="str">
        <f ca="1">IFERROR(__xludf.DUMMYFUNCTION("GOOGLETRANSLATE(A6174,""bn"",""en"")"),"I bought it for my brother and he likes it very much")</f>
        <v>I bought it for my brother and he likes it very much</v>
      </c>
    </row>
    <row r="6175" spans="1:3" ht="15.75" customHeight="1" x14ac:dyDescent="0.25">
      <c r="A6175" s="2" t="s">
        <v>6177</v>
      </c>
      <c r="B6175" s="3" t="s">
        <v>6</v>
      </c>
      <c r="C6175" s="2" t="str">
        <f ca="1">IFERROR(__xludf.DUMMYFUNCTION("GOOGLETRANSLATE(A6175,""bn"",""en"")"),"The paint colors were not true to the swatches")</f>
        <v>The paint colors were not true to the swatches</v>
      </c>
    </row>
    <row r="6176" spans="1:3" ht="15.75" customHeight="1" x14ac:dyDescent="0.25">
      <c r="A6176" s="2" t="s">
        <v>6178</v>
      </c>
      <c r="B6176" s="3" t="s">
        <v>2</v>
      </c>
      <c r="C6176" s="2" t="str">
        <f ca="1">IFERROR(__xludf.DUMMYFUNCTION("GOOGLETRANSLATE(A6176,""bn"",""en"")"),"They are tiny but they manage to do something")</f>
        <v>They are tiny but they manage to do something</v>
      </c>
    </row>
    <row r="6177" spans="1:3" ht="15.75" customHeight="1" x14ac:dyDescent="0.25">
      <c r="A6177" s="2" t="s">
        <v>6179</v>
      </c>
      <c r="B6177" s="3" t="s">
        <v>4</v>
      </c>
      <c r="C6177" s="2" t="str">
        <f ca="1">IFERROR(__xludf.DUMMYFUNCTION("GOOGLETRANSLATE(A6177,""bn"",""en"")"),"Makeup brushes can create different finishes")</f>
        <v>Makeup brushes can create different finishes</v>
      </c>
    </row>
    <row r="6178" spans="1:3" ht="15.75" customHeight="1" x14ac:dyDescent="0.25">
      <c r="A6178" s="2" t="s">
        <v>6180</v>
      </c>
      <c r="B6178" s="3" t="s">
        <v>2</v>
      </c>
      <c r="C6178" s="2" t="str">
        <f ca="1">IFERROR(__xludf.DUMMYFUNCTION("GOOGLETRANSLATE(A6178,""bn"",""en"")"),"Color variety is limited")</f>
        <v>Color variety is limited</v>
      </c>
    </row>
    <row r="6179" spans="1:3" ht="15.75" customHeight="1" x14ac:dyDescent="0.25">
      <c r="A6179" s="2" t="s">
        <v>6181</v>
      </c>
      <c r="B6179" s="3" t="s">
        <v>4</v>
      </c>
      <c r="C6179" s="2" t="str">
        <f ca="1">IFERROR(__xludf.DUMMYFUNCTION("GOOGLETRANSLATE(A6179,""bn"",""en"")"),"Airflow control is simple and effective")</f>
        <v>Airflow control is simple and effective</v>
      </c>
    </row>
    <row r="6180" spans="1:3" ht="15.75" customHeight="1" x14ac:dyDescent="0.25">
      <c r="A6180" s="2" t="s">
        <v>6182</v>
      </c>
      <c r="B6180" s="3" t="s">
        <v>4</v>
      </c>
      <c r="C6180" s="2" t="str">
        <f ca="1">IFERROR(__xludf.DUMMYFUNCTION("GOOGLETRANSLATE(A6180,""bn"",""en"")"),"This body wash prevents skin infections")</f>
        <v>This body wash prevents skin infections</v>
      </c>
    </row>
    <row r="6181" spans="1:3" ht="15.75" customHeight="1" x14ac:dyDescent="0.25">
      <c r="A6181" s="2" t="s">
        <v>6183</v>
      </c>
      <c r="B6181" s="3" t="s">
        <v>2</v>
      </c>
      <c r="C6181" s="2" t="str">
        <f ca="1">IFERROR(__xludf.DUMMYFUNCTION("GOOGLETRANSLATE(A6181,""bn"",""en"")"),"The color is bright but the cut is not perfect")</f>
        <v>The color is bright but the cut is not perfect</v>
      </c>
    </row>
    <row r="6182" spans="1:3" ht="15.75" customHeight="1" x14ac:dyDescent="0.25">
      <c r="A6182" s="2" t="s">
        <v>6184</v>
      </c>
      <c r="B6182" s="3" t="s">
        <v>4</v>
      </c>
      <c r="C6182" s="2" t="str">
        <f ca="1">IFERROR(__xludf.DUMMYFUNCTION("GOOGLETRANSLATE(A6182,""bn"",""en"")"),"The oven cooks food quickly and evenly")</f>
        <v>The oven cooks food quickly and evenly</v>
      </c>
    </row>
    <row r="6183" spans="1:3" ht="15.75" customHeight="1" x14ac:dyDescent="0.25">
      <c r="A6183" s="2" t="s">
        <v>6185</v>
      </c>
      <c r="B6183" s="3" t="s">
        <v>4</v>
      </c>
      <c r="C6183" s="2" t="str">
        <f ca="1">IFERROR(__xludf.DUMMYFUNCTION("GOOGLETRANSLATE(A6183,""bn"",""en"")"),"The resolution of the phone screen is very high")</f>
        <v>The resolution of the phone screen is very high</v>
      </c>
    </row>
    <row r="6184" spans="1:3" ht="15.75" customHeight="1" x14ac:dyDescent="0.25">
      <c r="A6184" s="2" t="s">
        <v>6186</v>
      </c>
      <c r="B6184" s="3" t="s">
        <v>2</v>
      </c>
      <c r="C6184" s="2" t="str">
        <f ca="1">IFERROR(__xludf.DUMMYFUNCTION("GOOGLETRANSLATE(A6184,""bn"",""en"")"),"Can be used to check outfits")</f>
        <v>Can be used to check outfits</v>
      </c>
    </row>
    <row r="6185" spans="1:3" ht="15.75" customHeight="1" x14ac:dyDescent="0.25">
      <c r="A6185" s="2" t="s">
        <v>6187</v>
      </c>
      <c r="B6185" s="3" t="s">
        <v>6</v>
      </c>
      <c r="C6185" s="2" t="str">
        <f ca="1">IFERROR(__xludf.DUMMYFUNCTION("GOOGLETRANSLATE(A6185,""bn"",""en"")"),"Face masks contain ingredients that cause stinging and burning when applied instead of soothing the skin")</f>
        <v>Face masks contain ingredients that cause stinging and burning when applied instead of soothing the skin</v>
      </c>
    </row>
    <row r="6186" spans="1:3" ht="15.75" customHeight="1" x14ac:dyDescent="0.25">
      <c r="A6186" s="2" t="s">
        <v>6188</v>
      </c>
      <c r="B6186" s="3" t="s">
        <v>2</v>
      </c>
      <c r="C6186" s="2" t="str">
        <f ca="1">IFERROR(__xludf.DUMMYFUNCTION("GOOGLETRANSLATE(A6186,""bn"",""en"")"),"The brush is made of plastic")</f>
        <v>The brush is made of plastic</v>
      </c>
    </row>
    <row r="6187" spans="1:3" ht="15.75" customHeight="1" x14ac:dyDescent="0.25">
      <c r="A6187" s="2" t="s">
        <v>6189</v>
      </c>
      <c r="B6187" s="3" t="s">
        <v>2</v>
      </c>
      <c r="C6187" s="2" t="str">
        <f ca="1">IFERROR(__xludf.DUMMYFUNCTION("GOOGLETRANSLATE(A6187,""bn"",""en"")"),"The author's thinking is great but the presentation could have been better")</f>
        <v>The author's thinking is great but the presentation could have been better</v>
      </c>
    </row>
    <row r="6188" spans="1:3" ht="15.75" customHeight="1" x14ac:dyDescent="0.25">
      <c r="A6188" s="2" t="s">
        <v>6190</v>
      </c>
      <c r="B6188" s="3" t="s">
        <v>4</v>
      </c>
      <c r="C6188" s="2" t="str">
        <f ca="1">IFERROR(__xludf.DUMMYFUNCTION("GOOGLETRANSLATE(A6188,""bn"",""en"")"),"I feel refreshed every time I drink this tea")</f>
        <v>I feel refreshed every time I drink this tea</v>
      </c>
    </row>
    <row r="6189" spans="1:3" ht="15.75" customHeight="1" x14ac:dyDescent="0.25">
      <c r="A6189" s="2" t="s">
        <v>6191</v>
      </c>
      <c r="B6189" s="3" t="s">
        <v>6</v>
      </c>
      <c r="C6189" s="2" t="str">
        <f ca="1">IFERROR(__xludf.DUMMYFUNCTION("GOOGLETRANSLATE(A6189,""bn"",""en"")"),"The screen size is too small which makes it difficult to view the content comfortably")</f>
        <v>The screen size is too small which makes it difficult to view the content comfortably</v>
      </c>
    </row>
    <row r="6190" spans="1:3" ht="15.75" customHeight="1" x14ac:dyDescent="0.25">
      <c r="A6190" s="2" t="s">
        <v>6192</v>
      </c>
      <c r="B6190" s="3" t="s">
        <v>6</v>
      </c>
      <c r="C6190" s="2" t="str">
        <f ca="1">IFERROR(__xludf.DUMMYFUNCTION("GOOGLETRANSLATE(A6190,""bn"",""en"")"),"I am so disappointed that the colors are so faint that you can barely see")</f>
        <v>I am so disappointed that the colors are so faint that you can barely see</v>
      </c>
    </row>
    <row r="6191" spans="1:3" ht="15.75" customHeight="1" x14ac:dyDescent="0.25">
      <c r="A6191" s="2" t="s">
        <v>6193</v>
      </c>
      <c r="B6191" s="3" t="s">
        <v>4</v>
      </c>
      <c r="C6191" s="2" t="str">
        <f ca="1">IFERROR(__xludf.DUMMYFUNCTION("GOOGLETRANSLATE(A6191,""bn"",""en"")"),"I can't help but admire the artist's creativity and imagination")</f>
        <v>I can't help but admire the artist's creativity and imagination</v>
      </c>
    </row>
    <row r="6192" spans="1:3" ht="15.75" customHeight="1" x14ac:dyDescent="0.25">
      <c r="A6192" s="2" t="s">
        <v>6194</v>
      </c>
      <c r="B6192" s="3" t="s">
        <v>6</v>
      </c>
      <c r="C6192" s="2" t="str">
        <f ca="1">IFERROR(__xludf.DUMMYFUNCTION("GOOGLETRANSLATE(A6192,""bn"",""en"")"),"Poor workmanship evident wear")</f>
        <v>Poor workmanship evident wear</v>
      </c>
    </row>
    <row r="6193" spans="1:3" ht="15.75" customHeight="1" x14ac:dyDescent="0.25">
      <c r="A6193" s="2" t="s">
        <v>6195</v>
      </c>
      <c r="B6193" s="3" t="s">
        <v>4</v>
      </c>
      <c r="C6193" s="2" t="str">
        <f ca="1">IFERROR(__xludf.DUMMYFUNCTION("GOOGLETRANSLATE(A6193,""bn"",""en"")"),"Sturdy and affordable")</f>
        <v>Sturdy and affordable</v>
      </c>
    </row>
    <row r="6194" spans="1:3" ht="15.75" customHeight="1" x14ac:dyDescent="0.25">
      <c r="A6194" s="2" t="s">
        <v>6196</v>
      </c>
      <c r="B6194" s="3" t="s">
        <v>2</v>
      </c>
      <c r="C6194" s="2" t="str">
        <f ca="1">IFERROR(__xludf.DUMMYFUNCTION("GOOGLETRANSLATE(A6194,""bn"",""en"")"),"It's not attractive but looks good")</f>
        <v>It's not attractive but looks good</v>
      </c>
    </row>
    <row r="6195" spans="1:3" ht="15.75" customHeight="1" x14ac:dyDescent="0.25">
      <c r="A6195" s="2" t="s">
        <v>6197</v>
      </c>
      <c r="B6195" s="3" t="s">
        <v>4</v>
      </c>
      <c r="C6195" s="2" t="str">
        <f ca="1">IFERROR(__xludf.DUMMYFUNCTION("GOOGLETRANSLATE(A6195,""bn"",""en"")"),"Great iPhone charger")</f>
        <v>Great iPhone charger</v>
      </c>
    </row>
    <row r="6196" spans="1:3" ht="15.75" customHeight="1" x14ac:dyDescent="0.25">
      <c r="A6196" s="2" t="s">
        <v>6198</v>
      </c>
      <c r="B6196" s="3" t="s">
        <v>6</v>
      </c>
      <c r="C6196" s="2" t="str">
        <f ca="1">IFERROR(__xludf.DUMMYFUNCTION("GOOGLETRANSLATE(A6196,""bn"",""en"")"),"The ergonomics of the camera are uncomfortable leading to hand fatigue during prolonged use")</f>
        <v>The ergonomics of the camera are uncomfortable leading to hand fatigue during prolonged use</v>
      </c>
    </row>
    <row r="6197" spans="1:3" ht="15.75" customHeight="1" x14ac:dyDescent="0.25">
      <c r="A6197" s="2" t="s">
        <v>6199</v>
      </c>
      <c r="B6197" s="3" t="s">
        <v>2</v>
      </c>
      <c r="C6197" s="2" t="str">
        <f ca="1">IFERROR(__xludf.DUMMYFUNCTION("GOOGLETRANSLATE(A6197,""bn"",""en"")"),"Great product somewhat satisfying")</f>
        <v>Great product somewhat satisfying</v>
      </c>
    </row>
    <row r="6198" spans="1:3" ht="15.75" customHeight="1" x14ac:dyDescent="0.25">
      <c r="A6198" s="2" t="s">
        <v>6200</v>
      </c>
      <c r="B6198" s="3" t="s">
        <v>6</v>
      </c>
      <c r="C6198" s="2" t="str">
        <f ca="1">IFERROR(__xludf.DUMMYFUNCTION("GOOGLETRANSLATE(A6198,""bn"",""en"")"),"The frozen waffles were soggy and lacked flavor like cardboard")</f>
        <v>The frozen waffles were soggy and lacked flavor like cardboard</v>
      </c>
    </row>
    <row r="6199" spans="1:3" ht="15.75" customHeight="1" x14ac:dyDescent="0.25">
      <c r="A6199" s="2" t="s">
        <v>6201</v>
      </c>
      <c r="B6199" s="3" t="s">
        <v>6</v>
      </c>
      <c r="C6199" s="2" t="str">
        <f ca="1">IFERROR(__xludf.DUMMYFUNCTION("GOOGLETRANSLATE(A6199,""bn"",""en"")"),"The beans were stale and lacked freshness for the most part")</f>
        <v>The beans were stale and lacked freshness for the most part</v>
      </c>
    </row>
    <row r="6200" spans="1:3" ht="15.75" customHeight="1" x14ac:dyDescent="0.25">
      <c r="A6200" s="2" t="s">
        <v>6202</v>
      </c>
      <c r="B6200" s="3" t="s">
        <v>4</v>
      </c>
      <c r="C6200" s="2" t="str">
        <f ca="1">IFERROR(__xludf.DUMMYFUNCTION("GOOGLETRANSLATE(A6200,""bn"",""en"")"),"The cream has improved the skin texture of my hands")</f>
        <v>The cream has improved the skin texture of my hands</v>
      </c>
    </row>
    <row r="6201" spans="1:3" ht="15.75" customHeight="1" x14ac:dyDescent="0.25">
      <c r="A6201" s="2" t="s">
        <v>6203</v>
      </c>
      <c r="B6201" s="3" t="s">
        <v>6</v>
      </c>
      <c r="C6201" s="2" t="str">
        <f ca="1">IFERROR(__xludf.DUMMYFUNCTION("GOOGLETRANSLATE(A6201,""bn"",""en"")"),"The scrub leaves an oily residue on the skin making it slippery and difficult to wash off")</f>
        <v>The scrub leaves an oily residue on the skin making it slippery and difficult to wash off</v>
      </c>
    </row>
    <row r="6202" spans="1:3" ht="15.75" customHeight="1" x14ac:dyDescent="0.25">
      <c r="A6202" s="2" t="s">
        <v>6204</v>
      </c>
      <c r="B6202" s="3" t="s">
        <v>2</v>
      </c>
      <c r="C6202" s="2" t="str">
        <f ca="1">IFERROR(__xludf.DUMMYFUNCTION("GOOGLETRANSLATE(A6202,""bn"",""en"")"),"weight average")</f>
        <v>weight average</v>
      </c>
    </row>
    <row r="6203" spans="1:3" ht="15.75" customHeight="1" x14ac:dyDescent="0.25">
      <c r="A6203" s="2" t="s">
        <v>6205</v>
      </c>
      <c r="B6203" s="3" t="s">
        <v>6</v>
      </c>
      <c r="C6203" s="2" t="str">
        <f ca="1">IFERROR(__xludf.DUMMYFUNCTION("GOOGLETRANSLATE(A6203,""bn"",""en"")"),"Its flimsy construction looked like it would collapse at any moment")</f>
        <v>Its flimsy construction looked like it would collapse at any moment</v>
      </c>
    </row>
    <row r="6204" spans="1:3" ht="15.75" customHeight="1" x14ac:dyDescent="0.25">
      <c r="A6204" s="2" t="s">
        <v>6206</v>
      </c>
      <c r="B6204" s="3" t="s">
        <v>4</v>
      </c>
      <c r="C6204" s="2" t="str">
        <f ca="1">IFERROR(__xludf.DUMMYFUNCTION("GOOGLETRANSLATE(A6204,""bn"",""en"")"),"I am really happy with the purchase of this comforter")</f>
        <v>I am really happy with the purchase of this comforter</v>
      </c>
    </row>
    <row r="6205" spans="1:3" ht="15.75" customHeight="1" x14ac:dyDescent="0.25">
      <c r="A6205" s="2" t="s">
        <v>6207</v>
      </c>
      <c r="B6205" s="3" t="s">
        <v>4</v>
      </c>
      <c r="C6205" s="2" t="str">
        <f ca="1">IFERROR(__xludf.DUMMYFUNCTION("GOOGLETRANSLATE(A6205,""bn"",""en"")"),"Fast and reliable")</f>
        <v>Fast and reliable</v>
      </c>
    </row>
    <row r="6206" spans="1:3" ht="15.75" customHeight="1" x14ac:dyDescent="0.25">
      <c r="A6206" s="2" t="s">
        <v>6208</v>
      </c>
      <c r="B6206" s="3" t="s">
        <v>2</v>
      </c>
      <c r="C6206" s="2" t="str">
        <f ca="1">IFERROR(__xludf.DUMMYFUNCTION("GOOGLETRANSLATE(A6206,""bn"",""en"")"),"For the price the quality is ok but could have improved a bit")</f>
        <v>For the price the quality is ok but could have improved a bit</v>
      </c>
    </row>
    <row r="6207" spans="1:3" ht="15.75" customHeight="1" x14ac:dyDescent="0.25">
      <c r="A6207" s="2" t="s">
        <v>6209</v>
      </c>
      <c r="B6207" s="3" t="s">
        <v>2</v>
      </c>
      <c r="C6207" s="2" t="str">
        <f ca="1">IFERROR(__xludf.DUMMYFUNCTION("GOOGLETRANSLATE(A6207,""bn"",""en"")"),"Price is ok not perfect")</f>
        <v>Price is ok not perfect</v>
      </c>
    </row>
    <row r="6208" spans="1:3" ht="15.75" customHeight="1" x14ac:dyDescent="0.25">
      <c r="A6208" s="2" t="s">
        <v>6210</v>
      </c>
      <c r="B6208" s="3" t="s">
        <v>6</v>
      </c>
      <c r="C6208" s="2" t="str">
        <f ca="1">IFERROR(__xludf.DUMMYFUNCTION("GOOGLETRANSLATE(A6208,""bn"",""en"")"),"The self-cleaning litter box is messy with litter outside the box")</f>
        <v>The self-cleaning litter box is messy with litter outside the box</v>
      </c>
    </row>
    <row r="6209" spans="1:3" ht="15.75" customHeight="1" x14ac:dyDescent="0.25">
      <c r="A6209" s="2" t="s">
        <v>6211</v>
      </c>
      <c r="B6209" s="3" t="s">
        <v>2</v>
      </c>
      <c r="C6209" s="2" t="str">
        <f ca="1">IFERROR(__xludf.DUMMYFUNCTION("GOOGLETRANSLATE(A6209,""bn"",""en"")"),"The bread is soft but mostly like regular store bought ones")</f>
        <v>The bread is soft but mostly like regular store bought ones</v>
      </c>
    </row>
    <row r="6210" spans="1:3" ht="15.75" customHeight="1" x14ac:dyDescent="0.25">
      <c r="A6210" s="2" t="s">
        <v>6212</v>
      </c>
      <c r="B6210" s="3" t="s">
        <v>2</v>
      </c>
      <c r="C6210" s="2" t="str">
        <f ca="1">IFERROR(__xludf.DUMMYFUNCTION("GOOGLETRANSLATE(A6210,""bn"",""en"")"),"The color may be as expected")</f>
        <v>The color may be as expected</v>
      </c>
    </row>
    <row r="6211" spans="1:3" ht="15.75" customHeight="1" x14ac:dyDescent="0.25">
      <c r="A6211" s="2" t="s">
        <v>6213</v>
      </c>
      <c r="B6211" s="3" t="s">
        <v>6</v>
      </c>
      <c r="C6211" s="2" t="str">
        <f ca="1">IFERROR(__xludf.DUMMYFUNCTION("GOOGLETRANSLATE(A6211,""bn"",""en"")"),"Disappointed by the poor quality")</f>
        <v>Disappointed by the poor quality</v>
      </c>
    </row>
    <row r="6212" spans="1:3" ht="15.75" customHeight="1" x14ac:dyDescent="0.25">
      <c r="A6212" s="2" t="s">
        <v>6214</v>
      </c>
      <c r="B6212" s="3" t="s">
        <v>4</v>
      </c>
      <c r="C6212" s="2" t="str">
        <f ca="1">IFERROR(__xludf.DUMMYFUNCTION("GOOGLETRANSLATE(A6212,""bn"",""en"")"),"This body wash is nourishing for your skin")</f>
        <v>This body wash is nourishing for your skin</v>
      </c>
    </row>
    <row r="6213" spans="1:3" ht="15.75" customHeight="1" x14ac:dyDescent="0.25">
      <c r="A6213" s="2" t="s">
        <v>6215</v>
      </c>
      <c r="B6213" s="3" t="s">
        <v>6</v>
      </c>
      <c r="C6213" s="2" t="str">
        <f ca="1">IFERROR(__xludf.DUMMYFUNCTION("GOOGLETRANSLATE(A6213,""bn"",""en"")"),"Mattress springs are noisy and poke through the fabric causing discomfort and possible injury")</f>
        <v>Mattress springs are noisy and poke through the fabric causing discomfort and possible injury</v>
      </c>
    </row>
    <row r="6214" spans="1:3" ht="15.75" customHeight="1" x14ac:dyDescent="0.25">
      <c r="A6214" s="2" t="s">
        <v>6216</v>
      </c>
      <c r="B6214" s="3" t="s">
        <v>4</v>
      </c>
      <c r="C6214" s="2" t="str">
        <f ca="1">IFERROR(__xludf.DUMMYFUNCTION("GOOGLETRANSLATE(A6214,""bn"",""en"")"),"Honey is a natural energy booster")</f>
        <v>Honey is a natural energy booster</v>
      </c>
    </row>
    <row r="6215" spans="1:3" ht="15.75" customHeight="1" x14ac:dyDescent="0.25">
      <c r="A6215" s="2" t="s">
        <v>6217</v>
      </c>
      <c r="B6215" s="3" t="s">
        <v>6</v>
      </c>
      <c r="C6215" s="2" t="str">
        <f ca="1">IFERROR(__xludf.DUMMYFUNCTION("GOOGLETRANSLATE(A6215,""bn"",""en"")"),"Disappointed by the lack of quality")</f>
        <v>Disappointed by the lack of quality</v>
      </c>
    </row>
    <row r="6216" spans="1:3" ht="15.75" customHeight="1" x14ac:dyDescent="0.25">
      <c r="A6216" s="2" t="s">
        <v>6218</v>
      </c>
      <c r="B6216" s="3" t="s">
        <v>6</v>
      </c>
      <c r="C6216" s="2" t="str">
        <f ca="1">IFERROR(__xludf.DUMMYFUNCTION("GOOGLETRANSLATE(A6216,""bn"",""en"")"),"Laptop screens have poor viewing angles that cause color distortion when viewed from the side")</f>
        <v>Laptop screens have poor viewing angles that cause color distortion when viewed from the side</v>
      </c>
    </row>
    <row r="6217" spans="1:3" ht="15.75" customHeight="1" x14ac:dyDescent="0.25">
      <c r="A6217" s="2" t="s">
        <v>6219</v>
      </c>
      <c r="B6217" s="3" t="s">
        <v>4</v>
      </c>
      <c r="C6217" s="2" t="str">
        <f ca="1">IFERROR(__xludf.DUMMYFUNCTION("GOOGLETRANSLATE(A6217,""bn"",""en"")"),"The girl's drawings are very beautiful")</f>
        <v>The girl's drawings are very beautiful</v>
      </c>
    </row>
    <row r="6218" spans="1:3" ht="15.75" customHeight="1" x14ac:dyDescent="0.25">
      <c r="A6218" s="2" t="s">
        <v>6220</v>
      </c>
      <c r="B6218" s="3" t="s">
        <v>6</v>
      </c>
      <c r="C6218" s="2" t="str">
        <f ca="1">IFERROR(__xludf.DUMMYFUNCTION("GOOGLETRANSLATE(A6218,""bn"",""en"")"),"The dry shampoo left a white residue on my hair that was impossible to brush out")</f>
        <v>The dry shampoo left a white residue on my hair that was impossible to brush out</v>
      </c>
    </row>
    <row r="6219" spans="1:3" ht="15.75" customHeight="1" x14ac:dyDescent="0.25">
      <c r="A6219" s="2" t="s">
        <v>6221</v>
      </c>
      <c r="B6219" s="3" t="s">
        <v>2</v>
      </c>
      <c r="C6219" s="2" t="str">
        <f ca="1">IFERROR(__xludf.DUMMYFUNCTION("GOOGLETRANSLATE(A6219,""bn"",""en"")"),"Comfort level is average")</f>
        <v>Comfort level is average</v>
      </c>
    </row>
    <row r="6220" spans="1:3" ht="15.75" customHeight="1" x14ac:dyDescent="0.25">
      <c r="A6220" s="2" t="s">
        <v>6222</v>
      </c>
      <c r="B6220" s="3" t="s">
        <v>6</v>
      </c>
      <c r="C6220" s="2" t="str">
        <f ca="1">IFERROR(__xludf.DUMMYFUNCTION("GOOGLETRANSLATE(A6220,""bn"",""en"")"),"The stainless steel finish scratches easily, detracting from its aesthetic appeal")</f>
        <v>The stainless steel finish scratches easily, detracting from its aesthetic appeal</v>
      </c>
    </row>
    <row r="6221" spans="1:3" ht="15.75" customHeight="1" x14ac:dyDescent="0.25">
      <c r="A6221" s="2" t="s">
        <v>6223</v>
      </c>
      <c r="B6221" s="3" t="s">
        <v>4</v>
      </c>
      <c r="C6221" s="2" t="str">
        <f ca="1">IFERROR(__xludf.DUMMYFUNCTION("GOOGLETRANSLATE(A6221,""bn"",""en"")"),"The charger works great")</f>
        <v>The charger works great</v>
      </c>
    </row>
    <row r="6222" spans="1:3" ht="15.75" customHeight="1" x14ac:dyDescent="0.25">
      <c r="A6222" s="2" t="s">
        <v>6224</v>
      </c>
      <c r="B6222" s="3" t="s">
        <v>6</v>
      </c>
      <c r="C6222" s="2" t="str">
        <f ca="1">IFERROR(__xludf.DUMMYFUNCTION("GOOGLETRANSLATE(A6222,""bn"",""en"")"),"Just works not great")</f>
        <v>Just works not great</v>
      </c>
    </row>
    <row r="6223" spans="1:3" ht="15.75" customHeight="1" x14ac:dyDescent="0.25">
      <c r="A6223" s="2" t="s">
        <v>6225</v>
      </c>
      <c r="B6223" s="3" t="s">
        <v>6</v>
      </c>
      <c r="C6223" s="2" t="str">
        <f ca="1">IFERROR(__xludf.DUMMYFUNCTION("GOOGLETRANSLATE(A6223,""bn"",""en"")"),"Makeup wipes are rough and abrasive, causing redness and irritation with each use.")</f>
        <v>Makeup wipes are rough and abrasive, causing redness and irritation with each use.</v>
      </c>
    </row>
    <row r="6224" spans="1:3" ht="15.75" customHeight="1" x14ac:dyDescent="0.25">
      <c r="A6224" s="2" t="s">
        <v>6226</v>
      </c>
      <c r="B6224" s="3" t="s">
        <v>4</v>
      </c>
      <c r="C6224" s="2" t="str">
        <f ca="1">IFERROR(__xludf.DUMMYFUNCTION("GOOGLETRANSLATE(A6224,""bn"",""en"")"),"The size was perfect for me")</f>
        <v>The size was perfect for me</v>
      </c>
    </row>
    <row r="6225" spans="1:3" ht="15.75" customHeight="1" x14ac:dyDescent="0.25">
      <c r="A6225" s="2" t="s">
        <v>6227</v>
      </c>
      <c r="B6225" s="3" t="s">
        <v>4</v>
      </c>
      <c r="C6225" s="2" t="str">
        <f ca="1">IFERROR(__xludf.DUMMYFUNCTION("GOOGLETRANSLATE(A6225,""bn"",""en"")"),"I fell in love with it")</f>
        <v>I fell in love with it</v>
      </c>
    </row>
    <row r="6226" spans="1:3" ht="15.75" customHeight="1" x14ac:dyDescent="0.25">
      <c r="A6226" s="2" t="s">
        <v>6228</v>
      </c>
      <c r="B6226" s="3" t="s">
        <v>2</v>
      </c>
      <c r="C6226" s="2" t="str">
        <f ca="1">IFERROR(__xludf.DUMMYFUNCTION("GOOGLETRANSLATE(A6226,""bn"",""en"")"),"Good but room for improvement")</f>
        <v>Good but room for improvement</v>
      </c>
    </row>
    <row r="6227" spans="1:3" ht="15.75" customHeight="1" x14ac:dyDescent="0.25">
      <c r="A6227" s="2" t="s">
        <v>6229</v>
      </c>
      <c r="B6227" s="3" t="s">
        <v>2</v>
      </c>
      <c r="C6227" s="2" t="str">
        <f ca="1">IFERROR(__xludf.DUMMYFUNCTION("GOOGLETRANSLATE(A6227,""bn"",""en"")"),"The mop cloth is designed to be opened")</f>
        <v>The mop cloth is designed to be opened</v>
      </c>
    </row>
    <row r="6228" spans="1:3" ht="15.75" customHeight="1" x14ac:dyDescent="0.25">
      <c r="A6228" s="2" t="s">
        <v>6230</v>
      </c>
      <c r="B6228" s="3" t="s">
        <v>2</v>
      </c>
      <c r="C6228" s="2" t="str">
        <f ca="1">IFERROR(__xludf.DUMMYFUNCTION("GOOGLETRANSLATE(A6228,""bn"",""en"")"),"Good but not great")</f>
        <v>Good but not great</v>
      </c>
    </row>
    <row r="6229" spans="1:3" ht="15.75" customHeight="1" x14ac:dyDescent="0.25">
      <c r="A6229" s="2" t="s">
        <v>6231</v>
      </c>
      <c r="B6229" s="3" t="s">
        <v>4</v>
      </c>
      <c r="C6229" s="2" t="str">
        <f ca="1">IFERROR(__xludf.DUMMYFUNCTION("GOOGLETRANSLATE(A6229,""bn"",""en"")"),"The drawers of the dressing table are wide and deep")</f>
        <v>The drawers of the dressing table are wide and deep</v>
      </c>
    </row>
    <row r="6230" spans="1:3" ht="15.75" customHeight="1" x14ac:dyDescent="0.25">
      <c r="A6230" s="2" t="s">
        <v>6232</v>
      </c>
      <c r="B6230" s="3" t="s">
        <v>2</v>
      </c>
      <c r="C6230" s="2" t="str">
        <f ca="1">IFERROR(__xludf.DUMMYFUNCTION("GOOGLETRANSLATE(A6230,""bn"",""en"")"),"Works but no extra features")</f>
        <v>Works but no extra features</v>
      </c>
    </row>
    <row r="6231" spans="1:3" ht="15.75" customHeight="1" x14ac:dyDescent="0.25">
      <c r="A6231" s="2" t="s">
        <v>6233</v>
      </c>
      <c r="B6231" s="3" t="s">
        <v>2</v>
      </c>
      <c r="C6231" s="2" t="str">
        <f ca="1">IFERROR(__xludf.DUMMYFUNCTION("GOOGLETRANSLATE(A6231,""bn"",""en"")"),"The difference in mattress use is very little")</f>
        <v>The difference in mattress use is very little</v>
      </c>
    </row>
    <row r="6232" spans="1:3" ht="15.75" customHeight="1" x14ac:dyDescent="0.25">
      <c r="A6232" s="2" t="s">
        <v>6234</v>
      </c>
      <c r="B6232" s="3" t="s">
        <v>4</v>
      </c>
      <c r="C6232" s="2" t="str">
        <f ca="1">IFERROR(__xludf.DUMMYFUNCTION("GOOGLETRANSLATE(A6232,""bn"",""en"")"),"It controls the extent of makeup")</f>
        <v>It controls the extent of makeup</v>
      </c>
    </row>
    <row r="6233" spans="1:3" ht="15.75" customHeight="1" x14ac:dyDescent="0.25">
      <c r="A6233" s="2" t="s">
        <v>6235</v>
      </c>
      <c r="B6233" s="3" t="s">
        <v>2</v>
      </c>
      <c r="C6233" s="2" t="str">
        <f ca="1">IFERROR(__xludf.DUMMYFUNCTION("GOOGLETRANSLATE(A6233,""bn"",""en"")"),"Produces different musical sounds but sounds a bit artificial")</f>
        <v>Produces different musical sounds but sounds a bit artificial</v>
      </c>
    </row>
    <row r="6234" spans="1:3" ht="15.75" customHeight="1" x14ac:dyDescent="0.25">
      <c r="A6234" s="2" t="s">
        <v>6236</v>
      </c>
      <c r="B6234" s="3" t="s">
        <v>4</v>
      </c>
      <c r="C6234" s="2" t="str">
        <f ca="1">IFERROR(__xludf.DUMMYFUNCTION("GOOGLETRANSLATE(A6234,""bn"",""en"")"),"This body wash provides long lasting fragrance")</f>
        <v>This body wash provides long lasting fragrance</v>
      </c>
    </row>
    <row r="6235" spans="1:3" ht="15.75" customHeight="1" x14ac:dyDescent="0.25">
      <c r="A6235" s="2" t="s">
        <v>6237</v>
      </c>
      <c r="B6235" s="3" t="s">
        <v>2</v>
      </c>
      <c r="C6235" s="2" t="str">
        <f ca="1">IFERROR(__xludf.DUMMYFUNCTION("GOOGLETRANSLATE(A6235,""bn"",""en"")"),"Nicely packed in the box but the packaging is wasteful")</f>
        <v>Nicely packed in the box but the packaging is wasteful</v>
      </c>
    </row>
    <row r="6236" spans="1:3" ht="15.75" customHeight="1" x14ac:dyDescent="0.25">
      <c r="A6236" s="2" t="s">
        <v>6238</v>
      </c>
      <c r="B6236" s="3" t="s">
        <v>2</v>
      </c>
      <c r="C6236" s="2" t="str">
        <f ca="1">IFERROR(__xludf.DUMMYFUNCTION("GOOGLETRANSLATE(A6236,""bn"",""en"")"),"It works like a normal pad")</f>
        <v>It works like a normal pad</v>
      </c>
    </row>
    <row r="6237" spans="1:3" ht="15.75" customHeight="1" x14ac:dyDescent="0.25">
      <c r="A6237" s="2" t="s">
        <v>6239</v>
      </c>
      <c r="B6237" s="3" t="s">
        <v>4</v>
      </c>
      <c r="C6237" s="2" t="str">
        <f ca="1">IFERROR(__xludf.DUMMYFUNCTION("GOOGLETRANSLATE(A6237,""bn"",""en"")"),"Birds always visit our garden")</f>
        <v>Birds always visit our garden</v>
      </c>
    </row>
    <row r="6238" spans="1:3" ht="15.75" customHeight="1" x14ac:dyDescent="0.25">
      <c r="A6238" s="2" t="s">
        <v>6240</v>
      </c>
      <c r="B6238" s="3" t="s">
        <v>6</v>
      </c>
      <c r="C6238" s="2" t="str">
        <f ca="1">IFERROR(__xludf.DUMMYFUNCTION("GOOGLETRANSLATE(A6238,""bn"",""en"")"),"Concerns about product authenticity and quality")</f>
        <v>Concerns about product authenticity and quality</v>
      </c>
    </row>
    <row r="6239" spans="1:3" ht="15.75" customHeight="1" x14ac:dyDescent="0.25">
      <c r="A6239" s="2" t="s">
        <v>6241</v>
      </c>
      <c r="B6239" s="3" t="s">
        <v>4</v>
      </c>
      <c r="C6239" s="2" t="str">
        <f ca="1">IFERROR(__xludf.DUMMYFUNCTION("GOOGLETRANSLATE(A6239,""bn"",""en"")"),"The response was also very good")</f>
        <v>The response was also very good</v>
      </c>
    </row>
    <row r="6240" spans="1:3" ht="15.75" customHeight="1" x14ac:dyDescent="0.25">
      <c r="A6240" s="2" t="s">
        <v>6242</v>
      </c>
      <c r="B6240" s="3" t="s">
        <v>2</v>
      </c>
      <c r="C6240" s="2" t="str">
        <f ca="1">IFERROR(__xludf.DUMMYFUNCTION("GOOGLETRANSLATE(A6240,""bn"",""en"")"),"Not caffeinated decaf")</f>
        <v>Not caffeinated decaf</v>
      </c>
    </row>
    <row r="6241" spans="1:3" ht="15.75" customHeight="1" x14ac:dyDescent="0.25">
      <c r="A6241" s="2" t="s">
        <v>6243</v>
      </c>
      <c r="B6241" s="3" t="s">
        <v>2</v>
      </c>
      <c r="C6241" s="2" t="str">
        <f ca="1">IFERROR(__xludf.DUMMYFUNCTION("GOOGLETRANSLATE(A6241,""bn"",""en"")"),"There is room for improvement")</f>
        <v>There is room for improvement</v>
      </c>
    </row>
    <row r="6242" spans="1:3" ht="15.75" customHeight="1" x14ac:dyDescent="0.25">
      <c r="A6242" s="2" t="s">
        <v>6244</v>
      </c>
      <c r="B6242" s="3" t="s">
        <v>6</v>
      </c>
      <c r="C6242" s="2" t="str">
        <f ca="1">IFERROR(__xludf.DUMMYFUNCTION("GOOGLETRANSLATE(A6242,""bn"",""en"")"),"The jewelry's packaging was flimsy and inadequate, failing to protect the delicate pieces inside during transit.")</f>
        <v>The jewelry's packaging was flimsy and inadequate, failing to protect the delicate pieces inside during transit.</v>
      </c>
    </row>
    <row r="6243" spans="1:3" ht="15.75" customHeight="1" x14ac:dyDescent="0.25">
      <c r="A6243" s="2" t="s">
        <v>6245</v>
      </c>
      <c r="B6243" s="3" t="s">
        <v>2</v>
      </c>
      <c r="C6243" s="2" t="str">
        <f ca="1">IFERROR(__xludf.DUMMYFUNCTION("GOOGLETRANSLATE(A6243,""bn"",""en"")"),"Water resistant but not completely waterproof")</f>
        <v>Water resistant but not completely waterproof</v>
      </c>
    </row>
    <row r="6244" spans="1:3" ht="15.75" customHeight="1" x14ac:dyDescent="0.25">
      <c r="A6244" s="2" t="s">
        <v>6246</v>
      </c>
      <c r="B6244" s="3" t="s">
        <v>6</v>
      </c>
      <c r="C6244" s="2" t="str">
        <f ca="1">IFERROR(__xludf.DUMMYFUNCTION("GOOGLETRANSLATE(A6244,""bn"",""en"")"),"Leaking iron steam function leaves water stains on clothes")</f>
        <v>Leaking iron steam function leaves water stains on clothes</v>
      </c>
    </row>
    <row r="6245" spans="1:3" ht="15.75" customHeight="1" x14ac:dyDescent="0.25">
      <c r="A6245" s="2" t="s">
        <v>6247</v>
      </c>
      <c r="B6245" s="3" t="s">
        <v>2</v>
      </c>
      <c r="C6245" s="2" t="str">
        <f ca="1">IFERROR(__xludf.DUMMYFUNCTION("GOOGLETRANSLATE(A6245,""bn"",""en"")"),"The ring guard can be difficult to adjust")</f>
        <v>The ring guard can be difficult to adjust</v>
      </c>
    </row>
    <row r="6246" spans="1:3" ht="15.75" customHeight="1" x14ac:dyDescent="0.25">
      <c r="A6246" s="2" t="s">
        <v>6248</v>
      </c>
      <c r="B6246" s="3" t="s">
        <v>6</v>
      </c>
      <c r="C6246" s="2" t="str">
        <f ca="1">IFERROR(__xludf.DUMMYFUNCTION("GOOGLETRANSLATE(A6246,""bn"",""en"")"),"The water filter replacement process is complex and time-consuming")</f>
        <v>The water filter replacement process is complex and time-consuming</v>
      </c>
    </row>
    <row r="6247" spans="1:3" ht="15.75" customHeight="1" x14ac:dyDescent="0.25">
      <c r="A6247" s="2" t="s">
        <v>6249</v>
      </c>
      <c r="B6247" s="3" t="s">
        <v>6</v>
      </c>
      <c r="C6247" s="2" t="str">
        <f ca="1">IFERROR(__xludf.DUMMYFUNCTION("GOOGLETRANSLATE(A6247,""bn"",""en"")")," The remote control had a short battery life requiring frequent replacement")</f>
        <v xml:space="preserve"> The remote control had a short battery life requiring frequent replacement</v>
      </c>
    </row>
    <row r="6248" spans="1:3" ht="15.75" customHeight="1" x14ac:dyDescent="0.25">
      <c r="A6248" s="2" t="s">
        <v>6250</v>
      </c>
      <c r="B6248" s="3" t="s">
        <v>4</v>
      </c>
      <c r="C6248" s="2" t="str">
        <f ca="1">IFERROR(__xludf.DUMMYFUNCTION("GOOGLETRANSLATE(A6248,""bn"",""en"")"),"The child plays with his toys all day long")</f>
        <v>The child plays with his toys all day long</v>
      </c>
    </row>
    <row r="6249" spans="1:3" ht="15.75" customHeight="1" x14ac:dyDescent="0.25">
      <c r="A6249" s="2" t="s">
        <v>6251</v>
      </c>
      <c r="B6249" s="3" t="s">
        <v>4</v>
      </c>
      <c r="C6249" s="2" t="str">
        <f ca="1">IFERROR(__xludf.DUMMYFUNCTION("GOOGLETRANSLATE(A6249,""bn"",""en"")"),"The design of the mobile is modern and attractive")</f>
        <v>The design of the mobile is modern and attractive</v>
      </c>
    </row>
    <row r="6250" spans="1:3" ht="15.75" customHeight="1" x14ac:dyDescent="0.25">
      <c r="A6250" s="2" t="s">
        <v>6252</v>
      </c>
      <c r="B6250" s="3" t="s">
        <v>2</v>
      </c>
      <c r="C6250" s="2" t="str">
        <f ca="1">IFERROR(__xludf.DUMMYFUNCTION("GOOGLETRANSLATE(A6250,""bn"",""en"")"),"The Smart Pet Water Fountain filters the water but the motor makes noise")</f>
        <v>The Smart Pet Water Fountain filters the water but the motor makes noise</v>
      </c>
    </row>
    <row r="6251" spans="1:3" ht="15.75" customHeight="1" x14ac:dyDescent="0.25">
      <c r="A6251" s="2" t="s">
        <v>6253</v>
      </c>
      <c r="B6251" s="3" t="s">
        <v>4</v>
      </c>
      <c r="C6251" s="2" t="str">
        <f ca="1">IFERROR(__xludf.DUMMYFUNCTION("GOOGLETRANSLATE(A6251,""bn"",""en"")"),"The clock displays accurate time")</f>
        <v>The clock displays accurate time</v>
      </c>
    </row>
    <row r="6252" spans="1:3" ht="15.75" customHeight="1" x14ac:dyDescent="0.25">
      <c r="A6252" s="2" t="s">
        <v>6254</v>
      </c>
      <c r="B6252" s="3" t="s">
        <v>6</v>
      </c>
      <c r="C6252" s="2" t="str">
        <f ca="1">IFERROR(__xludf.DUMMYFUNCTION("GOOGLETRANSLATE(A6252,""bn"",""en"")"),"The fabric feels plasticky and cheap, far from premium quality")</f>
        <v>The fabric feels plasticky and cheap, far from premium quality</v>
      </c>
    </row>
    <row r="6253" spans="1:3" ht="15.75" customHeight="1" x14ac:dyDescent="0.25">
      <c r="A6253" s="2" t="s">
        <v>6255</v>
      </c>
      <c r="B6253" s="3" t="s">
        <v>2</v>
      </c>
      <c r="C6253" s="2" t="str">
        <f ca="1">IFERROR(__xludf.DUMMYFUNCTION("GOOGLETRANSLATE(A6253,""bn"",""en"")"),"The weave is medium")</f>
        <v>The weave is medium</v>
      </c>
    </row>
    <row r="6254" spans="1:3" ht="15.75" customHeight="1" x14ac:dyDescent="0.25">
      <c r="A6254" s="2" t="s">
        <v>6256</v>
      </c>
      <c r="B6254" s="3" t="s">
        <v>4</v>
      </c>
      <c r="C6254" s="2" t="str">
        <f ca="1">IFERROR(__xludf.DUMMYFUNCTION("GOOGLETRANSLATE(A6254,""bn"",""en"")"),"This body wash helps reduce stretch marks on the skin")</f>
        <v>This body wash helps reduce stretch marks on the skin</v>
      </c>
    </row>
    <row r="6255" spans="1:3" ht="15.75" customHeight="1" x14ac:dyDescent="0.25">
      <c r="A6255" s="2" t="s">
        <v>6257</v>
      </c>
      <c r="B6255" s="3" t="s">
        <v>2</v>
      </c>
      <c r="C6255" s="2" t="str">
        <f ca="1">IFERROR(__xludf.DUMMYFUNCTION("GOOGLETRANSLATE(A6255,""bn"",""en"")"),"The mop cloth seems to be easy to clean")</f>
        <v>The mop cloth seems to be easy to clean</v>
      </c>
    </row>
    <row r="6256" spans="1:3" ht="15.75" customHeight="1" x14ac:dyDescent="0.25">
      <c r="A6256" s="2" t="s">
        <v>6258</v>
      </c>
      <c r="B6256" s="3" t="s">
        <v>2</v>
      </c>
      <c r="C6256" s="2" t="str">
        <f ca="1">IFERROR(__xludf.DUMMYFUNCTION("GOOGLETRANSLATE(A6256,""bn"",""en"")"),"The mop cloth dries quickly")</f>
        <v>The mop cloth dries quickly</v>
      </c>
    </row>
    <row r="6257" spans="1:3" ht="15.75" customHeight="1" x14ac:dyDescent="0.25">
      <c r="A6257" s="2" t="s">
        <v>6259</v>
      </c>
      <c r="B6257" s="3" t="s">
        <v>2</v>
      </c>
      <c r="C6257" s="2" t="str">
        <f ca="1">IFERROR(__xludf.DUMMYFUNCTION("GOOGLETRANSLATE(A6257,""bn"",""en"")"),"The product becomes warm during prolonged use")</f>
        <v>The product becomes warm during prolonged use</v>
      </c>
    </row>
    <row r="6258" spans="1:3" ht="15.75" customHeight="1" x14ac:dyDescent="0.25">
      <c r="A6258" s="2" t="s">
        <v>6260</v>
      </c>
      <c r="B6258" s="3" t="s">
        <v>6</v>
      </c>
      <c r="C6258" s="2" t="str">
        <f ca="1">IFERROR(__xludf.DUMMYFUNCTION("GOOGLETRANSLATE(A6258,""bn"",""en"")"),"Sliding wardrobe doors are often derailed making it difficult to access contents inside")</f>
        <v>Sliding wardrobe doors are often derailed making it difficult to access contents inside</v>
      </c>
    </row>
    <row r="6259" spans="1:3" ht="15.75" customHeight="1" x14ac:dyDescent="0.25">
      <c r="A6259" s="2" t="s">
        <v>6261</v>
      </c>
      <c r="B6259" s="3" t="s">
        <v>2</v>
      </c>
      <c r="C6259" s="2" t="str">
        <f ca="1">IFERROR(__xludf.DUMMYFUNCTION("GOOGLETRANSLATE(A6259,""bn"",""en"")"),"The hand warmer provides heat but only for a limited time")</f>
        <v>The hand warmer provides heat but only for a limited time</v>
      </c>
    </row>
    <row r="6260" spans="1:3" ht="15.75" customHeight="1" x14ac:dyDescent="0.25">
      <c r="A6260" s="2" t="s">
        <v>6262</v>
      </c>
      <c r="B6260" s="3" t="s">
        <v>4</v>
      </c>
      <c r="C6260" s="2" t="str">
        <f ca="1">IFERROR(__xludf.DUMMYFUNCTION("GOOGLETRANSLATE(A6260,""bn"",""en"")"),"This drawer set is able to hold all my essentials")</f>
        <v>This drawer set is able to hold all my essentials</v>
      </c>
    </row>
    <row r="6261" spans="1:3" ht="15.75" customHeight="1" x14ac:dyDescent="0.25">
      <c r="A6261" s="2" t="s">
        <v>6263</v>
      </c>
      <c r="B6261" s="3" t="s">
        <v>6</v>
      </c>
      <c r="C6261" s="2" t="str">
        <f ca="1">IFERROR(__xludf.DUMMYFUNCTION("GOOGLETRANSLATE(A6261,""bn"",""en"")")," The Bluetooth pairing process is cumbersome and time-consuming requiring multiple attempts to establish a stable connection")</f>
        <v xml:space="preserve"> The Bluetooth pairing process is cumbersome and time-consuming requiring multiple attempts to establish a stable connection</v>
      </c>
    </row>
    <row r="6262" spans="1:3" ht="15.75" customHeight="1" x14ac:dyDescent="0.25">
      <c r="A6262" s="2" t="s">
        <v>6264</v>
      </c>
      <c r="B6262" s="3" t="s">
        <v>2</v>
      </c>
      <c r="C6262" s="2" t="str">
        <f ca="1">IFERROR(__xludf.DUMMYFUNCTION("GOOGLETRANSLATE(A6262,""bn"",""en"")"),"Arrived on time could have been better")</f>
        <v>Arrived on time could have been better</v>
      </c>
    </row>
    <row r="6263" spans="1:3" ht="15.75" customHeight="1" x14ac:dyDescent="0.25">
      <c r="A6263" s="2" t="s">
        <v>6265</v>
      </c>
      <c r="B6263" s="3" t="s">
        <v>4</v>
      </c>
      <c r="C6263" s="2" t="str">
        <f ca="1">IFERROR(__xludf.DUMMYFUNCTION("GOOGLETRANSLATE(A6263,""bn"",""en"")"),"The packaging instructions are good")</f>
        <v>The packaging instructions are good</v>
      </c>
    </row>
    <row r="6264" spans="1:3" ht="15.75" customHeight="1" x14ac:dyDescent="0.25">
      <c r="A6264" s="2" t="s">
        <v>6266</v>
      </c>
      <c r="B6264" s="3" t="s">
        <v>2</v>
      </c>
      <c r="C6264" s="2" t="str">
        <f ca="1">IFERROR(__xludf.DUMMYFUNCTION("GOOGLETRANSLATE(A6264,""bn"",""en"")"),"Long-term use may dehydrate the skin")</f>
        <v>Long-term use may dehydrate the skin</v>
      </c>
    </row>
    <row r="6265" spans="1:3" ht="15.75" customHeight="1" x14ac:dyDescent="0.25">
      <c r="A6265" s="2" t="s">
        <v>6267</v>
      </c>
      <c r="B6265" s="3" t="s">
        <v>2</v>
      </c>
      <c r="C6265" s="2" t="str">
        <f ca="1">IFERROR(__xludf.DUMMYFUNCTION("GOOGLETRANSLATE(A6265,""bn"",""en"")"),"The flavor of the drink is very good but the taste is a bit overpowering")</f>
        <v>The flavor of the drink is very good but the taste is a bit overpowering</v>
      </c>
    </row>
    <row r="6266" spans="1:3" ht="15.75" customHeight="1" x14ac:dyDescent="0.25">
      <c r="A6266" s="2" t="s">
        <v>6268</v>
      </c>
      <c r="B6266" s="3" t="s">
        <v>4</v>
      </c>
      <c r="C6266" s="2" t="str">
        <f ca="1">IFERROR(__xludf.DUMMYFUNCTION("GOOGLETRANSLATE(A6266,""bn"",""en"")"),"Bedside tables have built-in night lights")</f>
        <v>Bedside tables have built-in night lights</v>
      </c>
    </row>
    <row r="6267" spans="1:3" ht="15.75" customHeight="1" x14ac:dyDescent="0.25">
      <c r="A6267" s="2" t="s">
        <v>6269</v>
      </c>
      <c r="B6267" s="3" t="s">
        <v>2</v>
      </c>
      <c r="C6267" s="2" t="str">
        <f ca="1">IFERROR(__xludf.DUMMYFUNCTION("GOOGLETRANSLATE(A6267,""bn"",""en"")"),"Good at first but then some problems have arisen")</f>
        <v>Good at first but then some problems have arisen</v>
      </c>
    </row>
    <row r="6268" spans="1:3" ht="15.75" customHeight="1" x14ac:dyDescent="0.25">
      <c r="A6268" s="2" t="s">
        <v>6270</v>
      </c>
      <c r="B6268" s="3" t="s">
        <v>4</v>
      </c>
      <c r="C6268" s="2" t="str">
        <f ca="1">IFERROR(__xludf.DUMMYFUNCTION("GOOGLETRANSLATE(A6268,""bn"",""en"")"),"Makeup brushes are essential for a variety of looks")</f>
        <v>Makeup brushes are essential for a variety of looks</v>
      </c>
    </row>
    <row r="6269" spans="1:3" ht="15.75" customHeight="1" x14ac:dyDescent="0.25">
      <c r="A6269" s="2" t="s">
        <v>6271</v>
      </c>
      <c r="B6269" s="3" t="s">
        <v>4</v>
      </c>
      <c r="C6269" s="2" t="str">
        <f ca="1">IFERROR(__xludf.DUMMYFUNCTION("GOOGLETRANSLATE(A6269,""bn"",""en"")"),"The product is helpful in saving time")</f>
        <v>The product is helpful in saving time</v>
      </c>
    </row>
    <row r="6270" spans="1:3" ht="15.75" customHeight="1" x14ac:dyDescent="0.25">
      <c r="A6270" s="2" t="s">
        <v>6272</v>
      </c>
      <c r="B6270" s="3" t="s">
        <v>4</v>
      </c>
      <c r="C6270" s="2" t="str">
        <f ca="1">IFERROR(__xludf.DUMMYFUNCTION("GOOGLETRANSLATE(A6270,""bn"",""en"")"),"Fast, easy and effective")</f>
        <v>Fast, easy and effective</v>
      </c>
    </row>
    <row r="6271" spans="1:3" ht="15.75" customHeight="1" x14ac:dyDescent="0.25">
      <c r="A6271" s="2" t="s">
        <v>6273</v>
      </c>
      <c r="B6271" s="3" t="s">
        <v>6</v>
      </c>
      <c r="C6271" s="2" t="str">
        <f ca="1">IFERROR(__xludf.DUMMYFUNCTION("GOOGLETRANSLATE(A6271,""bn"",""en"")"),"Tons of medium quality beads and more")</f>
        <v>Tons of medium quality beads and more</v>
      </c>
    </row>
    <row r="6272" spans="1:3" ht="15.75" customHeight="1" x14ac:dyDescent="0.25">
      <c r="A6272" s="2" t="s">
        <v>6274</v>
      </c>
      <c r="B6272" s="3" t="s">
        <v>6</v>
      </c>
      <c r="C6272" s="2" t="str">
        <f ca="1">IFERROR(__xludf.DUMMYFUNCTION("GOOGLETRANSLATE(A6272,""bn"",""en"")"),"The accuracy of the kitchen scale gives poor measurements over time")</f>
        <v>The accuracy of the kitchen scale gives poor measurements over time</v>
      </c>
    </row>
    <row r="6273" spans="1:3" ht="15.75" customHeight="1" x14ac:dyDescent="0.25">
      <c r="A6273" s="2" t="s">
        <v>6275</v>
      </c>
      <c r="B6273" s="3" t="s">
        <v>4</v>
      </c>
      <c r="C6273" s="2" t="str">
        <f ca="1">IFERROR(__xludf.DUMMYFUNCTION("GOOGLETRANSLATE(A6273,""bn"",""en"")"),"The lenses of the glasses are clear and standard")</f>
        <v>The lenses of the glasses are clear and standard</v>
      </c>
    </row>
    <row r="6274" spans="1:3" ht="15.75" customHeight="1" x14ac:dyDescent="0.25">
      <c r="A6274" s="2" t="s">
        <v>6276</v>
      </c>
      <c r="B6274" s="3" t="s">
        <v>2</v>
      </c>
      <c r="C6274" s="2" t="str">
        <f ca="1">IFERROR(__xludf.DUMMYFUNCTION("GOOGLETRANSLATE(A6274,""bn"",""en"")"),"They do not automatically connect when plugged in which may require manual intervention")</f>
        <v>They do not automatically connect when plugged in which may require manual intervention</v>
      </c>
    </row>
    <row r="6275" spans="1:3" ht="15.75" customHeight="1" x14ac:dyDescent="0.25">
      <c r="A6275" s="2" t="s">
        <v>6277</v>
      </c>
      <c r="B6275" s="3" t="s">
        <v>2</v>
      </c>
      <c r="C6275" s="2" t="str">
        <f ca="1">IFERROR(__xludf.DUMMYFUNCTION("GOOGLETRANSLATE(A6275,""bn"",""en"")"),"Easy to clean but stains")</f>
        <v>Easy to clean but stains</v>
      </c>
    </row>
    <row r="6276" spans="1:3" ht="15.75" customHeight="1" x14ac:dyDescent="0.25">
      <c r="A6276" s="2" t="s">
        <v>6278</v>
      </c>
      <c r="B6276" s="3" t="s">
        <v>4</v>
      </c>
      <c r="C6276" s="2" t="str">
        <f ca="1">IFERROR(__xludf.DUMMYFUNCTION("GOOGLETRANSLATE(A6276,""bn"",""en"")"),"The design of this bedsheet is very nice and very easy to use")</f>
        <v>The design of this bedsheet is very nice and very easy to use</v>
      </c>
    </row>
    <row r="6277" spans="1:3" ht="15.75" customHeight="1" x14ac:dyDescent="0.25">
      <c r="A6277" s="2" t="s">
        <v>6279</v>
      </c>
      <c r="B6277" s="3" t="s">
        <v>4</v>
      </c>
      <c r="C6277" s="2" t="str">
        <f ca="1">IFERROR(__xludf.DUMMYFUNCTION("GOOGLETRANSLATE(A6277,""bn"",""en"")"),"Alhamdulillah very nice after using it for a week I am giving a review sound quality charge all very nice")</f>
        <v>Alhamdulillah very nice after using it for a week I am giving a review sound quality charge all very nice</v>
      </c>
    </row>
    <row r="6278" spans="1:3" ht="15.75" customHeight="1" x14ac:dyDescent="0.25">
      <c r="A6278" s="2" t="s">
        <v>6280</v>
      </c>
      <c r="B6278" s="3" t="s">
        <v>4</v>
      </c>
      <c r="C6278" s="2" t="str">
        <f ca="1">IFERROR(__xludf.DUMMYFUNCTION("GOOGLETRANSLATE(A6278,""bn"",""en"")"),"Will tell everyone to try it")</f>
        <v>Will tell everyone to try it</v>
      </c>
    </row>
    <row r="6279" spans="1:3" ht="15.75" customHeight="1" x14ac:dyDescent="0.25">
      <c r="A6279" s="2" t="s">
        <v>6281</v>
      </c>
      <c r="B6279" s="3" t="s">
        <v>2</v>
      </c>
      <c r="C6279" s="2" t="str">
        <f ca="1">IFERROR(__xludf.DUMMYFUNCTION("GOOGLETRANSLATE(A6279,""bn"",""en"")"),"It is a useful product for the old hobby")</f>
        <v>It is a useful product for the old hobby</v>
      </c>
    </row>
    <row r="6280" spans="1:3" ht="15.75" customHeight="1" x14ac:dyDescent="0.25">
      <c r="A6280" s="2" t="s">
        <v>6282</v>
      </c>
      <c r="B6280" s="3" t="s">
        <v>2</v>
      </c>
      <c r="C6280" s="2" t="str">
        <f ca="1">IFERROR(__xludf.DUMMYFUNCTION("GOOGLETRANSLATE(A6280,""bn"",""en"")"),"Helps children learn handwriting but with a limited number of characters")</f>
        <v>Helps children learn handwriting but with a limited number of characters</v>
      </c>
    </row>
    <row r="6281" spans="1:3" ht="15.75" customHeight="1" x14ac:dyDescent="0.25">
      <c r="A6281" s="2" t="s">
        <v>6283</v>
      </c>
      <c r="B6281" s="3" t="s">
        <v>2</v>
      </c>
      <c r="C6281" s="2" t="str">
        <f ca="1">IFERROR(__xludf.DUMMYFUNCTION("GOOGLETRANSLATE(A6281,""bn"",""en"")"),"There are some minor errors")</f>
        <v>There are some minor errors</v>
      </c>
    </row>
    <row r="6282" spans="1:3" ht="15.75" customHeight="1" x14ac:dyDescent="0.25">
      <c r="A6282" s="2" t="s">
        <v>6284</v>
      </c>
      <c r="B6282" s="3" t="s">
        <v>2</v>
      </c>
      <c r="C6282" s="2" t="str">
        <f ca="1">IFERROR(__xludf.DUMMYFUNCTION("GOOGLETRANSLATE(A6282,""bn"",""en"")"),"It is slightly illuminated based on the surroundings ")</f>
        <v xml:space="preserve">It is slightly illuminated based on the surroundings </v>
      </c>
    </row>
    <row r="6283" spans="1:3" ht="15.75" customHeight="1" x14ac:dyDescent="0.25">
      <c r="A6283" s="2" t="s">
        <v>6285</v>
      </c>
      <c r="B6283" s="3" t="s">
        <v>6</v>
      </c>
      <c r="C6283" s="2" t="str">
        <f ca="1">IFERROR(__xludf.DUMMYFUNCTION("GOOGLETRANSLATE(A6283,""bn"",""en"")"),"Upon arrival multiple loose threads were found hanging from various seams indicating poor quality control")</f>
        <v>Upon arrival multiple loose threads were found hanging from various seams indicating poor quality control</v>
      </c>
    </row>
    <row r="6284" spans="1:3" ht="15.75" customHeight="1" x14ac:dyDescent="0.25">
      <c r="A6284" s="2" t="s">
        <v>6286</v>
      </c>
      <c r="B6284" s="3" t="s">
        <v>6</v>
      </c>
      <c r="C6284" s="2" t="str">
        <f ca="1">IFERROR(__xludf.DUMMYFUNCTION("GOOGLETRANSLATE(A6284,""bn"",""en"")"),"  Lacks structural integrity resulting in a floppy appearance")</f>
        <v xml:space="preserve">  Lacks structural integrity resulting in a floppy appearance</v>
      </c>
    </row>
    <row r="6285" spans="1:3" ht="15.75" customHeight="1" x14ac:dyDescent="0.25">
      <c r="A6285" s="2" t="s">
        <v>6287</v>
      </c>
      <c r="B6285" s="3" t="s">
        <v>2</v>
      </c>
      <c r="C6285" s="2" t="str">
        <f ca="1">IFERROR(__xludf.DUMMYFUNCTION("GOOGLETRANSLATE(A6285,""bn"",""en"")"),"The smart doorbell camera shows guests but the night vision is somewhat limited")</f>
        <v>The smart doorbell camera shows guests but the night vision is somewhat limited</v>
      </c>
    </row>
    <row r="6286" spans="1:3" ht="15.75" customHeight="1" x14ac:dyDescent="0.25">
      <c r="A6286" s="2" t="s">
        <v>6288</v>
      </c>
      <c r="B6286" s="3" t="s">
        <v>2</v>
      </c>
      <c r="C6286" s="2" t="str">
        <f ca="1">IFERROR(__xludf.DUMMYFUNCTION("GOOGLETRANSLATE(A6286,""bn"",""en"")"),"Can boost confidence")</f>
        <v>Can boost confidence</v>
      </c>
    </row>
    <row r="6287" spans="1:3" ht="15.75" customHeight="1" x14ac:dyDescent="0.25">
      <c r="A6287" s="2" t="s">
        <v>6289</v>
      </c>
      <c r="B6287" s="3" t="s">
        <v>2</v>
      </c>
      <c r="C6287" s="2" t="str">
        <f ca="1">IFERROR(__xludf.DUMMYFUNCTION("GOOGLETRANSLATE(A6287,""bn"",""en"")"),"No Usage Stats Since when is it working?")</f>
        <v>No Usage Stats Since when is it working?</v>
      </c>
    </row>
    <row r="6288" spans="1:3" ht="15.75" customHeight="1" x14ac:dyDescent="0.25">
      <c r="A6288" s="2" t="s">
        <v>6290</v>
      </c>
      <c r="B6288" s="3" t="s">
        <v>6</v>
      </c>
      <c r="C6288" s="2" t="str">
        <f ca="1">IFERROR(__xludf.DUMMYFUNCTION("GOOGLETRANSLATE(A6288,""bn"",""en"")"),"The shoes have an uncomfortable break-in period during which they cause significant discomfort")</f>
        <v>The shoes have an uncomfortable break-in period during which they cause significant discomfort</v>
      </c>
    </row>
    <row r="6289" spans="1:3" ht="15.75" customHeight="1" x14ac:dyDescent="0.25">
      <c r="A6289" s="2" t="s">
        <v>6291</v>
      </c>
      <c r="B6289" s="3" t="s">
        <v>4</v>
      </c>
      <c r="C6289" s="2" t="str">
        <f ca="1">IFERROR(__xludf.DUMMYFUNCTION("GOOGLETRANSLATE(A6289,""bn"",""en"")"),"I really enjoyed eating it")</f>
        <v>I really enjoyed eating it</v>
      </c>
    </row>
    <row r="6290" spans="1:3" ht="15.75" customHeight="1" x14ac:dyDescent="0.25">
      <c r="A6290" s="2" t="s">
        <v>6292</v>
      </c>
      <c r="B6290" s="3" t="s">
        <v>6</v>
      </c>
      <c r="C6290" s="2" t="str">
        <f ca="1">IFERROR(__xludf.DUMMYFUNCTION("GOOGLETRANSLATE(A6290,""bn"",""en"")"),"The buttons on the control panel of the electric pressure cooker are unresponsive and difficult to operate")</f>
        <v>The buttons on the control panel of the electric pressure cooker are unresponsive and difficult to operate</v>
      </c>
    </row>
    <row r="6291" spans="1:3" ht="15.75" customHeight="1" x14ac:dyDescent="0.25">
      <c r="A6291" s="2" t="s">
        <v>6293</v>
      </c>
      <c r="B6291" s="3" t="s">
        <v>6</v>
      </c>
      <c r="C6291" s="2" t="str">
        <f ca="1">IFERROR(__xludf.DUMMYFUNCTION("GOOGLETRANSLATE(A6291,""bn"",""en"")"),"Wireless keyboard keys sometimes get stuck which affects typing accuracy")</f>
        <v>Wireless keyboard keys sometimes get stuck which affects typing accuracy</v>
      </c>
    </row>
    <row r="6292" spans="1:3" ht="15.75" customHeight="1" x14ac:dyDescent="0.25">
      <c r="A6292" s="2" t="s">
        <v>6294</v>
      </c>
      <c r="B6292" s="3" t="s">
        <v>2</v>
      </c>
      <c r="C6292" s="2" t="str">
        <f ca="1">IFERROR(__xludf.DUMMYFUNCTION("GOOGLETRANSLATE(A6292,""bn"",""en"")"),"The drink is quite fresh but could have been more concentrated")</f>
        <v>The drink is quite fresh but could have been more concentrated</v>
      </c>
    </row>
    <row r="6293" spans="1:3" ht="15.75" customHeight="1" x14ac:dyDescent="0.25">
      <c r="A6293" s="2" t="s">
        <v>6295</v>
      </c>
      <c r="B6293" s="3" t="s">
        <v>4</v>
      </c>
      <c r="C6293" s="2" t="str">
        <f ca="1">IFERROR(__xludf.DUMMYFUNCTION("GOOGLETRANSLATE(A6293,""bn"",""en"")"),"The embroidery of this bedsheet is very beautiful and the thread is of good quality")</f>
        <v>The embroidery of this bedsheet is very beautiful and the thread is of good quality</v>
      </c>
    </row>
    <row r="6294" spans="1:3" ht="15.75" customHeight="1" x14ac:dyDescent="0.25">
      <c r="A6294" s="2" t="s">
        <v>6296</v>
      </c>
      <c r="B6294" s="3" t="s">
        <v>4</v>
      </c>
      <c r="C6294" s="2" t="str">
        <f ca="1">IFERROR(__xludf.DUMMYFUNCTION("GOOGLETRANSLATE(A6294,""bn"",""en"")"),"Very useful at very low price ")</f>
        <v xml:space="preserve">Very useful at very low price </v>
      </c>
    </row>
    <row r="6295" spans="1:3" ht="15.75" customHeight="1" x14ac:dyDescent="0.25">
      <c r="A6295" s="2" t="s">
        <v>6297</v>
      </c>
      <c r="B6295" s="3" t="s">
        <v>4</v>
      </c>
      <c r="C6295" s="2" t="str">
        <f ca="1">IFERROR(__xludf.DUMMYFUNCTION("GOOGLETRANSLATE(A6295,""bn"",""en"")"),"The author's thoughts are very deep")</f>
        <v>The author's thoughts are very deep</v>
      </c>
    </row>
    <row r="6296" spans="1:3" ht="15.75" customHeight="1" x14ac:dyDescent="0.25">
      <c r="A6296" s="2" t="s">
        <v>6298</v>
      </c>
      <c r="B6296" s="3" t="s">
        <v>2</v>
      </c>
      <c r="C6296" s="2" t="str">
        <f ca="1">IFERROR(__xludf.DUMMYFUNCTION("GOOGLETRANSLATE(A6296,""bn"",""en"")"),"Nice for the price but the quality deteriorates after wash")</f>
        <v>Nice for the price but the quality deteriorates after wash</v>
      </c>
    </row>
    <row r="6297" spans="1:3" ht="15.75" customHeight="1" x14ac:dyDescent="0.25">
      <c r="A6297" s="2" t="s">
        <v>6299</v>
      </c>
      <c r="B6297" s="3" t="s">
        <v>2</v>
      </c>
      <c r="C6297" s="2" t="str">
        <f ca="1">IFERROR(__xludf.DUMMYFUNCTION("GOOGLETRANSLATE(A6297,""bn"",""en"")"),"The t-shirt is a bit disappointing")</f>
        <v>The t-shirt is a bit disappointing</v>
      </c>
    </row>
    <row r="6298" spans="1:3" ht="15.75" customHeight="1" x14ac:dyDescent="0.25">
      <c r="A6298" s="2" t="s">
        <v>6300</v>
      </c>
      <c r="B6298" s="3" t="s">
        <v>4</v>
      </c>
      <c r="C6298" s="2" t="str">
        <f ca="1">IFERROR(__xludf.DUMMYFUNCTION("GOOGLETRANSLATE(A6298,""bn"",""en"")"),"The sound quality is so good that it feels like sitting in a live concert")</f>
        <v>The sound quality is so good that it feels like sitting in a live concert</v>
      </c>
    </row>
    <row r="6299" spans="1:3" ht="15.75" customHeight="1" x14ac:dyDescent="0.25">
      <c r="A6299" s="2" t="s">
        <v>6301</v>
      </c>
      <c r="B6299" s="3" t="s">
        <v>6</v>
      </c>
      <c r="C6299" s="2" t="str">
        <f ca="1">IFERROR(__xludf.DUMMYFUNCTION("GOOGLETRANSLATE(A6299,""bn"",""en"")"),"The coffee had a sour aftertaste that suggested improper brewing")</f>
        <v>The coffee had a sour aftertaste that suggested improper brewing</v>
      </c>
    </row>
    <row r="6300" spans="1:3" ht="15.75" customHeight="1" x14ac:dyDescent="0.25">
      <c r="A6300" s="2" t="s">
        <v>6302</v>
      </c>
      <c r="B6300" s="3" t="s">
        <v>2</v>
      </c>
      <c r="C6300" s="2" t="str">
        <f ca="1">IFERROR(__xludf.DUMMYFUNCTION("GOOGLETRANSLATE(A6300,""bn"",""en"")"),"Bell functionality may be limited")</f>
        <v>Bell functionality may be limited</v>
      </c>
    </row>
    <row r="6301" spans="1:3" ht="15.75" customHeight="1" x14ac:dyDescent="0.25">
      <c r="A6301" s="2" t="s">
        <v>6303</v>
      </c>
      <c r="B6301" s="3" t="s">
        <v>6</v>
      </c>
      <c r="C6301" s="2" t="str">
        <f ca="1">IFERROR(__xludf.DUMMYFUNCTION("GOOGLETRANSLATE(A6301,""bn"",""en"")"),"Bed frame assembly instructions are unclear resulting in confusion and mistakes during setup")</f>
        <v>Bed frame assembly instructions are unclear resulting in confusion and mistakes during setup</v>
      </c>
    </row>
    <row r="6302" spans="1:3" ht="15.75" customHeight="1" x14ac:dyDescent="0.25">
      <c r="A6302" s="2" t="s">
        <v>6304</v>
      </c>
      <c r="B6302" s="3" t="s">
        <v>2</v>
      </c>
      <c r="C6302" s="2" t="str">
        <f ca="1">IFERROR(__xludf.DUMMYFUNCTION("GOOGLETRANSLATE(A6302,""bn"",""en"")"),"Fairly good for general use")</f>
        <v>Fairly good for general use</v>
      </c>
    </row>
    <row r="6303" spans="1:3" ht="15.75" customHeight="1" x14ac:dyDescent="0.25">
      <c r="A6303" s="2" t="s">
        <v>6305</v>
      </c>
      <c r="B6303" s="3" t="s">
        <v>2</v>
      </c>
      <c r="C6303" s="2" t="str">
        <f ca="1">IFERROR(__xludf.DUMMYFUNCTION("GOOGLETRANSLATE(A6303,""bn"",""en"")"),"The harps look very similar")</f>
        <v>The harps look very similar</v>
      </c>
    </row>
    <row r="6304" spans="1:3" ht="15.75" customHeight="1" x14ac:dyDescent="0.25">
      <c r="A6304" s="2" t="s">
        <v>6306</v>
      </c>
      <c r="B6304" s="3" t="s">
        <v>2</v>
      </c>
      <c r="C6304" s="2" t="str">
        <f ca="1">IFERROR(__xludf.DUMMYFUNCTION("GOOGLETRANSLATE(A6304,""bn"",""en"")"),"Will see how it goes after some use")</f>
        <v>Will see how it goes after some use</v>
      </c>
    </row>
    <row r="6305" spans="1:3" ht="15.75" customHeight="1" x14ac:dyDescent="0.25">
      <c r="A6305" s="2" t="s">
        <v>6307</v>
      </c>
      <c r="B6305" s="3" t="s">
        <v>6</v>
      </c>
      <c r="C6305" s="2" t="str">
        <f ca="1">IFERROR(__xludf.DUMMYFUNCTION("GOOGLETRANSLATE(A6305,""bn"",""en"")"),"  Around the waist was a tight elastic band that dug into the skin and left marks")</f>
        <v xml:space="preserve">  Around the waist was a tight elastic band that dug into the skin and left marks</v>
      </c>
    </row>
    <row r="6306" spans="1:3" ht="15.75" customHeight="1" x14ac:dyDescent="0.25">
      <c r="A6306" s="2" t="s">
        <v>6308</v>
      </c>
      <c r="B6306" s="3" t="s">
        <v>2</v>
      </c>
      <c r="C6306" s="2" t="str">
        <f ca="1">IFERROR(__xludf.DUMMYFUNCTION("GOOGLETRANSLATE(A6306,""bn"",""en"")"),"Children can put the stuffing in the mouth but there is a possibility of choking")</f>
        <v>Children can put the stuffing in the mouth but there is a possibility of choking</v>
      </c>
    </row>
    <row r="6307" spans="1:3" ht="15.75" customHeight="1" x14ac:dyDescent="0.25">
      <c r="A6307" s="2" t="s">
        <v>6309</v>
      </c>
      <c r="B6307" s="3" t="s">
        <v>4</v>
      </c>
      <c r="C6307" s="2" t="str">
        <f ca="1">IFERROR(__xludf.DUMMYFUNCTION("GOOGLETRANSLATE(A6307,""bn"",""en"")"),"The size of the bottle is convenient")</f>
        <v>The size of the bottle is convenient</v>
      </c>
    </row>
    <row r="6308" spans="1:3" ht="15.75" customHeight="1" x14ac:dyDescent="0.25">
      <c r="A6308" s="2" t="s">
        <v>6310</v>
      </c>
      <c r="B6308" s="3" t="s">
        <v>2</v>
      </c>
      <c r="C6308" s="2" t="str">
        <f ca="1">IFERROR(__xludf.DUMMYFUNCTION("GOOGLETRANSLATE(A6308,""bn"",""en"")"),"Its persistence is different from the expected levels")</f>
        <v>Its persistence is different from the expected levels</v>
      </c>
    </row>
    <row r="6309" spans="1:3" ht="15.75" customHeight="1" x14ac:dyDescent="0.25">
      <c r="A6309" s="2" t="s">
        <v>6311</v>
      </c>
      <c r="B6309" s="3" t="s">
        <v>6</v>
      </c>
      <c r="C6309" s="2" t="str">
        <f ca="1">IFERROR(__xludf.DUMMYFUNCTION("GOOGLETRANSLATE(A6309,""bn"",""en"")"),"Phone software filled with bloatware slows down performance and eats up storage space")</f>
        <v>Phone software filled with bloatware slows down performance and eats up storage space</v>
      </c>
    </row>
    <row r="6310" spans="1:3" ht="15.75" customHeight="1" x14ac:dyDescent="0.25">
      <c r="A6310" s="2" t="s">
        <v>6312</v>
      </c>
      <c r="B6310" s="3" t="s">
        <v>6</v>
      </c>
      <c r="C6310" s="2" t="str">
        <f ca="1">IFERROR(__xludf.DUMMYFUNCTION("GOOGLETRANSLATE(A6310,""bn"",""en"")"),"The phone's screen sensitivity is inconsistent sometimes registering accidental touches or intentionally failing to respond")</f>
        <v>The phone's screen sensitivity is inconsistent sometimes registering accidental touches or intentionally failing to respond</v>
      </c>
    </row>
    <row r="6311" spans="1:3" ht="15.75" customHeight="1" x14ac:dyDescent="0.25">
      <c r="A6311" s="2" t="s">
        <v>6313</v>
      </c>
      <c r="B6311" s="3" t="s">
        <v>6</v>
      </c>
      <c r="C6311" s="2" t="str">
        <f ca="1">IFERROR(__xludf.DUMMYFUNCTION("GOOGLETRANSLATE(A6311,""bn"",""en"")"),"The touch control is oversensitive so it often activates unnecessarily")</f>
        <v>The touch control is oversensitive so it often activates unnecessarily</v>
      </c>
    </row>
    <row r="6312" spans="1:3" ht="15.75" customHeight="1" x14ac:dyDescent="0.25">
      <c r="A6312" s="2" t="s">
        <v>6314</v>
      </c>
      <c r="B6312" s="3" t="s">
        <v>2</v>
      </c>
      <c r="C6312" s="2" t="str">
        <f ca="1">IFERROR(__xludf.DUMMYFUNCTION("GOOGLETRANSLATE(A6312,""bn"",""en"")"),"Product sizes may be incorrect")</f>
        <v>Product sizes may be incorrect</v>
      </c>
    </row>
    <row r="6313" spans="1:3" ht="15.75" customHeight="1" x14ac:dyDescent="0.25">
      <c r="A6313" s="2" t="s">
        <v>6315</v>
      </c>
      <c r="B6313" s="3" t="s">
        <v>6</v>
      </c>
      <c r="C6313" s="2" t="str">
        <f ca="1">IFERROR(__xludf.DUMMYFUNCTION("GOOGLETRANSLATE(A6313,""bn"",""en"")")," Door latch is loose and does not close securely")</f>
        <v xml:space="preserve"> Door latch is loose and does not close securely</v>
      </c>
    </row>
    <row r="6314" spans="1:3" ht="15.75" customHeight="1" x14ac:dyDescent="0.25">
      <c r="A6314" s="2" t="s">
        <v>6316</v>
      </c>
      <c r="B6314" s="3" t="s">
        <v>4</v>
      </c>
      <c r="C6314" s="2" t="str">
        <f ca="1">IFERROR(__xludf.DUMMYFUNCTION("GOOGLETRANSLATE(A6314,""bn"",""en"")"),"Achieve long-lasting beauty with low maintenance")</f>
        <v>Achieve long-lasting beauty with low maintenance</v>
      </c>
    </row>
    <row r="6315" spans="1:3" ht="15.75" customHeight="1" x14ac:dyDescent="0.25">
      <c r="A6315" s="2" t="s">
        <v>6317</v>
      </c>
      <c r="B6315" s="3" t="s">
        <v>4</v>
      </c>
      <c r="C6315" s="2" t="str">
        <f ca="1">IFERROR(__xludf.DUMMYFUNCTION("GOOGLETRANSLATE(A6315,""bn"",""en"")"),"Makes up for the lack of seasonal flowers")</f>
        <v>Makes up for the lack of seasonal flowers</v>
      </c>
    </row>
    <row r="6316" spans="1:3" ht="15.75" customHeight="1" x14ac:dyDescent="0.25">
      <c r="A6316" s="2" t="s">
        <v>6318</v>
      </c>
      <c r="B6316" s="3" t="s">
        <v>2</v>
      </c>
      <c r="C6316" s="2" t="str">
        <f ca="1">IFERROR(__xludf.DUMMYFUNCTION("GOOGLETRANSLATE(A6316,""bn"",""en"")"),"The doorbell camera shows visitors but the night vision is not that effective")</f>
        <v>The doorbell camera shows visitors but the night vision is not that effective</v>
      </c>
    </row>
    <row r="6317" spans="1:3" ht="15.75" customHeight="1" x14ac:dyDescent="0.25">
      <c r="A6317" s="2" t="s">
        <v>6319</v>
      </c>
      <c r="B6317" s="3" t="s">
        <v>4</v>
      </c>
      <c r="C6317" s="2" t="str">
        <f ca="1">IFERROR(__xludf.DUMMYFUNCTION("GOOGLETRANSLATE(A6317,""bn"",""en"")"),"I love the high quality yarn in this pillow set it makes the pillows more durable")</f>
        <v>I love the high quality yarn in this pillow set it makes the pillows more durable</v>
      </c>
    </row>
    <row r="6318" spans="1:3" ht="15.75" customHeight="1" x14ac:dyDescent="0.25">
      <c r="A6318" s="2" t="s">
        <v>6320</v>
      </c>
      <c r="B6318" s="3" t="s">
        <v>2</v>
      </c>
      <c r="C6318" s="2" t="str">
        <f ca="1">IFERROR(__xludf.DUMMYFUNCTION("GOOGLETRANSLATE(A6318,""bn"",""en"")"),"The content is deep but not easy to read for all readers")</f>
        <v>The content is deep but not easy to read for all readers</v>
      </c>
    </row>
    <row r="6319" spans="1:3" ht="15.75" customHeight="1" x14ac:dyDescent="0.25">
      <c r="A6319" s="2" t="s">
        <v>6321</v>
      </c>
      <c r="B6319" s="3" t="s">
        <v>6</v>
      </c>
      <c r="C6319" s="2" t="str">
        <f ca="1">IFERROR(__xludf.DUMMYFUNCTION("GOOGLETRANSLATE(A6319,""bn"",""en"")"),"Insufficient instructions made setup confusing")</f>
        <v>Insufficient instructions made setup confusing</v>
      </c>
    </row>
    <row r="6320" spans="1:3" ht="15.75" customHeight="1" x14ac:dyDescent="0.25">
      <c r="A6320" s="2" t="s">
        <v>6322</v>
      </c>
      <c r="B6320" s="3" t="s">
        <v>2</v>
      </c>
      <c r="C6320" s="2" t="str">
        <f ca="1">IFERROR(__xludf.DUMMYFUNCTION("GOOGLETRANSLATE(A6320,""bn"",""en"")"),"The Smart Textile Steamer irons clothes but is difficult to fill with water")</f>
        <v>The Smart Textile Steamer irons clothes but is difficult to fill with water</v>
      </c>
    </row>
    <row r="6321" spans="1:3" ht="15.75" customHeight="1" x14ac:dyDescent="0.25">
      <c r="A6321" s="2" t="s">
        <v>6323</v>
      </c>
      <c r="B6321" s="3" t="s">
        <v>2</v>
      </c>
      <c r="C6321" s="2" t="str">
        <f ca="1">IFERROR(__xludf.DUMMYFUNCTION("GOOGLETRANSLATE(A6321,""bn"",""en"")"),"The color is nice but the quality is not very good")</f>
        <v>The color is nice but the quality is not very good</v>
      </c>
    </row>
    <row r="6322" spans="1:3" ht="15.75" customHeight="1" x14ac:dyDescent="0.25">
      <c r="A6322" s="2" t="s">
        <v>6324</v>
      </c>
      <c r="B6322" s="3" t="s">
        <v>6</v>
      </c>
      <c r="C6322" s="2" t="str">
        <f ca="1">IFERROR(__xludf.DUMMYFUNCTION("GOOGLETRANSLATE(A6322,""bn"",""en"")"),"Due to the heavy texture of the eye cream, milia causes small white spots around the eye area")</f>
        <v>Due to the heavy texture of the eye cream, milia causes small white spots around the eye area</v>
      </c>
    </row>
    <row r="6323" spans="1:3" ht="15.75" customHeight="1" x14ac:dyDescent="0.25">
      <c r="A6323" s="2" t="s">
        <v>6325</v>
      </c>
      <c r="B6323" s="3" t="s">
        <v>2</v>
      </c>
      <c r="C6323" s="2" t="str">
        <f ca="1">IFERROR(__xludf.DUMMYFUNCTION("GOOGLETRANSLATE(A6323,""bn"",""en"")"),"Design is good but fabric is not good")</f>
        <v>Design is good but fabric is not good</v>
      </c>
    </row>
    <row r="6324" spans="1:3" ht="15.75" customHeight="1" x14ac:dyDescent="0.25">
      <c r="A6324" s="2" t="s">
        <v>6326</v>
      </c>
      <c r="B6324" s="3" t="s">
        <v>2</v>
      </c>
      <c r="C6324" s="2" t="str">
        <f ca="1">IFERROR(__xludf.DUMMYFUNCTION("GOOGLETRANSLATE(A6324,""bn"",""en"")"),"Can be used for transportation but cannot withstand shocks")</f>
        <v>Can be used for transportation but cannot withstand shocks</v>
      </c>
    </row>
    <row r="6325" spans="1:3" ht="15.75" customHeight="1" x14ac:dyDescent="0.25">
      <c r="A6325" s="2" t="s">
        <v>6327</v>
      </c>
      <c r="B6325" s="3" t="s">
        <v>6</v>
      </c>
      <c r="C6325" s="2" t="str">
        <f ca="1">IFERROR(__xludf.DUMMYFUNCTION("GOOGLETRANSLATE(A6325,""bn"",""en"")")," Firmware updates were automatic and interrupted viewing without warning")</f>
        <v xml:space="preserve"> Firmware updates were automatic and interrupted viewing without warning</v>
      </c>
    </row>
    <row r="6326" spans="1:3" ht="15.75" customHeight="1" x14ac:dyDescent="0.25">
      <c r="A6326" s="2" t="s">
        <v>6328</v>
      </c>
      <c r="B6326" s="3" t="s">
        <v>4</v>
      </c>
      <c r="C6326" s="2" t="str">
        <f ca="1">IFERROR(__xludf.DUMMYFUNCTION("GOOGLETRANSLATE(A6326,""bn"",""en"")"),"Super easy to install")</f>
        <v>Super easy to install</v>
      </c>
    </row>
    <row r="6327" spans="1:3" ht="15.75" customHeight="1" x14ac:dyDescent="0.25">
      <c r="A6327" s="2" t="s">
        <v>6329</v>
      </c>
      <c r="B6327" s="3" t="s">
        <v>4</v>
      </c>
      <c r="C6327" s="2" t="str">
        <f ca="1">IFERROR(__xludf.DUMMYFUNCTION("GOOGLETRANSLATE(A6327,""bn"",""en"")"),"Its taste is also amazing")</f>
        <v>Its taste is also amazing</v>
      </c>
    </row>
    <row r="6328" spans="1:3" ht="15.75" customHeight="1" x14ac:dyDescent="0.25">
      <c r="A6328" s="2" t="s">
        <v>6330</v>
      </c>
      <c r="B6328" s="3" t="s">
        <v>6</v>
      </c>
      <c r="C6328" s="2" t="str">
        <f ca="1">IFERROR(__xludf.DUMMYFUNCTION("GOOGLETRANSLATE(A6328,""bn"",""en"")"),"Dissatisfied with Jabra's products and services")</f>
        <v>Dissatisfied with Jabra's products and services</v>
      </c>
    </row>
    <row r="6329" spans="1:3" ht="15.75" customHeight="1" x14ac:dyDescent="0.25">
      <c r="A6329" s="2" t="s">
        <v>6331</v>
      </c>
      <c r="B6329" s="3" t="s">
        <v>6</v>
      </c>
      <c r="C6329" s="2" t="str">
        <f ca="1">IFERROR(__xludf.DUMMYFUNCTION("GOOGLETRANSLATE(A6329,""bn"",""en"")"),"The hair mask did not provide any noticeable benefits and left my hair dry")</f>
        <v>The hair mask did not provide any noticeable benefits and left my hair dry</v>
      </c>
    </row>
    <row r="6330" spans="1:3" ht="15.75" customHeight="1" x14ac:dyDescent="0.25">
      <c r="A6330" s="2" t="s">
        <v>6332</v>
      </c>
      <c r="B6330" s="3" t="s">
        <v>4</v>
      </c>
      <c r="C6330" s="2" t="str">
        <f ca="1">IFERROR(__xludf.DUMMYFUNCTION("GOOGLETRANSLATE(A6330,""bn"",""en"")"),"The fitting of the mobile cover is perfect")</f>
        <v>The fitting of the mobile cover is perfect</v>
      </c>
    </row>
    <row r="6331" spans="1:3" ht="15.75" customHeight="1" x14ac:dyDescent="0.25">
      <c r="A6331" s="2" t="s">
        <v>6333</v>
      </c>
      <c r="B6331" s="3" t="s">
        <v>6</v>
      </c>
      <c r="C6331" s="2" t="str">
        <f ca="1">IFERROR(__xludf.DUMMYFUNCTION("GOOGLETRANSLATE(A6331,""bn"",""en"")"),"Poor sound quality is a frustrating experience")</f>
        <v>Poor sound quality is a frustrating experience</v>
      </c>
    </row>
    <row r="6332" spans="1:3" ht="15.75" customHeight="1" x14ac:dyDescent="0.25">
      <c r="A6332" s="2" t="s">
        <v>6334</v>
      </c>
      <c r="B6332" s="3" t="s">
        <v>4</v>
      </c>
      <c r="C6332" s="2" t="str">
        <f ca="1">IFERROR(__xludf.DUMMYFUNCTION("GOOGLETRANSLATE(A6332,""bn"",""en"")"),"Quality is good and colors are usable")</f>
        <v>Quality is good and colors are usable</v>
      </c>
    </row>
    <row r="6333" spans="1:3" ht="15.75" customHeight="1" x14ac:dyDescent="0.25">
      <c r="A6333" s="2" t="s">
        <v>6335</v>
      </c>
      <c r="B6333" s="3" t="s">
        <v>4</v>
      </c>
      <c r="C6333" s="2" t="str">
        <f ca="1">IFERROR(__xludf.DUMMYFUNCTION("GOOGLETRANSLATE(A6333,""bn"",""en"")"),"Works beautifully")</f>
        <v>Works beautifully</v>
      </c>
    </row>
    <row r="6334" spans="1:3" ht="15.75" customHeight="1" x14ac:dyDescent="0.25">
      <c r="A6334" s="2" t="s">
        <v>6336</v>
      </c>
      <c r="B6334" s="3" t="s">
        <v>4</v>
      </c>
      <c r="C6334" s="2" t="str">
        <f ca="1">IFERROR(__xludf.DUMMYFUNCTION("GOOGLETRANSLATE(A6334,""bn"",""en"")"),"It is extremely fun to use and ideal for turning")</f>
        <v>It is extremely fun to use and ideal for turning</v>
      </c>
    </row>
    <row r="6335" spans="1:3" ht="15.75" customHeight="1" x14ac:dyDescent="0.25">
      <c r="A6335" s="2" t="s">
        <v>6337</v>
      </c>
      <c r="B6335" s="3" t="s">
        <v>4</v>
      </c>
      <c r="C6335" s="2" t="str">
        <f ca="1">IFERROR(__xludf.DUMMYFUNCTION("GOOGLETRANSLATE(A6335,""bn"",""en"")"),"A permanent solution for decoration")</f>
        <v>A permanent solution for decoration</v>
      </c>
    </row>
    <row r="6336" spans="1:3" ht="15.75" customHeight="1" x14ac:dyDescent="0.25">
      <c r="A6336" s="2" t="s">
        <v>6338</v>
      </c>
      <c r="B6336" s="3" t="s">
        <v>6</v>
      </c>
      <c r="C6336" s="2" t="str">
        <f ca="1">IFERROR(__xludf.DUMMYFUNCTION("GOOGLETRANSLATE(A6336,""bn"",""en"")"),"Riding an electric scooter with failed brakes is dangerous")</f>
        <v>Riding an electric scooter with failed brakes is dangerous</v>
      </c>
    </row>
    <row r="6337" spans="1:3" ht="15.75" customHeight="1" x14ac:dyDescent="0.25">
      <c r="A6337" s="2" t="s">
        <v>6339</v>
      </c>
      <c r="B6337" s="3" t="s">
        <v>4</v>
      </c>
      <c r="C6337" s="2" t="str">
        <f ca="1">IFERROR(__xludf.DUMMYFUNCTION("GOOGLETRANSLATE(A6337,""bn"",""en"")"),"The color of this bedsheet is very vibrant")</f>
        <v>The color of this bedsheet is very vibrant</v>
      </c>
    </row>
    <row r="6338" spans="1:3" ht="15.75" customHeight="1" x14ac:dyDescent="0.25">
      <c r="A6338" s="2" t="s">
        <v>6340</v>
      </c>
      <c r="B6338" s="3" t="s">
        <v>4</v>
      </c>
      <c r="C6338" s="2" t="str">
        <f ca="1">IFERROR(__xludf.DUMMYFUNCTION("GOOGLETRANSLATE(A6338,""bn"",""en"")"),"It maintains the subtlety of makeup")</f>
        <v>It maintains the subtlety of makeup</v>
      </c>
    </row>
    <row r="6339" spans="1:3" ht="15.75" customHeight="1" x14ac:dyDescent="0.25">
      <c r="A6339" s="2" t="s">
        <v>6341</v>
      </c>
      <c r="B6339" s="3" t="s">
        <v>2</v>
      </c>
      <c r="C6339" s="2" t="str">
        <f ca="1">IFERROR(__xludf.DUMMYFUNCTION("GOOGLETRANSLATE(A6339,""bn"",""en"")"),"Energy efficiency is fair")</f>
        <v>Energy efficiency is fair</v>
      </c>
    </row>
    <row r="6340" spans="1:3" ht="15.75" customHeight="1" x14ac:dyDescent="0.25">
      <c r="A6340" s="2" t="s">
        <v>6342</v>
      </c>
      <c r="B6340" s="3" t="s">
        <v>2</v>
      </c>
      <c r="C6340" s="2" t="str">
        <f ca="1">IFERROR(__xludf.DUMMYFUNCTION("GOOGLETRANSLATE(A6340,""bn"",""en"")"),"Headphones for kids are not durable though")</f>
        <v>Headphones for kids are not durable though</v>
      </c>
    </row>
    <row r="6341" spans="1:3" ht="15.75" customHeight="1" x14ac:dyDescent="0.25">
      <c r="A6341" s="2" t="s">
        <v>6343</v>
      </c>
      <c r="B6341" s="3" t="s">
        <v>6</v>
      </c>
      <c r="C6341" s="2" t="str">
        <f ca="1">IFERROR(__xludf.DUMMYFUNCTION("GOOGLETRANSLATE(A6341,""bn"",""en"")"),"Unacceptable defect frustrating purchase")</f>
        <v>Unacceptable defect frustrating purchase</v>
      </c>
    </row>
    <row r="6342" spans="1:3" ht="15.75" customHeight="1" x14ac:dyDescent="0.25">
      <c r="A6342" s="2" t="s">
        <v>6344</v>
      </c>
      <c r="B6342" s="3" t="s">
        <v>4</v>
      </c>
      <c r="C6342" s="2" t="str">
        <f ca="1">IFERROR(__xludf.DUMMYFUNCTION("GOOGLETRANSLATE(A6342,""bn"",""en"")"),"The book made me very emotional")</f>
        <v>The book made me very emotional</v>
      </c>
    </row>
    <row r="6343" spans="1:3" ht="15.75" customHeight="1" x14ac:dyDescent="0.25">
      <c r="A6343" s="2" t="s">
        <v>6345</v>
      </c>
      <c r="B6343" s="3" t="s">
        <v>4</v>
      </c>
      <c r="C6343" s="2" t="str">
        <f ca="1">IFERROR(__xludf.DUMMYFUNCTION("GOOGLETRANSLATE(A6343,""bn"",""en"")"),"The fragrance of the shampoo is lovely")</f>
        <v>The fragrance of the shampoo is lovely</v>
      </c>
    </row>
    <row r="6344" spans="1:3" ht="15.75" customHeight="1" x14ac:dyDescent="0.25">
      <c r="A6344" s="2" t="s">
        <v>6346</v>
      </c>
      <c r="B6344" s="3" t="s">
        <v>4</v>
      </c>
      <c r="C6344" s="2" t="str">
        <f ca="1">IFERROR(__xludf.DUMMYFUNCTION("GOOGLETRANSLATE(A6344,""bn"",""en"")"),"Those who are looking for good quality biscuits can give this a try")</f>
        <v>Those who are looking for good quality biscuits can give this a try</v>
      </c>
    </row>
    <row r="6345" spans="1:3" ht="15.75" customHeight="1" x14ac:dyDescent="0.25">
      <c r="A6345" s="2" t="s">
        <v>6347</v>
      </c>
      <c r="B6345" s="3" t="s">
        <v>4</v>
      </c>
      <c r="C6345" s="2" t="str">
        <f ca="1">IFERROR(__xludf.DUMMYFUNCTION("GOOGLETRANSLATE(A6345,""bn"",""en"")"),"Modern and trendy design")</f>
        <v>Modern and trendy design</v>
      </c>
    </row>
    <row r="6346" spans="1:3" ht="15.75" customHeight="1" x14ac:dyDescent="0.25">
      <c r="A6346" s="2" t="s">
        <v>6348</v>
      </c>
      <c r="B6346" s="3" t="s">
        <v>4</v>
      </c>
      <c r="C6346" s="2" t="str">
        <f ca="1">IFERROR(__xludf.DUMMYFUNCTION("GOOGLETRANSLATE(A6346,""bn"",""en"")"),"I am very satisfied with the overall quality of this pillow set it is better than I expected")</f>
        <v>I am very satisfied with the overall quality of this pillow set it is better than I expected</v>
      </c>
    </row>
    <row r="6347" spans="1:3" ht="15.75" customHeight="1" x14ac:dyDescent="0.25">
      <c r="A6347" s="2" t="s">
        <v>6349</v>
      </c>
      <c r="B6347" s="3" t="s">
        <v>2</v>
      </c>
      <c r="C6347" s="2" t="str">
        <f ca="1">IFERROR(__xludf.DUMMYFUNCTION("GOOGLETRANSLATE(A6347,""bn"",""en"")"),"OK not perfect")</f>
        <v>OK not perfect</v>
      </c>
    </row>
    <row r="6348" spans="1:3" ht="15.75" customHeight="1" x14ac:dyDescent="0.25">
      <c r="A6348" s="2" t="s">
        <v>6350</v>
      </c>
      <c r="B6348" s="3" t="s">
        <v>2</v>
      </c>
      <c r="C6348" s="2" t="str">
        <f ca="1">IFERROR(__xludf.DUMMYFUNCTION("GOOGLETRANSLATE(A6348,""bn"",""en"")"),"The yoga mat is usable even though it smells")</f>
        <v>The yoga mat is usable even though it smells</v>
      </c>
    </row>
    <row r="6349" spans="1:3" ht="15.75" customHeight="1" x14ac:dyDescent="0.25">
      <c r="A6349" s="2" t="s">
        <v>6351</v>
      </c>
      <c r="B6349" s="3" t="s">
        <v>4</v>
      </c>
      <c r="C6349" s="2" t="str">
        <f ca="1">IFERROR(__xludf.DUMMYFUNCTION("GOOGLETRANSLATE(A6349,""bn"",""en"")"),"The picture on this new television screen is very clear")</f>
        <v>The picture on this new television screen is very clear</v>
      </c>
    </row>
    <row r="6350" spans="1:3" ht="15.75" customHeight="1" x14ac:dyDescent="0.25">
      <c r="A6350" s="2" t="s">
        <v>6352</v>
      </c>
      <c r="B6350" s="3" t="s">
        <v>4</v>
      </c>
      <c r="C6350" s="2" t="str">
        <f ca="1">IFERROR(__xludf.DUMMYFUNCTION("GOOGLETRANSLATE(A6350,""bn"",""en"")"),"The child is very cheerful and lively")</f>
        <v>The child is very cheerful and lively</v>
      </c>
    </row>
    <row r="6351" spans="1:3" ht="15.75" customHeight="1" x14ac:dyDescent="0.25">
      <c r="A6351" s="2" t="s">
        <v>6353</v>
      </c>
      <c r="B6351" s="3" t="s">
        <v>2</v>
      </c>
      <c r="C6351" s="2" t="str">
        <f ca="1">IFERROR(__xludf.DUMMYFUNCTION("GOOGLETRANSLATE(A6351,""bn"",""en"")"),"Color will match as expected")</f>
        <v>Color will match as expected</v>
      </c>
    </row>
    <row r="6352" spans="1:3" ht="15.75" customHeight="1" x14ac:dyDescent="0.25">
      <c r="A6352" s="2" t="s">
        <v>6354</v>
      </c>
      <c r="B6352" s="3" t="s">
        <v>4</v>
      </c>
      <c r="C6352" s="2" t="str">
        <f ca="1">IFERROR(__xludf.DUMMYFUNCTION("GOOGLETRANSLATE(A6352,""bn"",""en"")"),"Cleans instantly")</f>
        <v>Cleans instantly</v>
      </c>
    </row>
    <row r="6353" spans="1:3" ht="15.75" customHeight="1" x14ac:dyDescent="0.25">
      <c r="A6353" s="2" t="s">
        <v>6355</v>
      </c>
      <c r="B6353" s="3" t="s">
        <v>4</v>
      </c>
      <c r="C6353" s="2" t="str">
        <f ca="1">IFERROR(__xludf.DUMMYFUNCTION("GOOGLETRANSLATE(A6353,""bn"",""en"")"),"The screen brightness of the device is very high")</f>
        <v>The screen brightness of the device is very high</v>
      </c>
    </row>
    <row r="6354" spans="1:3" ht="15.75" customHeight="1" x14ac:dyDescent="0.25">
      <c r="A6354" s="2" t="s">
        <v>6356</v>
      </c>
      <c r="B6354" s="3" t="s">
        <v>6</v>
      </c>
      <c r="C6354" s="2" t="str">
        <f ca="1">IFERROR(__xludf.DUMMYFUNCTION("GOOGLETRANSLATE(A6354,""bn"",""en"")"),"The packaged bread had a stale taste and was dry and lacked freshness")</f>
        <v>The packaged bread had a stale taste and was dry and lacked freshness</v>
      </c>
    </row>
    <row r="6355" spans="1:3" ht="15.75" customHeight="1" x14ac:dyDescent="0.25">
      <c r="A6355" s="2" t="s">
        <v>6357</v>
      </c>
      <c r="B6355" s="3" t="s">
        <v>6</v>
      </c>
      <c r="C6355" s="2" t="str">
        <f ca="1">IFERROR(__xludf.DUMMYFUNCTION("GOOGLETRANSLATE(A6355,""bn"",""en"")"),"The heel of the shoe falls down quickly causing an uneven gait and possible foot confusion")</f>
        <v>The heel of the shoe falls down quickly causing an uneven gait and possible foot confusion</v>
      </c>
    </row>
    <row r="6356" spans="1:3" ht="15.75" customHeight="1" x14ac:dyDescent="0.25">
      <c r="A6356" s="2" t="s">
        <v>6358</v>
      </c>
      <c r="B6356" s="3" t="s">
        <v>4</v>
      </c>
      <c r="C6356" s="2" t="str">
        <f ca="1">IFERROR(__xludf.DUMMYFUNCTION("GOOGLETRANSLATE(A6356,""bn"",""en"")"),"The flower stays fresh without needing light")</f>
        <v>The flower stays fresh without needing light</v>
      </c>
    </row>
    <row r="6357" spans="1:3" ht="15.75" customHeight="1" x14ac:dyDescent="0.25">
      <c r="A6357" s="2" t="s">
        <v>6359</v>
      </c>
      <c r="B6357" s="3" t="s">
        <v>2</v>
      </c>
      <c r="C6357" s="2" t="str">
        <f ca="1">IFERROR(__xludf.DUMMYFUNCTION("GOOGLETRANSLATE(A6357,""bn"",""en"")"),"The pocket size vinyl record player plays music but the sound from the speakers could have been stronger")</f>
        <v>The pocket size vinyl record player plays music but the sound from the speakers could have been stronger</v>
      </c>
    </row>
    <row r="6358" spans="1:3" ht="15.75" customHeight="1" x14ac:dyDescent="0.25">
      <c r="A6358" s="2" t="s">
        <v>6360</v>
      </c>
      <c r="B6358" s="3" t="s">
        <v>2</v>
      </c>
      <c r="C6358" s="2" t="str">
        <f ca="1">IFERROR(__xludf.DUMMYFUNCTION("GOOGLETRANSLATE(A6358,""bn"",""en"")"),"Toothpaste lathers quickly")</f>
        <v>Toothpaste lathers quickly</v>
      </c>
    </row>
    <row r="6359" spans="1:3" ht="15.75" customHeight="1" x14ac:dyDescent="0.25">
      <c r="A6359" s="2" t="s">
        <v>6361</v>
      </c>
      <c r="B6359" s="3" t="s">
        <v>2</v>
      </c>
      <c r="C6359" s="2" t="str">
        <f ca="1">IFERROR(__xludf.DUMMYFUNCTION("GOOGLETRANSLATE(A6359,""bn"",""en"")"),"Small and may not meet all needs")</f>
        <v>Small and may not meet all needs</v>
      </c>
    </row>
    <row r="6360" spans="1:3" ht="15.75" customHeight="1" x14ac:dyDescent="0.25">
      <c r="A6360" s="2" t="s">
        <v>6362</v>
      </c>
      <c r="B6360" s="3" t="s">
        <v>4</v>
      </c>
      <c r="C6360" s="2" t="str">
        <f ca="1">IFERROR(__xludf.DUMMYFUNCTION("GOOGLETRANSLATE(A6360,""bn"",""en"")"),"Expensive but works perfectly")</f>
        <v>Expensive but works perfectly</v>
      </c>
    </row>
    <row r="6361" spans="1:3" ht="15.75" customHeight="1" x14ac:dyDescent="0.25">
      <c r="A6361" s="2" t="s">
        <v>6363</v>
      </c>
      <c r="B6361" s="3" t="s">
        <v>2</v>
      </c>
      <c r="C6361" s="2" t="str">
        <f ca="1">IFERROR(__xludf.DUMMYFUNCTION("GOOGLETRANSLATE(A6361,""bn"",""en"")"),"The size meets the requirement")</f>
        <v>The size meets the requirement</v>
      </c>
    </row>
    <row r="6362" spans="1:3" ht="15.75" customHeight="1" x14ac:dyDescent="0.25">
      <c r="A6362" s="2" t="s">
        <v>6364</v>
      </c>
      <c r="B6362" s="3" t="s">
        <v>6</v>
      </c>
      <c r="C6362" s="2" t="str">
        <f ca="1">IFERROR(__xludf.DUMMYFUNCTION("GOOGLETRANSLATE(A6362,""bn"",""en"")"),"The zipper on the backpack broke after minimal use making it impossible to secure my belongings")</f>
        <v>The zipper on the backpack broke after minimal use making it impossible to secure my belongings</v>
      </c>
    </row>
    <row r="6363" spans="1:3" ht="15.75" customHeight="1" x14ac:dyDescent="0.25">
      <c r="A6363" s="2" t="s">
        <v>6365</v>
      </c>
      <c r="B6363" s="3" t="s">
        <v>6</v>
      </c>
      <c r="C6363" s="2" t="str">
        <f ca="1">IFERROR(__xludf.DUMMYFUNCTION("GOOGLETRANSLATE(A6363,""bn"",""en"")"),"It poses a risk of tipping easily due to its unstable base")</f>
        <v>It poses a risk of tipping easily due to its unstable base</v>
      </c>
    </row>
    <row r="6364" spans="1:3" ht="15.75" customHeight="1" x14ac:dyDescent="0.25">
      <c r="A6364" s="2" t="s">
        <v>6366</v>
      </c>
      <c r="B6364" s="3" t="s">
        <v>4</v>
      </c>
      <c r="C6364" s="2" t="str">
        <f ca="1">IFERROR(__xludf.DUMMYFUNCTION("GOOGLETRANSLATE(A6364,""bn"",""en"")"),"The screen size of the device is very suitable")</f>
        <v>The screen size of the device is very suitable</v>
      </c>
    </row>
    <row r="6365" spans="1:3" ht="15.75" customHeight="1" x14ac:dyDescent="0.25">
      <c r="A6365" s="2" t="s">
        <v>6367</v>
      </c>
      <c r="B6365" s="3" t="s">
        <v>6</v>
      </c>
      <c r="C6365" s="2" t="str">
        <f ca="1">IFERROR(__xludf.DUMMYFUNCTION("GOOGLETRANSLATE(A6365,""bn"",""en"")"),"Can hold enough dust")</f>
        <v>Can hold enough dust</v>
      </c>
    </row>
    <row r="6366" spans="1:3" ht="15.75" customHeight="1" x14ac:dyDescent="0.25">
      <c r="A6366" s="2" t="s">
        <v>6368</v>
      </c>
      <c r="B6366" s="3" t="s">
        <v>4</v>
      </c>
      <c r="C6366" s="2" t="str">
        <f ca="1">IFERROR(__xludf.DUMMYFUNCTION("GOOGLETRANSLATE(A6366,""bn"",""en"")"),"Keeps my house cool and comfortable")</f>
        <v>Keeps my house cool and comfortable</v>
      </c>
    </row>
    <row r="6367" spans="1:3" ht="15.75" customHeight="1" x14ac:dyDescent="0.25">
      <c r="A6367" s="2" t="s">
        <v>6369</v>
      </c>
      <c r="B6367" s="3" t="s">
        <v>2</v>
      </c>
      <c r="C6367" s="2" t="str">
        <f ca="1">IFERROR(__xludf.DUMMYFUNCTION("GOOGLETRANSLATE(A6367,""bn"",""en"")"),"Still a strong option from Samsung though not perfect")</f>
        <v>Still a strong option from Samsung though not perfect</v>
      </c>
    </row>
    <row r="6368" spans="1:3" ht="15.75" customHeight="1" x14ac:dyDescent="0.25">
      <c r="A6368" s="2" t="s">
        <v>6370</v>
      </c>
      <c r="B6368" s="3" t="s">
        <v>2</v>
      </c>
      <c r="C6368" s="2" t="str">
        <f ca="1">IFERROR(__xludf.DUMMYFUNCTION("GOOGLETRANSLATE(A6368,""bn"",""en"")"),"The soil did not have enough potassium so some yields were low but the fertilizer worked well")</f>
        <v>The soil did not have enough potassium so some yields were low but the fertilizer worked well</v>
      </c>
    </row>
    <row r="6369" spans="1:3" ht="15.75" customHeight="1" x14ac:dyDescent="0.25">
      <c r="A6369" s="2" t="s">
        <v>6371</v>
      </c>
      <c r="B6369" s="3" t="s">
        <v>4</v>
      </c>
      <c r="C6369" s="2" t="str">
        <f ca="1">IFERROR(__xludf.DUMMYFUNCTION("GOOGLETRANSLATE(A6369,""bn"",""en"")"),"The design of the new watch is very stylish")</f>
        <v>The design of the new watch is very stylish</v>
      </c>
    </row>
    <row r="6370" spans="1:3" ht="15.75" customHeight="1" x14ac:dyDescent="0.25">
      <c r="A6370" s="2" t="s">
        <v>6372</v>
      </c>
      <c r="B6370" s="3" t="s">
        <v>4</v>
      </c>
      <c r="C6370" s="2" t="str">
        <f ca="1">IFERROR(__xludf.DUMMYFUNCTION("GOOGLETRANSLATE(A6370,""bn"",""en"")"),"It brings perfection in makeup application")</f>
        <v>It brings perfection in makeup application</v>
      </c>
    </row>
    <row r="6371" spans="1:3" ht="15.75" customHeight="1" x14ac:dyDescent="0.25">
      <c r="A6371" s="2" t="s">
        <v>6373</v>
      </c>
      <c r="B6371" s="3" t="s">
        <v>6</v>
      </c>
      <c r="C6371" s="2" t="str">
        <f ca="1">IFERROR(__xludf.DUMMYFUNCTION("GOOGLETRANSLATE(A6371,""bn"",""en"")"),"Photos fail to accurately portray the actual appearance and quality of the garment")</f>
        <v>Photos fail to accurately portray the actual appearance and quality of the garment</v>
      </c>
    </row>
    <row r="6372" spans="1:3" ht="15.75" customHeight="1" x14ac:dyDescent="0.25">
      <c r="A6372" s="2" t="s">
        <v>6374</v>
      </c>
      <c r="B6372" s="3" t="s">
        <v>4</v>
      </c>
      <c r="C6372" s="2" t="str">
        <f ca="1">IFERROR(__xludf.DUMMYFUNCTION("GOOGLETRANSLATE(A6372,""bn"",""en"")"),"With every kiss I feel the quality of its noble leaves")</f>
        <v>With every kiss I feel the quality of its noble leaves</v>
      </c>
    </row>
    <row r="6373" spans="1:3" ht="15.75" customHeight="1" x14ac:dyDescent="0.25">
      <c r="A6373" s="2" t="s">
        <v>6375</v>
      </c>
      <c r="B6373" s="3" t="s">
        <v>2</v>
      </c>
      <c r="C6373" s="2" t="str">
        <f ca="1">IFERROR(__xludf.DUMMYFUNCTION("GOOGLETRANSLATE(A6373,""bn"",""en"")"),"The politeness level is somewhat limited")</f>
        <v>The politeness level is somewhat limited</v>
      </c>
    </row>
    <row r="6374" spans="1:3" ht="15.75" customHeight="1" x14ac:dyDescent="0.25">
      <c r="A6374" s="2" t="s">
        <v>6376</v>
      </c>
      <c r="B6374" s="3" t="s">
        <v>4</v>
      </c>
      <c r="C6374" s="2" t="str">
        <f ca="1">IFERROR(__xludf.DUMMYFUNCTION("GOOGLETRANSLATE(A6374,""bn"",""en"")"),"Roast layer medium with dark chocolate notes")</f>
        <v>Roast layer medium with dark chocolate notes</v>
      </c>
    </row>
    <row r="6375" spans="1:3" ht="15.75" customHeight="1" x14ac:dyDescent="0.25">
      <c r="A6375" s="2" t="s">
        <v>6377</v>
      </c>
      <c r="B6375" s="3" t="s">
        <v>6</v>
      </c>
      <c r="C6375" s="2" t="str">
        <f ca="1">IFERROR(__xludf.DUMMYFUNCTION("GOOGLETRANSLATE(A6375,""bn"",""en"")"),"Disappointed by the consistent lack of cleanliness")</f>
        <v>Disappointed by the consistent lack of cleanliness</v>
      </c>
    </row>
    <row r="6376" spans="1:3" ht="15.75" customHeight="1" x14ac:dyDescent="0.25">
      <c r="A6376" s="2" t="s">
        <v>6378</v>
      </c>
      <c r="B6376" s="3" t="s">
        <v>2</v>
      </c>
      <c r="C6376" s="2" t="str">
        <f ca="1">IFERROR(__xludf.DUMMYFUNCTION("GOOGLETRANSLATE(A6376,""bn"",""en"")"),"It is difficult to fully comment on whether it is new or not")</f>
        <v>It is difficult to fully comment on whether it is new or not</v>
      </c>
    </row>
    <row r="6377" spans="1:3" ht="15.75" customHeight="1" x14ac:dyDescent="0.25">
      <c r="A6377" s="2" t="s">
        <v>6379</v>
      </c>
      <c r="B6377" s="3" t="s">
        <v>2</v>
      </c>
      <c r="C6377" s="2" t="str">
        <f ca="1">IFERROR(__xludf.DUMMYFUNCTION("GOOGLETRANSLATE(A6377,""bn"",""en"")"),"Can be used at night too")</f>
        <v>Can be used at night too</v>
      </c>
    </row>
    <row r="6378" spans="1:3" ht="15.75" customHeight="1" x14ac:dyDescent="0.25">
      <c r="A6378" s="2" t="s">
        <v>6380</v>
      </c>
      <c r="B6378" s="3" t="s">
        <v>2</v>
      </c>
      <c r="C6378" s="2" t="str">
        <f ca="1">IFERROR(__xludf.DUMMYFUNCTION("GOOGLETRANSLATE(A6378,""bn"",""en"")"),"Vibrant but thin it's not the best")</f>
        <v>Vibrant but thin it's not the best</v>
      </c>
    </row>
    <row r="6379" spans="1:3" ht="15.75" customHeight="1" x14ac:dyDescent="0.25">
      <c r="A6379" s="2" t="s">
        <v>6381</v>
      </c>
      <c r="B6379" s="3" t="s">
        <v>2</v>
      </c>
      <c r="C6379" s="2" t="str">
        <f ca="1">IFERROR(__xludf.DUMMYFUNCTION("GOOGLETRANSLATE(A6379,""bn"",""en"")"),"Reliable but performance may not be satisfactory")</f>
        <v>Reliable but performance may not be satisfactory</v>
      </c>
    </row>
    <row r="6380" spans="1:3" ht="15.75" customHeight="1" x14ac:dyDescent="0.25">
      <c r="A6380" s="2" t="s">
        <v>6382</v>
      </c>
      <c r="B6380" s="3" t="s">
        <v>4</v>
      </c>
      <c r="C6380" s="2" t="str">
        <f ca="1">IFERROR(__xludf.DUMMYFUNCTION("GOOGLETRANSLATE(A6380,""bn"",""en"")"),"This shampoo makes the hair smooth and soft")</f>
        <v>This shampoo makes the hair smooth and soft</v>
      </c>
    </row>
    <row r="6381" spans="1:3" ht="15.75" customHeight="1" x14ac:dyDescent="0.25">
      <c r="A6381" s="2" t="s">
        <v>6383</v>
      </c>
      <c r="B6381" s="3" t="s">
        <v>6</v>
      </c>
      <c r="C6381" s="2" t="str">
        <f ca="1">IFERROR(__xludf.DUMMYFUNCTION("GOOGLETRANSLATE(A6381,""bn"",""en"")"),"The smart light switch's voice control feature does not recognize commands")</f>
        <v>The smart light switch's voice control feature does not recognize commands</v>
      </c>
    </row>
    <row r="6382" spans="1:3" ht="15.75" customHeight="1" x14ac:dyDescent="0.25">
      <c r="A6382" s="2" t="s">
        <v>6384</v>
      </c>
      <c r="B6382" s="3" t="s">
        <v>2</v>
      </c>
      <c r="C6382" s="2" t="str">
        <f ca="1">IFERROR(__xludf.DUMMYFUNCTION("GOOGLETRANSLATE(A6382,""bn"",""en"")"),"The packaging is sturdy but not eco-friendly")</f>
        <v>The packaging is sturdy but not eco-friendly</v>
      </c>
    </row>
    <row r="6383" spans="1:3" ht="15.75" customHeight="1" x14ac:dyDescent="0.25">
      <c r="A6383" s="2" t="s">
        <v>6385</v>
      </c>
      <c r="B6383" s="3" t="s">
        <v>6</v>
      </c>
      <c r="C6383" s="2" t="str">
        <f ca="1">IFERROR(__xludf.DUMMYFUNCTION("GOOGLETRANSLATE(A6383,""bn"",""en"")"),"Smart door lock app crashes Cannot unlock or lock remotely")</f>
        <v>Smart door lock app crashes Cannot unlock or lock remotely</v>
      </c>
    </row>
    <row r="6384" spans="1:3" ht="15.75" customHeight="1" x14ac:dyDescent="0.25">
      <c r="A6384" s="2" t="s">
        <v>6386</v>
      </c>
      <c r="B6384" s="3" t="s">
        <v>4</v>
      </c>
      <c r="C6384" s="2" t="str">
        <f ca="1">IFERROR(__xludf.DUMMYFUNCTION("GOOGLETRANSLATE(A6384,""bn"",""en"")"),"Made of soft and comfortable material that my daughter loves to cuddle")</f>
        <v>Made of soft and comfortable material that my daughter loves to cuddle</v>
      </c>
    </row>
    <row r="6385" spans="1:3" ht="15.75" customHeight="1" x14ac:dyDescent="0.25">
      <c r="A6385" s="2" t="s">
        <v>6387</v>
      </c>
      <c r="B6385" s="3" t="s">
        <v>4</v>
      </c>
      <c r="C6385" s="2" t="str">
        <f ca="1">IFERROR(__xludf.DUMMYFUNCTION("GOOGLETRANSLATE(A6385,""bn"",""en"")"),"Wall hanger hooks are sturdy and usable")</f>
        <v>Wall hanger hooks are sturdy and usable</v>
      </c>
    </row>
    <row r="6386" spans="1:3" ht="15.75" customHeight="1" x14ac:dyDescent="0.25">
      <c r="A6386" s="2" t="s">
        <v>6388</v>
      </c>
      <c r="B6386" s="3" t="s">
        <v>6</v>
      </c>
      <c r="C6386" s="2" t="str">
        <f ca="1">IFERROR(__xludf.DUMMYFUNCTION("GOOGLETRANSLATE(A6386,""bn"",""en"")"),"The cumbersome shape does not fit well in the fridge")</f>
        <v>The cumbersome shape does not fit well in the fridge</v>
      </c>
    </row>
    <row r="6387" spans="1:3" ht="15.75" customHeight="1" x14ac:dyDescent="0.25">
      <c r="A6387" s="2" t="s">
        <v>6389</v>
      </c>
      <c r="B6387" s="3" t="s">
        <v>2</v>
      </c>
      <c r="C6387" s="2" t="str">
        <f ca="1">IFERROR(__xludf.DUMMYFUNCTION("GOOGLETRANSLATE(A6387,""bn"",""en"")"),"It can be used for a long time")</f>
        <v>It can be used for a long time</v>
      </c>
    </row>
    <row r="6388" spans="1:3" ht="15.75" customHeight="1" x14ac:dyDescent="0.25">
      <c r="A6388" s="2" t="s">
        <v>6390</v>
      </c>
      <c r="B6388" s="3" t="s">
        <v>4</v>
      </c>
      <c r="C6388" s="2" t="str">
        <f ca="1">IFERROR(__xludf.DUMMYFUNCTION("GOOGLETRANSLATE(A6388,""bn"",""en"")"),"The bookshelf is a great space saver")</f>
        <v>The bookshelf is a great space saver</v>
      </c>
    </row>
    <row r="6389" spans="1:3" ht="15.75" customHeight="1" x14ac:dyDescent="0.25">
      <c r="A6389" s="2" t="s">
        <v>6391</v>
      </c>
      <c r="B6389" s="3" t="s">
        <v>4</v>
      </c>
      <c r="C6389" s="2" t="str">
        <f ca="1">IFERROR(__xludf.DUMMYFUNCTION("GOOGLETRANSLATE(A6389,""bn"",""en"")"),"The soap removes the dryness of the skin")</f>
        <v>The soap removes the dryness of the skin</v>
      </c>
    </row>
    <row r="6390" spans="1:3" ht="15.75" customHeight="1" x14ac:dyDescent="0.25">
      <c r="A6390" s="2" t="s">
        <v>6392</v>
      </c>
      <c r="B6390" s="3" t="s">
        <v>4</v>
      </c>
      <c r="C6390" s="2" t="str">
        <f ca="1">IFERROR(__xludf.DUMMYFUNCTION("GOOGLETRANSLATE(A6390,""bn"",""en"")"),"You will feel happy using this body wash")</f>
        <v>You will feel happy using this body wash</v>
      </c>
    </row>
    <row r="6391" spans="1:3" ht="15.75" customHeight="1" x14ac:dyDescent="0.25">
      <c r="A6391" s="2" t="s">
        <v>6393</v>
      </c>
      <c r="B6391" s="3" t="s">
        <v>4</v>
      </c>
      <c r="C6391" s="2" t="str">
        <f ca="1">IFERROR(__xludf.DUMMYFUNCTION("GOOGLETRANSLATE(A6391,""bn"",""en"")"),"Makeup brushes can cover large areas")</f>
        <v>Makeup brushes can cover large areas</v>
      </c>
    </row>
    <row r="6392" spans="1:3" ht="15.75" customHeight="1" x14ac:dyDescent="0.25">
      <c r="A6392" s="2" t="s">
        <v>6394</v>
      </c>
      <c r="B6392" s="3" t="s">
        <v>6</v>
      </c>
      <c r="C6392" s="2" t="str">
        <f ca="1">IFERROR(__xludf.DUMMYFUNCTION("GOOGLETRANSLATE(A6392,""bn"",""en"")"),"Unreliable closure systems result in frequent spills")</f>
        <v>Unreliable closure systems result in frequent spills</v>
      </c>
    </row>
    <row r="6393" spans="1:3" ht="15.75" customHeight="1" x14ac:dyDescent="0.25">
      <c r="A6393" s="2" t="s">
        <v>6395</v>
      </c>
      <c r="B6393" s="3" t="s">
        <v>4</v>
      </c>
      <c r="C6393" s="2" t="str">
        <f ca="1">IFERROR(__xludf.DUMMYFUNCTION("GOOGLETRANSLATE(A6393,""bn"",""en"")"),"The color of the saree is very bright and beautiful")</f>
        <v>The color of the saree is very bright and beautiful</v>
      </c>
    </row>
    <row r="6394" spans="1:3" ht="15.75" customHeight="1" x14ac:dyDescent="0.25">
      <c r="A6394" s="2" t="s">
        <v>6396</v>
      </c>
      <c r="B6394" s="3" t="s">
        <v>4</v>
      </c>
      <c r="C6394" s="2" t="str">
        <f ca="1">IFERROR(__xludf.DUMMYFUNCTION("GOOGLETRANSLATE(A6394,""bn"",""en"")"),"The texture of the sheet is very smooth and it is very comfortable to lie on")</f>
        <v>The texture of the sheet is very smooth and it is very comfortable to lie on</v>
      </c>
    </row>
    <row r="6395" spans="1:3" ht="15.75" customHeight="1" x14ac:dyDescent="0.25">
      <c r="A6395" s="2" t="s">
        <v>6397</v>
      </c>
      <c r="B6395" s="3" t="s">
        <v>4</v>
      </c>
      <c r="C6395" s="2" t="str">
        <f ca="1">IFERROR(__xludf.DUMMYFUNCTION("GOOGLETRANSLATE(A6395,""bn"",""en"")"),"The new dashcam works well")</f>
        <v>The new dashcam works well</v>
      </c>
    </row>
    <row r="6396" spans="1:3" ht="15.75" customHeight="1" x14ac:dyDescent="0.25">
      <c r="A6396" s="2" t="s">
        <v>6398</v>
      </c>
      <c r="B6396" s="3" t="s">
        <v>6</v>
      </c>
      <c r="C6396" s="2" t="str">
        <f ca="1">IFERROR(__xludf.DUMMYFUNCTION("GOOGLETRANSLATE(A6396,""bn"",""en"")"),"The product warranty policy was overly restrictive")</f>
        <v>The product warranty policy was overly restrictive</v>
      </c>
    </row>
    <row r="6397" spans="1:3" ht="15.75" customHeight="1" x14ac:dyDescent="0.25">
      <c r="A6397" s="2" t="s">
        <v>6399</v>
      </c>
      <c r="B6397" s="3" t="s">
        <v>2</v>
      </c>
      <c r="C6397" s="2" t="str">
        <f ca="1">IFERROR(__xludf.DUMMYFUNCTION("GOOGLETRANSLATE(A6397,""bn"",""en"")"),"Weight is normal neither heavy nor light")</f>
        <v>Weight is normal neither heavy nor light</v>
      </c>
    </row>
    <row r="6398" spans="1:3" ht="15.75" customHeight="1" x14ac:dyDescent="0.25">
      <c r="A6398" s="2" t="s">
        <v>6400</v>
      </c>
      <c r="B6398" s="3" t="s">
        <v>6</v>
      </c>
      <c r="C6398" s="2" t="str">
        <f ca="1">IFERROR(__xludf.DUMMYFUNCTION("GOOGLETRANSLATE(A6398,""bn"",""en"")")," The frame was flimsy and prone to bending, compromising stability")</f>
        <v xml:space="preserve"> The frame was flimsy and prone to bending, compromising stability</v>
      </c>
    </row>
    <row r="6399" spans="1:3" ht="15.75" customHeight="1" x14ac:dyDescent="0.25">
      <c r="A6399" s="2" t="s">
        <v>6401</v>
      </c>
      <c r="B6399" s="3" t="s">
        <v>4</v>
      </c>
      <c r="C6399" s="2" t="str">
        <f ca="1">IFERROR(__xludf.DUMMYFUNCTION("GOOGLETRANSLATE(A6399,""bn"",""en"")"),"It is very beneficial for health")</f>
        <v>It is very beneficial for health</v>
      </c>
    </row>
    <row r="6400" spans="1:3" ht="15.75" customHeight="1" x14ac:dyDescent="0.25">
      <c r="A6400" s="2" t="s">
        <v>6402</v>
      </c>
      <c r="B6400" s="3" t="s">
        <v>2</v>
      </c>
      <c r="C6400" s="2" t="str">
        <f ca="1">IFERROR(__xludf.DUMMYFUNCTION("GOOGLETRANSLATE(A6400,""bn"",""en"")"),"Shopping is not thought about")</f>
        <v>Shopping is not thought about</v>
      </c>
    </row>
    <row r="6401" spans="1:3" ht="15.75" customHeight="1" x14ac:dyDescent="0.25">
      <c r="A6401" s="2" t="s">
        <v>6403</v>
      </c>
      <c r="B6401" s="3" t="s">
        <v>2</v>
      </c>
      <c r="C6401" s="2" t="str">
        <f ca="1">IFERROR(__xludf.DUMMYFUNCTION("GOOGLETRANSLATE(A6401,""bn"",""en"")"),"The product is fairly good and there is scope for further improvement")</f>
        <v>The product is fairly good and there is scope for further improvement</v>
      </c>
    </row>
    <row r="6402" spans="1:3" ht="15.75" customHeight="1" x14ac:dyDescent="0.25">
      <c r="A6402" s="2" t="s">
        <v>6404</v>
      </c>
      <c r="B6402" s="3" t="s">
        <v>2</v>
      </c>
      <c r="C6402" s="2" t="str">
        <f ca="1">IFERROR(__xludf.DUMMYFUNCTION("GOOGLETRANSLATE(A6402,""bn"",""en"")"),"The toothpaste tube is made of plastic")</f>
        <v>The toothpaste tube is made of plastic</v>
      </c>
    </row>
    <row r="6403" spans="1:3" ht="15.75" customHeight="1" x14ac:dyDescent="0.25">
      <c r="A6403" s="2" t="s">
        <v>6405</v>
      </c>
      <c r="B6403" s="3" t="s">
        <v>2</v>
      </c>
      <c r="C6403" s="2" t="str">
        <f ca="1">IFERROR(__xludf.DUMMYFUNCTION("GOOGLETRANSLATE(A6403,""bn"",""en"")"),"The rosary may contain some errors")</f>
        <v>The rosary may contain some errors</v>
      </c>
    </row>
    <row r="6404" spans="1:3" ht="15.75" customHeight="1" x14ac:dyDescent="0.25">
      <c r="A6404" s="2" t="s">
        <v>6406</v>
      </c>
      <c r="B6404" s="3" t="s">
        <v>6</v>
      </c>
      <c r="C6404" s="2" t="str">
        <f ca="1">IFERROR(__xludf.DUMMYFUNCTION("GOOGLETRANSLATE(A6404,""bn"",""en"")"),"Hygiene concerns received in open containers")</f>
        <v>Hygiene concerns received in open containers</v>
      </c>
    </row>
    <row r="6405" spans="1:3" ht="15.75" customHeight="1" x14ac:dyDescent="0.25">
      <c r="A6405" s="2" t="s">
        <v>6407</v>
      </c>
      <c r="B6405" s="3" t="s">
        <v>4</v>
      </c>
      <c r="C6405" s="2" t="str">
        <f ca="1">IFERROR(__xludf.DUMMYFUNCTION("GOOGLETRANSLATE(A6405,""bn"",""en"")"),"The soap maintains the natural glow of the skin")</f>
        <v>The soap maintains the natural glow of the skin</v>
      </c>
    </row>
    <row r="6406" spans="1:3" ht="15.75" customHeight="1" x14ac:dyDescent="0.25">
      <c r="A6406" s="2" t="s">
        <v>6408</v>
      </c>
      <c r="B6406" s="3" t="s">
        <v>6</v>
      </c>
      <c r="C6406" s="2" t="str">
        <f ca="1">IFERROR(__xludf.DUMMYFUNCTION("GOOGLETRANSLATE(A6406,""bn"",""en"")"),"The power bank's capacity decreases over time and no longer provides the same amount of charge as a new one")</f>
        <v>The power bank's capacity decreases over time and no longer provides the same amount of charge as a new one</v>
      </c>
    </row>
    <row r="6407" spans="1:3" ht="15.75" customHeight="1" x14ac:dyDescent="0.25">
      <c r="A6407" s="2" t="s">
        <v>6409</v>
      </c>
      <c r="B6407" s="3" t="s">
        <v>4</v>
      </c>
      <c r="C6407" s="2" t="str">
        <f ca="1">IFERROR(__xludf.DUMMYFUNCTION("GOOGLETRANSLATE(A6407,""bn"",""en"")"),"The gaming experience in using the mobile is very smooth")</f>
        <v>The gaming experience in using the mobile is very smooth</v>
      </c>
    </row>
    <row r="6408" spans="1:3" ht="15.75" customHeight="1" x14ac:dyDescent="0.25">
      <c r="A6408" s="2" t="s">
        <v>6410</v>
      </c>
      <c r="B6408" s="3" t="s">
        <v>4</v>
      </c>
      <c r="C6408" s="2" t="str">
        <f ca="1">IFERROR(__xludf.DUMMYFUNCTION("GOOGLETRANSLATE(A6408,""bn"",""en"")"),"The flower created a creative atmosphere in my room")</f>
        <v>The flower created a creative atmosphere in my room</v>
      </c>
    </row>
    <row r="6409" spans="1:3" ht="15.75" customHeight="1" x14ac:dyDescent="0.25">
      <c r="A6409" s="2" t="s">
        <v>6411</v>
      </c>
      <c r="B6409" s="3" t="s">
        <v>4</v>
      </c>
      <c r="C6409" s="2" t="str">
        <f ca="1">IFERROR(__xludf.DUMMYFUNCTION("GOOGLETRANSLATE(A6409,""bn"",""en"")"),"My new AC runs so quietly that I often forget it's on except to feel its cool air")</f>
        <v>My new AC runs so quietly that I often forget it's on except to feel its cool air</v>
      </c>
    </row>
    <row r="6410" spans="1:3" ht="15.75" customHeight="1" x14ac:dyDescent="0.25">
      <c r="A6410" s="2" t="s">
        <v>6412</v>
      </c>
      <c r="B6410" s="3" t="s">
        <v>6</v>
      </c>
      <c r="C6410" s="2" t="str">
        <f ca="1">IFERROR(__xludf.DUMMYFUNCTION("GOOGLETRANSLATE(A6410,""bn"",""en"")"),"The coating of nonstick frying pans is not scratch-proof")</f>
        <v>The coating of nonstick frying pans is not scratch-proof</v>
      </c>
    </row>
    <row r="6411" spans="1:3" ht="15.75" customHeight="1" x14ac:dyDescent="0.25">
      <c r="A6411" s="2" t="s">
        <v>6413</v>
      </c>
      <c r="B6411" s="3" t="s">
        <v>6</v>
      </c>
      <c r="C6411" s="2" t="str">
        <f ca="1">IFERROR(__xludf.DUMMYFUNCTION("GOOGLETRANSLATE(A6411,""bn"",""en"")"),"The phone's display has poor visibility in direct sunlight, making it difficult to use outdoors")</f>
        <v>The phone's display has poor visibility in direct sunlight, making it difficult to use outdoors</v>
      </c>
    </row>
    <row r="6412" spans="1:3" ht="15.75" customHeight="1" x14ac:dyDescent="0.25">
      <c r="A6412" s="2" t="s">
        <v>6414</v>
      </c>
      <c r="B6412" s="3" t="s">
        <v>4</v>
      </c>
      <c r="C6412" s="2" t="str">
        <f ca="1">IFERROR(__xludf.DUMMYFUNCTION("GOOGLETRANSLATE(A6412,""bn"",""en"")"),"Applying makeup has become much easier since using this makeup kit")</f>
        <v>Applying makeup has become much easier since using this makeup kit</v>
      </c>
    </row>
    <row r="6413" spans="1:3" ht="15.75" customHeight="1" x14ac:dyDescent="0.25">
      <c r="A6413" s="2" t="s">
        <v>6415</v>
      </c>
      <c r="B6413" s="3" t="s">
        <v>2</v>
      </c>
      <c r="C6413" s="2" t="str">
        <f ca="1">IFERROR(__xludf.DUMMYFUNCTION("GOOGLETRANSLATE(A6413,""bn"",""en"")"),"Somewhat unsuitable for use in summer")</f>
        <v>Somewhat unsuitable for use in summer</v>
      </c>
    </row>
    <row r="6414" spans="1:3" ht="15.75" customHeight="1" x14ac:dyDescent="0.25">
      <c r="A6414" s="2" t="s">
        <v>6416</v>
      </c>
      <c r="B6414" s="3" t="s">
        <v>4</v>
      </c>
      <c r="C6414" s="2" t="str">
        <f ca="1">IFERROR(__xludf.DUMMYFUNCTION("GOOGLETRANSLATE(A6414,""bn"",""en"")"),"These speakers have created a new world of sound in my home, truly amazing")</f>
        <v>These speakers have created a new world of sound in my home, truly amazing</v>
      </c>
    </row>
    <row r="6415" spans="1:3" ht="15.75" customHeight="1" x14ac:dyDescent="0.25">
      <c r="A6415" s="2" t="s">
        <v>6417</v>
      </c>
      <c r="B6415" s="3" t="s">
        <v>4</v>
      </c>
      <c r="C6415" s="2" t="str">
        <f ca="1">IFERROR(__xludf.DUMMYFUNCTION("GOOGLETRANSLATE(A6415,""bn"",""en"")"),"I love the hypoallergenic properties of this pillow set, my allergy problems are greatly reduced")</f>
        <v>I love the hypoallergenic properties of this pillow set, my allergy problems are greatly reduced</v>
      </c>
    </row>
    <row r="6416" spans="1:3" ht="15.75" customHeight="1" x14ac:dyDescent="0.25">
      <c r="A6416" s="2" t="s">
        <v>6418</v>
      </c>
      <c r="B6416" s="3" t="s">
        <v>2</v>
      </c>
      <c r="C6416" s="2" t="str">
        <f ca="1">IFERROR(__xludf.DUMMYFUNCTION("GOOGLETRANSLATE(A6416,""bn"",""en"")"),"Instructions for use are clear")</f>
        <v>Instructions for use are clear</v>
      </c>
    </row>
    <row r="6417" spans="1:3" ht="15.75" customHeight="1" x14ac:dyDescent="0.25">
      <c r="A6417" s="2" t="s">
        <v>6419</v>
      </c>
      <c r="B6417" s="3" t="s">
        <v>4</v>
      </c>
      <c r="C6417" s="2" t="str">
        <f ca="1">IFERROR(__xludf.DUMMYFUNCTION("GOOGLETRANSLATE(A6417,""bn"",""en"")"),"It is highly appreciated by my friends")</f>
        <v>It is highly appreciated by my friends</v>
      </c>
    </row>
    <row r="6418" spans="1:3" ht="15.75" customHeight="1" x14ac:dyDescent="0.25">
      <c r="A6418" s="2" t="s">
        <v>6420</v>
      </c>
      <c r="B6418" s="3" t="s">
        <v>2</v>
      </c>
      <c r="C6418" s="2" t="str">
        <f ca="1">IFERROR(__xludf.DUMMYFUNCTION("GOOGLETRANSLATE(A6418,""bn"",""en"")"),"Not exactly perfect, mostly bad")</f>
        <v>Not exactly perfect, mostly bad</v>
      </c>
    </row>
    <row r="6419" spans="1:3" ht="15.75" customHeight="1" x14ac:dyDescent="0.25">
      <c r="A6419" s="2" t="s">
        <v>6421</v>
      </c>
      <c r="B6419" s="3" t="s">
        <v>4</v>
      </c>
      <c r="C6419" s="2" t="str">
        <f ca="1">IFERROR(__xludf.DUMMYFUNCTION("GOOGLETRANSLATE(A6419,""bn"",""en"")"),"Each product in the kit is of high quality")</f>
        <v>Each product in the kit is of high quality</v>
      </c>
    </row>
    <row r="6420" spans="1:3" ht="15.75" customHeight="1" x14ac:dyDescent="0.25">
      <c r="A6420" s="2" t="s">
        <v>6422</v>
      </c>
      <c r="B6420" s="3" t="s">
        <v>2</v>
      </c>
      <c r="C6420" s="2" t="str">
        <f ca="1">IFERROR(__xludf.DUMMYFUNCTION("GOOGLETRANSLATE(A6420,""bn"",""en"")"),"It can be used without special care")</f>
        <v>It can be used without special care</v>
      </c>
    </row>
    <row r="6421" spans="1:3" ht="15.75" customHeight="1" x14ac:dyDescent="0.25">
      <c r="A6421" s="2" t="s">
        <v>6423</v>
      </c>
      <c r="B6421" s="3" t="s">
        <v>6</v>
      </c>
      <c r="C6421" s="2" t="str">
        <f ca="1">IFERROR(__xludf.DUMMYFUNCTION("GOOGLETRANSLATE(A6421,""bn"",""en"")"),"Disappointed due to the inconvenience of returning the item for a replacement or refund")</f>
        <v>Disappointed due to the inconvenience of returning the item for a replacement or refund</v>
      </c>
    </row>
    <row r="6422" spans="1:3" ht="15.75" customHeight="1" x14ac:dyDescent="0.25">
      <c r="A6422" s="2" t="s">
        <v>6424</v>
      </c>
      <c r="B6422" s="3" t="s">
        <v>2</v>
      </c>
      <c r="C6422" s="2" t="str">
        <f ca="1">IFERROR(__xludf.DUMMYFUNCTION("GOOGLETRANSLATE(A6422,""bn"",""en"")"),"Even if kept for a long time, the beans do not dry out")</f>
        <v>Even if kept for a long time, the beans do not dry out</v>
      </c>
    </row>
    <row r="6423" spans="1:3" ht="15.75" customHeight="1" x14ac:dyDescent="0.25">
      <c r="A6423" s="2" t="s">
        <v>6425</v>
      </c>
      <c r="B6423" s="3" t="s">
        <v>2</v>
      </c>
      <c r="C6423" s="2" t="str">
        <f ca="1">IFERROR(__xludf.DUMMYFUNCTION("GOOGLETRANSLATE(A6423,""bn"",""en"")"),"About right but not too big")</f>
        <v>About right but not too big</v>
      </c>
    </row>
    <row r="6424" spans="1:3" ht="15.75" customHeight="1" x14ac:dyDescent="0.25">
      <c r="A6424" s="2" t="s">
        <v>6426</v>
      </c>
      <c r="B6424" s="3" t="s">
        <v>4</v>
      </c>
      <c r="C6424" s="2" t="str">
        <f ca="1">IFERROR(__xludf.DUMMYFUNCTION("GOOGLETRANSLATE(A6424,""bn"",""en"")"),"The clasp of the earrings is very strong and I never fear losing them")</f>
        <v>The clasp of the earrings is very strong and I never fear losing them</v>
      </c>
    </row>
    <row r="6425" spans="1:3" ht="15.75" customHeight="1" x14ac:dyDescent="0.25">
      <c r="A6425" s="2" t="s">
        <v>6427</v>
      </c>
      <c r="B6425" s="3" t="s">
        <v>4</v>
      </c>
      <c r="C6425" s="2" t="str">
        <f ca="1">IFERROR(__xludf.DUMMYFUNCTION("GOOGLETRANSLATE(A6425,""bn"",""en"")"),"The furniture is weight balanced and easy to move")</f>
        <v>The furniture is weight balanced and easy to move</v>
      </c>
    </row>
    <row r="6426" spans="1:3" ht="15.75" customHeight="1" x14ac:dyDescent="0.25">
      <c r="A6426" s="2" t="s">
        <v>6428</v>
      </c>
      <c r="B6426" s="3" t="s">
        <v>2</v>
      </c>
      <c r="C6426" s="2" t="str">
        <f ca="1">IFERROR(__xludf.DUMMYFUNCTION("GOOGLETRANSLATE(A6426,""bn"",""en"")"),"Spoon and fork are usable but not comfortable")</f>
        <v>Spoon and fork are usable but not comfortable</v>
      </c>
    </row>
    <row r="6427" spans="1:3" ht="15.75" customHeight="1" x14ac:dyDescent="0.25">
      <c r="A6427" s="2" t="s">
        <v>6429</v>
      </c>
      <c r="B6427" s="3" t="s">
        <v>6</v>
      </c>
      <c r="C6427" s="2" t="str">
        <f ca="1">IFERROR(__xludf.DUMMYFUNCTION("GOOGLETRANSLATE(A6427,""bn"",""en"")"),"Dissatisfied with ongoing quality concerns")</f>
        <v>Dissatisfied with ongoing quality concerns</v>
      </c>
    </row>
    <row r="6428" spans="1:3" ht="15.75" customHeight="1" x14ac:dyDescent="0.25">
      <c r="A6428" s="2" t="s">
        <v>6430</v>
      </c>
      <c r="B6428" s="3" t="s">
        <v>4</v>
      </c>
      <c r="C6428" s="2" t="str">
        <f ca="1">IFERROR(__xludf.DUMMYFUNCTION("GOOGLETRANSLATE(A6428,""bn"",""en"")"),"The foam inside the pillow is soft and comfortable to sleep on")</f>
        <v>The foam inside the pillow is soft and comfortable to sleep on</v>
      </c>
    </row>
    <row r="6429" spans="1:3" ht="15.75" customHeight="1" x14ac:dyDescent="0.25">
      <c r="A6429" s="2" t="s">
        <v>6431</v>
      </c>
      <c r="B6429" s="3" t="s">
        <v>6</v>
      </c>
      <c r="C6429" s="2" t="str">
        <f ca="1">IFERROR(__xludf.DUMMYFUNCTION("GOOGLETRANSLATE(A6429,""bn"",""en"")"),"The screen was constantly flickering which was causing eye strain during prolonged viewing")</f>
        <v>The screen was constantly flickering which was causing eye strain during prolonged viewing</v>
      </c>
    </row>
    <row r="6430" spans="1:3" ht="15.75" customHeight="1" x14ac:dyDescent="0.25">
      <c r="A6430" s="2" t="s">
        <v>6432</v>
      </c>
      <c r="B6430" s="3" t="s">
        <v>6</v>
      </c>
      <c r="C6430" s="2" t="str">
        <f ca="1">IFERROR(__xludf.DUMMYFUNCTION("GOOGLETRANSLATE(A6430,""bn"",""en"")"),"Bracelet monotony")</f>
        <v>Bracelet monotony</v>
      </c>
    </row>
    <row r="6431" spans="1:3" ht="15.75" customHeight="1" x14ac:dyDescent="0.25">
      <c r="A6431" s="2" t="s">
        <v>6433</v>
      </c>
      <c r="B6431" s="3" t="s">
        <v>4</v>
      </c>
      <c r="C6431" s="2" t="str">
        <f ca="1">IFERROR(__xludf.DUMMYFUNCTION("GOOGLETRANSLATE(A6431,""bn"",""en"")"),"The build quality is excellent durable and sturdy making it suitable for long term use")</f>
        <v>The build quality is excellent durable and sturdy making it suitable for long term use</v>
      </c>
    </row>
    <row r="6432" spans="1:3" ht="15.75" customHeight="1" x14ac:dyDescent="0.25">
      <c r="A6432" s="2" t="s">
        <v>6434</v>
      </c>
      <c r="B6432" s="3" t="s">
        <v>4</v>
      </c>
      <c r="C6432" s="2" t="str">
        <f ca="1">IFERROR(__xludf.DUMMYFUNCTION("GOOGLETRANSLATE(A6432,""bn"",""en"")"),"works well")</f>
        <v>works well</v>
      </c>
    </row>
    <row r="6433" spans="1:3" ht="15.75" customHeight="1" x14ac:dyDescent="0.25">
      <c r="A6433" s="2" t="s">
        <v>6435</v>
      </c>
      <c r="B6433" s="3" t="s">
        <v>4</v>
      </c>
      <c r="C6433" s="2" t="str">
        <f ca="1">IFERROR(__xludf.DUMMYFUNCTION("GOOGLETRANSLATE(A6433,""bn"",""en"")"),"Children learn to draw very beautifully")</f>
        <v>Children learn to draw very beautifully</v>
      </c>
    </row>
    <row r="6434" spans="1:3" ht="15.75" customHeight="1" x14ac:dyDescent="0.25">
      <c r="A6434" s="2" t="s">
        <v>6436</v>
      </c>
      <c r="B6434" s="3" t="s">
        <v>4</v>
      </c>
      <c r="C6434" s="2" t="str">
        <f ca="1">IFERROR(__xludf.DUMMYFUNCTION("GOOGLETRANSLATE(A6434,""bn"",""en"")"),"You all can take one thing of that quality")</f>
        <v>You all can take one thing of that quality</v>
      </c>
    </row>
    <row r="6435" spans="1:3" ht="15.75" customHeight="1" x14ac:dyDescent="0.25">
      <c r="A6435" s="2" t="s">
        <v>6437</v>
      </c>
      <c r="B6435" s="3" t="s">
        <v>4</v>
      </c>
      <c r="C6435" s="2" t="str">
        <f ca="1">IFERROR(__xludf.DUMMYFUNCTION("GOOGLETRANSLATE(A6435,""bn"",""en"")"),"The new table is perfect for the room")</f>
        <v>The new table is perfect for the room</v>
      </c>
    </row>
    <row r="6436" spans="1:3" ht="15.75" customHeight="1" x14ac:dyDescent="0.25">
      <c r="A6436" s="2" t="s">
        <v>6438</v>
      </c>
      <c r="B6436" s="3" t="s">
        <v>6</v>
      </c>
      <c r="C6436" s="2" t="str">
        <f ca="1">IFERROR(__xludf.DUMMYFUNCTION("GOOGLETRANSLATE(A6436,""bn"",""en"")"),"The lid of the teapot is not closed properly allowing the tea to cool too quickly")</f>
        <v>The lid of the teapot is not closed properly allowing the tea to cool too quickly</v>
      </c>
    </row>
    <row r="6437" spans="1:3" ht="15.75" customHeight="1" x14ac:dyDescent="0.25">
      <c r="A6437" s="2" t="s">
        <v>6439</v>
      </c>
      <c r="B6437" s="3" t="s">
        <v>4</v>
      </c>
      <c r="C6437" s="2" t="str">
        <f ca="1">IFERROR(__xludf.DUMMYFUNCTION("GOOGLETRANSLATE(A6437,""bn"",""en"")"),"This blanket alone makes my winter nights more cozy ")</f>
        <v xml:space="preserve">This blanket alone makes my winter nights more cozy </v>
      </c>
    </row>
    <row r="6438" spans="1:3" ht="15.75" customHeight="1" x14ac:dyDescent="0.25">
      <c r="A6438" s="2" t="s">
        <v>6440</v>
      </c>
      <c r="B6438" s="3" t="s">
        <v>2</v>
      </c>
      <c r="C6438" s="2" t="str">
        <f ca="1">IFERROR(__xludf.DUMMYFUNCTION("GOOGLETRANSLATE(A6438,""bn"",""en"")"),"The digital fingerprint door lock opens the door but does not work with wet fingers")</f>
        <v>The digital fingerprint door lock opens the door but does not work with wet fingers</v>
      </c>
    </row>
    <row r="6439" spans="1:3" ht="15.75" customHeight="1" x14ac:dyDescent="0.25">
      <c r="A6439" s="2" t="s">
        <v>6441</v>
      </c>
      <c r="B6439" s="3" t="s">
        <v>2</v>
      </c>
      <c r="C6439" s="2" t="str">
        <f ca="1">IFERROR(__xludf.DUMMYFUNCTION("GOOGLETRANSLATE(A6439,""bn"",""en"")"),"Fit to play but didn't arrive on time")</f>
        <v>Fit to play but didn't arrive on time</v>
      </c>
    </row>
    <row r="6440" spans="1:3" ht="15.75" customHeight="1" x14ac:dyDescent="0.25">
      <c r="A6440" s="2" t="s">
        <v>6442</v>
      </c>
      <c r="B6440" s="3" t="s">
        <v>4</v>
      </c>
      <c r="C6440" s="2" t="str">
        <f ca="1">IFERROR(__xludf.DUMMYFUNCTION("GOOGLETRANSLATE(A6440,""bn"",""en"")"),"The bookshelf is made of eco-friendly plastic")</f>
        <v>The bookshelf is made of eco-friendly plastic</v>
      </c>
    </row>
    <row r="6441" spans="1:3" ht="15.75" customHeight="1" x14ac:dyDescent="0.25">
      <c r="A6441" s="2" t="s">
        <v>6443</v>
      </c>
      <c r="B6441" s="3" t="s">
        <v>4</v>
      </c>
      <c r="C6441" s="2" t="str">
        <f ca="1">IFERROR(__xludf.DUMMYFUNCTION("GOOGLETRANSLATE(A6441,""bn"",""en"")"),"Time is very clean and clear to see")</f>
        <v>Time is very clean and clear to see</v>
      </c>
    </row>
    <row r="6442" spans="1:3" ht="15.75" customHeight="1" x14ac:dyDescent="0.25">
      <c r="A6442" s="2" t="s">
        <v>6444</v>
      </c>
      <c r="B6442" s="3" t="s">
        <v>6</v>
      </c>
      <c r="C6442" s="2" t="str">
        <f ca="1">IFERROR(__xludf.DUMMYFUNCTION("GOOGLETRANSLATE(A6442,""bn"",""en"")"),"Travel pillow fillings clump together providing insufficient support")</f>
        <v>Travel pillow fillings clump together providing insufficient support</v>
      </c>
    </row>
    <row r="6443" spans="1:3" ht="15.75" customHeight="1" x14ac:dyDescent="0.25">
      <c r="A6443" s="2" t="s">
        <v>6445</v>
      </c>
      <c r="B6443" s="3" t="s">
        <v>6</v>
      </c>
      <c r="C6443" s="2" t="str">
        <f ca="1">IFERROR(__xludf.DUMMYFUNCTION("GOOGLETRANSLATE(A6443,""bn"",""en"")"),"Even in standby mode the phone's battery drains quickly indicating poor power management")</f>
        <v>Even in standby mode the phone's battery drains quickly indicating poor power management</v>
      </c>
    </row>
    <row r="6444" spans="1:3" ht="15.75" customHeight="1" x14ac:dyDescent="0.25">
      <c r="A6444" s="2" t="s">
        <v>6446</v>
      </c>
      <c r="B6444" s="3" t="s">
        <v>6</v>
      </c>
      <c r="C6444" s="2" t="str">
        <f ca="1">IFERROR(__xludf.DUMMYFUNCTION("GOOGLETRANSLATE(A6444,""bn"",""en"")"),"  The surface is not smooth making it difficult to clean and prone to collecting dust and debris")</f>
        <v xml:space="preserve">  The surface is not smooth making it difficult to clean and prone to collecting dust and debris</v>
      </c>
    </row>
    <row r="6445" spans="1:3" ht="15.75" customHeight="1" x14ac:dyDescent="0.25">
      <c r="A6445" s="2" t="s">
        <v>6447</v>
      </c>
      <c r="B6445" s="3" t="s">
        <v>4</v>
      </c>
      <c r="C6445" s="2" t="str">
        <f ca="1">IFERROR(__xludf.DUMMYFUNCTION("GOOGLETRANSLATE(A6445,""bn"",""en"")"),"The stitching on the edges of the pillows is very sturdy and I am sure they will last a long time")</f>
        <v>The stitching on the edges of the pillows is very sturdy and I am sure they will last a long time</v>
      </c>
    </row>
    <row r="6446" spans="1:3" ht="15.75" customHeight="1" x14ac:dyDescent="0.25">
      <c r="A6446" s="2" t="s">
        <v>6448</v>
      </c>
      <c r="B6446" s="3" t="s">
        <v>2</v>
      </c>
      <c r="C6446" s="2" t="str">
        <f ca="1">IFERROR(__xludf.DUMMYFUNCTION("GOOGLETRANSLATE(A6446,""bn"",""en"")"),"Although good for the soil, the long-term effect of the fertilizer was not great")</f>
        <v>Although good for the soil, the long-term effect of the fertilizer was not great</v>
      </c>
    </row>
    <row r="6447" spans="1:3" ht="15.75" customHeight="1" x14ac:dyDescent="0.25">
      <c r="A6447" s="2" t="s">
        <v>6449</v>
      </c>
      <c r="B6447" s="3" t="s">
        <v>2</v>
      </c>
      <c r="C6447" s="2" t="str">
        <f ca="1">IFERROR(__xludf.DUMMYFUNCTION("GOOGLETRANSLATE(A6447,""bn"",""en"")"),"Color may fade with long-term use")</f>
        <v>Color may fade with long-term use</v>
      </c>
    </row>
    <row r="6448" spans="1:3" ht="15.75" customHeight="1" x14ac:dyDescent="0.25">
      <c r="A6448" s="2" t="s">
        <v>6450</v>
      </c>
      <c r="B6448" s="3" t="s">
        <v>6</v>
      </c>
      <c r="C6448" s="2" t="str">
        <f ca="1">IFERROR(__xludf.DUMMYFUNCTION("GOOGLETRANSLATE(A6448,""bn"",""en"")"),"The bath bombs didn't fizz as much as expected making the water dull")</f>
        <v>The bath bombs didn't fizz as much as expected making the water dull</v>
      </c>
    </row>
    <row r="6449" spans="1:3" ht="15.75" customHeight="1" x14ac:dyDescent="0.25">
      <c r="A6449" s="2" t="s">
        <v>6451</v>
      </c>
      <c r="B6449" s="3" t="s">
        <v>6</v>
      </c>
      <c r="C6449" s="2" t="str">
        <f ca="1">IFERROR(__xludf.DUMMYFUNCTION("GOOGLETRANSLATE(A6449,""bn"",""en"")"),"The highlighter emphasizes skin texture rather than providing shine and a natural glow")</f>
        <v>The highlighter emphasizes skin texture rather than providing shine and a natural glow</v>
      </c>
    </row>
    <row r="6450" spans="1:3" ht="15.75" customHeight="1" x14ac:dyDescent="0.25">
      <c r="A6450" s="2" t="s">
        <v>6452</v>
      </c>
      <c r="B6450" s="3" t="s">
        <v>6</v>
      </c>
      <c r="C6450" s="2" t="str">
        <f ca="1">IFERROR(__xludf.DUMMYFUNCTION("GOOGLETRANSLATE(A6450,""bn"",""en"")"),"Handy and beautifully made can be improved")</f>
        <v>Handy and beautifully made can be improved</v>
      </c>
    </row>
    <row r="6451" spans="1:3" ht="15.75" customHeight="1" x14ac:dyDescent="0.25">
      <c r="A6451" s="2" t="s">
        <v>6453</v>
      </c>
      <c r="B6451" s="3" t="s">
        <v>2</v>
      </c>
      <c r="C6451" s="2" t="str">
        <f ca="1">IFERROR(__xludf.DUMMYFUNCTION("GOOGLETRANSLATE(A6451,""bn"",""en"")"),"Good for the price but not exceptional")</f>
        <v>Good for the price but not exceptional</v>
      </c>
    </row>
    <row r="6452" spans="1:3" ht="15.75" customHeight="1" x14ac:dyDescent="0.25">
      <c r="A6452" s="2" t="s">
        <v>6454</v>
      </c>
      <c r="B6452" s="3" t="s">
        <v>4</v>
      </c>
      <c r="C6452" s="2" t="str">
        <f ca="1">IFERROR(__xludf.DUMMYFUNCTION("GOOGLETRANSLATE(A6452,""bn"",""en"")"),"The battery of the device lasts for a long time")</f>
        <v>The battery of the device lasts for a long time</v>
      </c>
    </row>
    <row r="6453" spans="1:3" ht="15.75" customHeight="1" x14ac:dyDescent="0.25">
      <c r="A6453" s="2" t="s">
        <v>6455</v>
      </c>
      <c r="B6453" s="3" t="s">
        <v>4</v>
      </c>
      <c r="C6453" s="2" t="str">
        <f ca="1">IFERROR(__xludf.DUMMYFUNCTION("GOOGLETRANSLATE(A6453,""bn"",""en"")"),"The girl takes care of her new pet every day")</f>
        <v>The girl takes care of her new pet every day</v>
      </c>
    </row>
    <row r="6454" spans="1:3" ht="15.75" customHeight="1" x14ac:dyDescent="0.25">
      <c r="A6454" s="2" t="s">
        <v>6456</v>
      </c>
      <c r="B6454" s="3" t="s">
        <v>4</v>
      </c>
      <c r="C6454" s="2" t="str">
        <f ca="1">IFERROR(__xludf.DUMMYFUNCTION("GOOGLETRANSLATE(A6454,""bn"",""en"")"),"The color is very vibrant")</f>
        <v>The color is very vibrant</v>
      </c>
    </row>
    <row r="6455" spans="1:3" ht="15.75" customHeight="1" x14ac:dyDescent="0.25">
      <c r="A6455" s="2" t="s">
        <v>6457</v>
      </c>
      <c r="B6455" s="3" t="s">
        <v>2</v>
      </c>
      <c r="C6455" s="2" t="str">
        <f ca="1">IFERROR(__xludf.DUMMYFUNCTION("GOOGLETRANSLATE(A6455,""bn"",""en"")"),"It can be big for children")</f>
        <v>It can be big for children</v>
      </c>
    </row>
    <row r="6456" spans="1:3" ht="15.75" customHeight="1" x14ac:dyDescent="0.25">
      <c r="A6456" s="2" t="s">
        <v>6458</v>
      </c>
      <c r="B6456" s="3" t="s">
        <v>2</v>
      </c>
      <c r="C6456" s="2" t="str">
        <f ca="1">IFERROR(__xludf.DUMMYFUNCTION("GOOGLETRANSLATE(A6456,""bn"",""en"")"),"Sound quality was average")</f>
        <v>Sound quality was average</v>
      </c>
    </row>
    <row r="6457" spans="1:3" ht="15.75" customHeight="1" x14ac:dyDescent="0.25">
      <c r="A6457" s="2" t="s">
        <v>6459</v>
      </c>
      <c r="B6457" s="3" t="s">
        <v>6</v>
      </c>
      <c r="C6457" s="2" t="str">
        <f ca="1">IFERROR(__xludf.DUMMYFUNCTION("GOOGLETRANSLATE(A6457,""bn"",""en"")"),"Voice-controlled TV remotes are frustrating as they misinterpret commands")</f>
        <v>Voice-controlled TV remotes are frustrating as they misinterpret commands</v>
      </c>
    </row>
    <row r="6458" spans="1:3" ht="15.75" customHeight="1" x14ac:dyDescent="0.25">
      <c r="A6458" s="2" t="s">
        <v>6460</v>
      </c>
      <c r="B6458" s="3" t="s">
        <v>6</v>
      </c>
      <c r="C6458" s="2" t="str">
        <f ca="1">IFERROR(__xludf.DUMMYFUNCTION("GOOGLETRANSLATE(A6458,""bn"",""en"")"),"Hand cream leaves a greasy residue on the skin making it uncomfortable to touch after application")</f>
        <v>Hand cream leaves a greasy residue on the skin making it uncomfortable to touch after application</v>
      </c>
    </row>
    <row r="6459" spans="1:3" ht="15.75" customHeight="1" x14ac:dyDescent="0.25">
      <c r="A6459" s="2" t="s">
        <v>6461</v>
      </c>
      <c r="B6459" s="3" t="s">
        <v>4</v>
      </c>
      <c r="C6459" s="2" t="str">
        <f ca="1">IFERROR(__xludf.DUMMYFUNCTION("GOOGLETRANSLATE(A6459,""bn"",""en"")"),"The natural shine of the hair has returned with the use of this shampoo")</f>
        <v>The natural shine of the hair has returned with the use of this shampoo</v>
      </c>
    </row>
    <row r="6460" spans="1:3" ht="15.75" customHeight="1" x14ac:dyDescent="0.25">
      <c r="A6460" s="2" t="s">
        <v>6462</v>
      </c>
      <c r="B6460" s="3" t="s">
        <v>6</v>
      </c>
      <c r="C6460" s="2" t="str">
        <f ca="1">IFERROR(__xludf.DUMMYFUNCTION("GOOGLETRANSLATE(A6460,""bn"",""en"")"),"The tea bag was too long causing the tea to spill when poured")</f>
        <v>The tea bag was too long causing the tea to spill when poured</v>
      </c>
    </row>
    <row r="6461" spans="1:3" ht="15.75" customHeight="1" x14ac:dyDescent="0.25">
      <c r="A6461" s="2" t="s">
        <v>6463</v>
      </c>
      <c r="B6461" s="3" t="s">
        <v>2</v>
      </c>
      <c r="C6461" s="2" t="str">
        <f ca="1">IFERROR(__xludf.DUMMYFUNCTION("GOOGLETRANSLATE(A6461,""bn"",""en"")"),"Although the yield increased slightly, the quality of the fertilizer was not that good")</f>
        <v>Although the yield increased slightly, the quality of the fertilizer was not that good</v>
      </c>
    </row>
    <row r="6462" spans="1:3" ht="15.75" customHeight="1" x14ac:dyDescent="0.25">
      <c r="A6462" s="2" t="s">
        <v>6464</v>
      </c>
      <c r="B6462" s="3" t="s">
        <v>4</v>
      </c>
      <c r="C6462" s="2" t="str">
        <f ca="1">IFERROR(__xludf.DUMMYFUNCTION("GOOGLETRANSLATE(A6462,""bn"",""en"")"),"I especially like the bread plates that come with this set, they are small and cute that add an interesting touch to the table")</f>
        <v>I especially like the bread plates that come with this set, they are small and cute that add an interesting touch to the table</v>
      </c>
    </row>
    <row r="6463" spans="1:3" ht="15.75" customHeight="1" x14ac:dyDescent="0.25">
      <c r="A6463" s="2" t="s">
        <v>6465</v>
      </c>
      <c r="B6463" s="3" t="s">
        <v>4</v>
      </c>
      <c r="C6463" s="2" t="str">
        <f ca="1">IFERROR(__xludf.DUMMYFUNCTION("GOOGLETRANSLATE(A6463,""bn"",""en"")"),"The design of this bedsheet is very modern and special")</f>
        <v>The design of this bedsheet is very modern and special</v>
      </c>
    </row>
    <row r="6464" spans="1:3" ht="15.75" customHeight="1" x14ac:dyDescent="0.25">
      <c r="A6464" s="2" t="s">
        <v>6466</v>
      </c>
      <c r="B6464" s="3" t="s">
        <v>4</v>
      </c>
      <c r="C6464" s="2" t="str">
        <f ca="1">IFERROR(__xludf.DUMMYFUNCTION("GOOGLETRANSLATE(A6464,""bn"",""en"")"),"Don't miss out on the great work")</f>
        <v>Don't miss out on the great work</v>
      </c>
    </row>
    <row r="6465" spans="1:3" ht="15.75" customHeight="1" x14ac:dyDescent="0.25">
      <c r="A6465" s="2" t="s">
        <v>6467</v>
      </c>
      <c r="B6465" s="3" t="s">
        <v>6</v>
      </c>
      <c r="C6465" s="2" t="str">
        <f ca="1">IFERROR(__xludf.DUMMYFUNCTION("GOOGLETRANSLATE(A6465,""bn"",""en"")")," The remote control had a cluttered layout that made it difficult to find specific buttons")</f>
        <v xml:space="preserve"> The remote control had a cluttered layout that made it difficult to find specific buttons</v>
      </c>
    </row>
    <row r="6466" spans="1:3" ht="15.75" customHeight="1" x14ac:dyDescent="0.25">
      <c r="A6466" s="2" t="s">
        <v>6468</v>
      </c>
      <c r="B6466" s="3" t="s">
        <v>4</v>
      </c>
      <c r="C6466" s="2" t="str">
        <f ca="1">IFERROR(__xludf.DUMMYFUNCTION("GOOGLETRANSLATE(A6466,""bn"",""en"")"),"The decorative molding placed on the top of the cupboard is very attractive")</f>
        <v>The decorative molding placed on the top of the cupboard is very attractive</v>
      </c>
    </row>
    <row r="6467" spans="1:3" ht="15.75" customHeight="1" x14ac:dyDescent="0.25">
      <c r="A6467" s="2" t="s">
        <v>6469</v>
      </c>
      <c r="B6467" s="3" t="s">
        <v>6</v>
      </c>
      <c r="C6467" s="2" t="str">
        <f ca="1">IFERROR(__xludf.DUMMYFUNCTION("GOOGLETRANSLATE(A6467,""bn"",""en"")"),"Smart kitchen scale measurements are inconsistently unreliable")</f>
        <v>Smart kitchen scale measurements are inconsistently unreliable</v>
      </c>
    </row>
    <row r="6468" spans="1:3" ht="15.75" customHeight="1" x14ac:dyDescent="0.25">
      <c r="A6468" s="2" t="s">
        <v>6470</v>
      </c>
      <c r="B6468" s="3" t="s">
        <v>4</v>
      </c>
      <c r="C6468" s="2" t="str">
        <f ca="1">IFERROR(__xludf.DUMMYFUNCTION("GOOGLETRANSLATE(A6468,""bn"",""en"")"),"The intensity of the wind can be controlled")</f>
        <v>The intensity of the wind can be controlled</v>
      </c>
    </row>
    <row r="6469" spans="1:3" ht="15.75" customHeight="1" x14ac:dyDescent="0.25">
      <c r="A6469" s="2" t="s">
        <v>6471</v>
      </c>
      <c r="B6469" s="3" t="s">
        <v>4</v>
      </c>
      <c r="C6469" s="2" t="str">
        <f ca="1">IFERROR(__xludf.DUMMYFUNCTION("GOOGLETRANSLATE(A6469,""bn"",""en"")"),"Very beneficial during travel")</f>
        <v>Very beneficial during travel</v>
      </c>
    </row>
    <row r="6470" spans="1:3" ht="15.75" customHeight="1" x14ac:dyDescent="0.25">
      <c r="A6470" s="2" t="s">
        <v>6472</v>
      </c>
      <c r="B6470" s="3" t="s">
        <v>6</v>
      </c>
      <c r="C6470" s="2" t="str">
        <f ca="1">IFERROR(__xludf.DUMMYFUNCTION("GOOGLETRANSLATE(A6470,""bn"",""en"")"),"Very disappointing that the microwave stopped working after only a few uses")</f>
        <v>Very disappointing that the microwave stopped working after only a few uses</v>
      </c>
    </row>
    <row r="6471" spans="1:3" ht="15.75" customHeight="1" x14ac:dyDescent="0.25">
      <c r="A6471" s="2" t="s">
        <v>6473</v>
      </c>
      <c r="B6471" s="3" t="s">
        <v>2</v>
      </c>
      <c r="C6471" s="2" t="str">
        <f ca="1">IFERROR(__xludf.DUMMYFUNCTION("GOOGLETRANSLATE(A6471,""bn"",""en"")"),"The quality of construction may be acceptable")</f>
        <v>The quality of construction may be acceptable</v>
      </c>
    </row>
    <row r="6472" spans="1:3" ht="15.75" customHeight="1" x14ac:dyDescent="0.25">
      <c r="A6472" s="2" t="s">
        <v>6474</v>
      </c>
      <c r="B6472" s="3" t="s">
        <v>6</v>
      </c>
      <c r="C6472" s="2" t="str">
        <f ca="1">IFERROR(__xludf.DUMMYFUNCTION("GOOGLETRANSLATE(A6472,""bn"",""en"")"),"A baby travel crib's mattress is too thin for a baby to be uncomfortable")</f>
        <v>A baby travel crib's mattress is too thin for a baby to be uncomfortable</v>
      </c>
    </row>
    <row r="6473" spans="1:3" ht="15.75" customHeight="1" x14ac:dyDescent="0.25">
      <c r="A6473" s="2" t="s">
        <v>6475</v>
      </c>
      <c r="B6473" s="3" t="s">
        <v>4</v>
      </c>
      <c r="C6473" s="2" t="str">
        <f ca="1">IFERROR(__xludf.DUMMYFUNCTION("GOOGLETRANSLATE(A6473,""bn"",""en"")"),"Nice item for photo")</f>
        <v>Nice item for photo</v>
      </c>
    </row>
    <row r="6474" spans="1:3" ht="15.75" customHeight="1" x14ac:dyDescent="0.25">
      <c r="A6474" s="2" t="s">
        <v>6476</v>
      </c>
      <c r="B6474" s="3" t="s">
        <v>4</v>
      </c>
      <c r="C6474" s="2" t="str">
        <f ca="1">IFERROR(__xludf.DUMMYFUNCTION("GOOGLETRANSLATE(A6474,""bn"",""en"")"),"In one word, the product sounds amazing in this budget ")</f>
        <v xml:space="preserve">In one word, the product sounds amazing in this budget </v>
      </c>
    </row>
    <row r="6475" spans="1:3" ht="15.75" customHeight="1" x14ac:dyDescent="0.25">
      <c r="A6475" s="2" t="s">
        <v>6477</v>
      </c>
      <c r="B6475" s="3" t="s">
        <v>6</v>
      </c>
      <c r="C6475" s="2" t="str">
        <f ca="1">IFERROR(__xludf.DUMMYFUNCTION("GOOGLETRANSLATE(A6475,""bn"",""en"")"),"The canvas material had a rough surface affecting the brush movement")</f>
        <v>The canvas material had a rough surface affecting the brush movement</v>
      </c>
    </row>
    <row r="6476" spans="1:3" ht="15.75" customHeight="1" x14ac:dyDescent="0.25">
      <c r="A6476" s="2" t="s">
        <v>6478</v>
      </c>
      <c r="B6476" s="3" t="s">
        <v>4</v>
      </c>
      <c r="C6476" s="2" t="str">
        <f ca="1">IFERROR(__xludf.DUMMYFUNCTION("GOOGLETRANSLATE(A6476,""bn"",""en"")"),"I love the size of the serving spoons that come with this set, they are big and deep which makes for easy serving")</f>
        <v>I love the size of the serving spoons that come with this set, they are big and deep which makes for easy serving</v>
      </c>
    </row>
    <row r="6477" spans="1:3" ht="15.75" customHeight="1" x14ac:dyDescent="0.25">
      <c r="A6477" s="2" t="s">
        <v>6479</v>
      </c>
      <c r="B6477" s="3" t="s">
        <v>2</v>
      </c>
      <c r="C6477" s="2" t="str">
        <f ca="1">IFERROR(__xludf.DUMMYFUNCTION("GOOGLETRANSLATE(A6477,""bn"",""en"")"),"Well the socks are nothing special")</f>
        <v>Well the socks are nothing special</v>
      </c>
    </row>
    <row r="6478" spans="1:3" ht="15.75" customHeight="1" x14ac:dyDescent="0.25">
      <c r="A6478" s="2" t="s">
        <v>6480</v>
      </c>
      <c r="B6478" s="3" t="s">
        <v>2</v>
      </c>
      <c r="C6478" s="2" t="str">
        <f ca="1">IFERROR(__xludf.DUMMYFUNCTION("GOOGLETRANSLATE(A6478,""bn"",""en"")"),"Wine glasses work but are difficult to wash")</f>
        <v>Wine glasses work but are difficult to wash</v>
      </c>
    </row>
    <row r="6479" spans="1:3" ht="15.75" customHeight="1" x14ac:dyDescent="0.25">
      <c r="A6479" s="2" t="s">
        <v>6481</v>
      </c>
      <c r="B6479" s="3" t="s">
        <v>6</v>
      </c>
      <c r="C6479" s="2" t="str">
        <f ca="1">IFERROR(__xludf.DUMMYFUNCTION("GOOGLETRANSLATE(A6479,""bn"",""en"")"),"The size of the spoon and fork is inconvenient for people with small hands")</f>
        <v>The size of the spoon and fork is inconvenient for people with small hands</v>
      </c>
    </row>
    <row r="6480" spans="1:3" ht="15.75" customHeight="1" x14ac:dyDescent="0.25">
      <c r="A6480" s="2" t="s">
        <v>6482</v>
      </c>
      <c r="B6480" s="3" t="s">
        <v>2</v>
      </c>
      <c r="C6480" s="2" t="str">
        <f ca="1">IFERROR(__xludf.DUMMYFUNCTION("GOOGLETRANSLATE(A6480,""bn"",""en"")"),"Some problems have been reported")</f>
        <v>Some problems have been reported</v>
      </c>
    </row>
    <row r="6481" spans="1:3" ht="15.75" customHeight="1" x14ac:dyDescent="0.25">
      <c r="A6481" s="2" t="s">
        <v>6483</v>
      </c>
      <c r="B6481" s="3" t="s">
        <v>2</v>
      </c>
      <c r="C6481" s="2" t="str">
        <f ca="1">IFERROR(__xludf.DUMMYFUNCTION("GOOGLETRANSLATE(A6481,""bn"",""en"")"),"Dirt accumulates gradually after use")</f>
        <v>Dirt accumulates gradually after use</v>
      </c>
    </row>
    <row r="6482" spans="1:3" ht="15.75" customHeight="1" x14ac:dyDescent="0.25">
      <c r="A6482" s="2" t="s">
        <v>6484</v>
      </c>
      <c r="B6482" s="3" t="s">
        <v>6</v>
      </c>
      <c r="C6482" s="2" t="str">
        <f ca="1">IFERROR(__xludf.DUMMYFUNCTION("GOOGLETRANSLATE(A6482,""bn"",""en"")"),"The food was overly salty and had a strange artificial smell")</f>
        <v>The food was overly salty and had a strange artificial smell</v>
      </c>
    </row>
    <row r="6483" spans="1:3" ht="15.75" customHeight="1" x14ac:dyDescent="0.25">
      <c r="A6483" s="2" t="s">
        <v>6485</v>
      </c>
      <c r="B6483" s="3" t="s">
        <v>6</v>
      </c>
      <c r="C6483" s="2" t="str">
        <f ca="1">IFERROR(__xludf.DUMMYFUNCTION("GOOGLETRANSLATE(A6483,""bn"",""en"")"),"The body wash had a strong artificial smell that was overwhelming")</f>
        <v>The body wash had a strong artificial smell that was overwhelming</v>
      </c>
    </row>
    <row r="6484" spans="1:3" ht="15.75" customHeight="1" x14ac:dyDescent="0.25">
      <c r="A6484" s="2" t="s">
        <v>6486</v>
      </c>
      <c r="B6484" s="3" t="s">
        <v>4</v>
      </c>
      <c r="C6484" s="2" t="str">
        <f ca="1">IFERROR(__xludf.DUMMYFUNCTION("GOOGLETRANSLATE(A6484,""bn"",""en"")"),"Very easy to clean")</f>
        <v>Very easy to clean</v>
      </c>
    </row>
    <row r="6485" spans="1:3" ht="15.75" customHeight="1" x14ac:dyDescent="0.25">
      <c r="A6485" s="2" t="s">
        <v>6487</v>
      </c>
      <c r="B6485" s="3" t="s">
        <v>2</v>
      </c>
      <c r="C6485" s="2" t="str">
        <f ca="1">IFERROR(__xludf.DUMMYFUNCTION("GOOGLETRANSLATE(A6485,""bn"",""en"")"),"Nothing exceptional")</f>
        <v>Nothing exceptional</v>
      </c>
    </row>
    <row r="6486" spans="1:3" ht="15.75" customHeight="1" x14ac:dyDescent="0.25">
      <c r="A6486" s="2" t="s">
        <v>6488</v>
      </c>
      <c r="B6486" s="3" t="s">
        <v>2</v>
      </c>
      <c r="C6486" s="2" t="str">
        <f ca="1">IFERROR(__xludf.DUMMYFUNCTION("GOOGLETRANSLATE(A6486,""bn"",""en"")"),"The ceiling fan works but the remote does not work well")</f>
        <v>The ceiling fan works but the remote does not work well</v>
      </c>
    </row>
    <row r="6487" spans="1:3" ht="15.75" customHeight="1" x14ac:dyDescent="0.25">
      <c r="A6487" s="2" t="s">
        <v>6489</v>
      </c>
      <c r="B6487" s="3" t="s">
        <v>6</v>
      </c>
      <c r="C6487" s="2" t="str">
        <f ca="1">IFERROR(__xludf.DUMMYFUNCTION("GOOGLETRANSLATE(A6487,""bn"",""en"")"),"Constant errors and crashes Unreliable for continuous use")</f>
        <v>Constant errors and crashes Unreliable for continuous use</v>
      </c>
    </row>
    <row r="6488" spans="1:3" ht="15.75" customHeight="1" x14ac:dyDescent="0.25">
      <c r="A6488" s="2" t="s">
        <v>6490</v>
      </c>
      <c r="B6488" s="3" t="s">
        <v>4</v>
      </c>
      <c r="C6488" s="2" t="str">
        <f ca="1">IFERROR(__xludf.DUMMYFUNCTION("GOOGLETRANSLATE(A6488,""bn"",""en"")")," If I were to rate it, I would give the headphone and its response very good")</f>
        <v xml:space="preserve"> If I were to rate it, I would give the headphone and its response very good</v>
      </c>
    </row>
    <row r="6489" spans="1:3" ht="15.75" customHeight="1" x14ac:dyDescent="0.25">
      <c r="A6489" s="2" t="s">
        <v>6491</v>
      </c>
      <c r="B6489" s="3" t="s">
        <v>2</v>
      </c>
      <c r="C6489" s="2" t="str">
        <f ca="1">IFERROR(__xludf.DUMMYFUNCTION("GOOGLETRANSLATE(A6489,""bn"",""en"")"),"There is a balance of quality with price")</f>
        <v>There is a balance of quality with price</v>
      </c>
    </row>
    <row r="6490" spans="1:3" ht="15.75" customHeight="1" x14ac:dyDescent="0.25">
      <c r="A6490" s="2" t="s">
        <v>6492</v>
      </c>
      <c r="B6490" s="3" t="s">
        <v>6</v>
      </c>
      <c r="C6490" s="2" t="str">
        <f ca="1">IFERROR(__xludf.DUMMYFUNCTION("GOOGLETRANSLATE(A6490,""bn"",""en"")"),"The brushes had brittle bristles that were prone to breaking")</f>
        <v>The brushes had brittle bristles that were prone to breaking</v>
      </c>
    </row>
    <row r="6491" spans="1:3" ht="15.75" customHeight="1" x14ac:dyDescent="0.25">
      <c r="A6491" s="2" t="s">
        <v>6493</v>
      </c>
      <c r="B6491" s="3" t="s">
        <v>4</v>
      </c>
      <c r="C6491" s="2" t="str">
        <f ca="1">IFERROR(__xludf.DUMMYFUNCTION("GOOGLETRANSLATE(A6491,""bn"",""en"")"),"The fan running noise is very low")</f>
        <v>The fan running noise is very low</v>
      </c>
    </row>
    <row r="6492" spans="1:3" ht="15.75" customHeight="1" x14ac:dyDescent="0.25">
      <c r="A6492" s="2" t="s">
        <v>6494</v>
      </c>
      <c r="B6492" s="3" t="s">
        <v>2</v>
      </c>
      <c r="C6492" s="2" t="str">
        <f ca="1">IFERROR(__xludf.DUMMYFUNCTION("GOOGLETRANSLATE(A6492,""bn"",""en"")"),"Fairly good for the price")</f>
        <v>Fairly good for the price</v>
      </c>
    </row>
    <row r="6493" spans="1:3" ht="15.75" customHeight="1" x14ac:dyDescent="0.25">
      <c r="A6493" s="2" t="s">
        <v>6495</v>
      </c>
      <c r="B6493" s="3" t="s">
        <v>6</v>
      </c>
      <c r="C6493" s="2" t="str">
        <f ca="1">IFERROR(__xludf.DUMMYFUNCTION("GOOGLETRANSLATE(A6493,""bn"",""en"")"),"About ok for the bracelet")</f>
        <v>About ok for the bracelet</v>
      </c>
    </row>
    <row r="6494" spans="1:3" ht="15.75" customHeight="1" x14ac:dyDescent="0.25">
      <c r="A6494" s="2" t="s">
        <v>6496</v>
      </c>
      <c r="B6494" s="3" t="s">
        <v>2</v>
      </c>
      <c r="C6494" s="2" t="str">
        <f ca="1">IFERROR(__xludf.DUMMYFUNCTION("GOOGLETRANSLATE(A6494,""bn"",""en"")"),"The bathroom scale measures weight but the numbers are difficult to read")</f>
        <v>The bathroom scale measures weight but the numbers are difficult to read</v>
      </c>
    </row>
    <row r="6495" spans="1:3" ht="15.75" customHeight="1" x14ac:dyDescent="0.25">
      <c r="A6495" s="2" t="s">
        <v>6497</v>
      </c>
      <c r="B6495" s="3" t="s">
        <v>4</v>
      </c>
      <c r="C6495" s="2" t="str">
        <f ca="1">IFERROR(__xludf.DUMMYFUNCTION("GOOGLETRANSLATE(A6495,""bn"",""en"")"),"The edges of the watch are smooth")</f>
        <v>The edges of the watch are smooth</v>
      </c>
    </row>
    <row r="6496" spans="1:3" ht="15.75" customHeight="1" x14ac:dyDescent="0.25">
      <c r="A6496" s="2" t="s">
        <v>6498</v>
      </c>
      <c r="B6496" s="3" t="s">
        <v>2</v>
      </c>
      <c r="C6496" s="2" t="str">
        <f ca="1">IFERROR(__xludf.DUMMYFUNCTION("GOOGLETRANSLATE(A6496,""bn"",""en"")"),"Color is good but finishing needs improvement")</f>
        <v>Color is good but finishing needs improvement</v>
      </c>
    </row>
    <row r="6497" spans="1:3" ht="15.75" customHeight="1" x14ac:dyDescent="0.25">
      <c r="A6497" s="2" t="s">
        <v>6499</v>
      </c>
      <c r="B6497" s="3" t="s">
        <v>2</v>
      </c>
      <c r="C6497" s="2" t="str">
        <f ca="1">IFERROR(__xludf.DUMMYFUNCTION("GOOGLETRANSLATE(A6497,""bn"",""en"")"),"It works perfectly though there are some issues")</f>
        <v>It works perfectly though there are some issues</v>
      </c>
    </row>
    <row r="6498" spans="1:3" ht="15.75" customHeight="1" x14ac:dyDescent="0.25">
      <c r="A6498" s="2" t="s">
        <v>6500</v>
      </c>
      <c r="B6498" s="3" t="s">
        <v>4</v>
      </c>
      <c r="C6498" s="2" t="str">
        <f ca="1">IFERROR(__xludf.DUMMYFUNCTION("GOOGLETRANSLATE(A6498,""bn"",""en"")"),"It applies makeup evenly")</f>
        <v>It applies makeup evenly</v>
      </c>
    </row>
    <row r="6499" spans="1:3" ht="15.75" customHeight="1" x14ac:dyDescent="0.25">
      <c r="A6499" s="2" t="s">
        <v>6501</v>
      </c>
      <c r="B6499" s="3" t="s">
        <v>2</v>
      </c>
      <c r="C6499" s="2" t="str">
        <f ca="1">IFERROR(__xludf.DUMMYFUNCTION("GOOGLETRANSLATE(A6499,""bn"",""en"")"),"The bottle size is small")</f>
        <v>The bottle size is small</v>
      </c>
    </row>
    <row r="6500" spans="1:3" ht="15.75" customHeight="1" x14ac:dyDescent="0.25">
      <c r="A6500" s="2" t="s">
        <v>6502</v>
      </c>
      <c r="B6500" s="3" t="s">
        <v>6</v>
      </c>
      <c r="C6500" s="2" t="str">
        <f ca="1">IFERROR(__xludf.DUMMYFUNCTION("GOOGLETRANSLATE(A6500,""bn"",""en"")"),"The frame of the umbrella bends in strong winds, rendering it useless in rainy weather")</f>
        <v>The frame of the umbrella bends in strong winds, rendering it useless in rainy weather</v>
      </c>
    </row>
    <row r="6501" spans="1:3" ht="15.75" customHeight="1" x14ac:dyDescent="0.25">
      <c r="A6501" s="2" t="s">
        <v>6503</v>
      </c>
      <c r="B6501" s="3" t="s">
        <v>2</v>
      </c>
      <c r="C6501" s="2" t="str">
        <f ca="1">IFERROR(__xludf.DUMMYFUNCTION("GOOGLETRANSLATE(A6501,""bn"",""en"")"),"It looks good but not so comfortable to the touch")</f>
        <v>It looks good but not so comfortable to the touch</v>
      </c>
    </row>
    <row r="6502" spans="1:3" ht="15.75" customHeight="1" x14ac:dyDescent="0.25">
      <c r="A6502" s="2" t="s">
        <v>6504</v>
      </c>
      <c r="B6502" s="3" t="s">
        <v>4</v>
      </c>
      <c r="C6502" s="2" t="str">
        <f ca="1">IFERROR(__xludf.DUMMYFUNCTION("GOOGLETRANSLATE(A6502,""bn"",""en"")"),"Everyone in our class did well in the exam")</f>
        <v>Everyone in our class did well in the exam</v>
      </c>
    </row>
    <row r="6503" spans="1:3" ht="15.75" customHeight="1" x14ac:dyDescent="0.25">
      <c r="A6503" s="2" t="s">
        <v>6505</v>
      </c>
      <c r="B6503" s="3" t="s">
        <v>2</v>
      </c>
      <c r="C6503" s="2" t="str">
        <f ca="1">IFERROR(__xludf.DUMMYFUNCTION("GOOGLETRANSLATE(A6503,""bn"",""en"")"),"Playdoh may be slightly sticky on hands after use but can be easily removed")</f>
        <v>Playdoh may be slightly sticky on hands after use but can be easily removed</v>
      </c>
    </row>
    <row r="6504" spans="1:3" ht="15.75" customHeight="1" x14ac:dyDescent="0.25">
      <c r="A6504" s="2" t="s">
        <v>6506</v>
      </c>
      <c r="B6504" s="3" t="s">
        <v>4</v>
      </c>
      <c r="C6504" s="2" t="str">
        <f ca="1">IFERROR(__xludf.DUMMYFUNCTION("GOOGLETRANSLATE(A6504,""bn"",""en"")"),"The skill of the artist is evident")</f>
        <v>The skill of the artist is evident</v>
      </c>
    </row>
    <row r="6505" spans="1:3" ht="15.75" customHeight="1" x14ac:dyDescent="0.25">
      <c r="A6505" s="2" t="s">
        <v>6507</v>
      </c>
      <c r="B6505" s="3" t="s">
        <v>2</v>
      </c>
      <c r="C6505" s="2" t="str">
        <f ca="1">IFERROR(__xludf.DUMMYFUNCTION("GOOGLETRANSLATE(A6505,""bn"",""en"")"),"Excessive pressure may cause damage")</f>
        <v>Excessive pressure may cause damage</v>
      </c>
    </row>
    <row r="6506" spans="1:3" ht="15.75" customHeight="1" x14ac:dyDescent="0.25">
      <c r="A6506" s="2" t="s">
        <v>6508</v>
      </c>
      <c r="B6506" s="3" t="s">
        <v>2</v>
      </c>
      <c r="C6506" s="2" t="str">
        <f ca="1">IFERROR(__xludf.DUMMYFUNCTION("GOOGLETRANSLATE(A6506,""bn"",""en"")"),"Small and affordable but could be more powerful")</f>
        <v>Small and affordable but could be more powerful</v>
      </c>
    </row>
    <row r="6507" spans="1:3" ht="15.75" customHeight="1" x14ac:dyDescent="0.25">
      <c r="A6507" s="2" t="s">
        <v>6509</v>
      </c>
      <c r="B6507" s="3" t="s">
        <v>6</v>
      </c>
      <c r="C6507" s="2" t="str">
        <f ca="1">IFERROR(__xludf.DUMMYFUNCTION("GOOGLETRANSLATE(A6507,""bn"",""en"")"),"The charging speed of the charger is inconsistent sometimes charging fast and other times slow")</f>
        <v>The charging speed of the charger is inconsistent sometimes charging fast and other times slow</v>
      </c>
    </row>
    <row r="6508" spans="1:3" ht="15.75" customHeight="1" x14ac:dyDescent="0.25">
      <c r="A6508" s="2" t="s">
        <v>6510</v>
      </c>
      <c r="B6508" s="3" t="s">
        <v>2</v>
      </c>
      <c r="C6508" s="2" t="str">
        <f ca="1">IFERROR(__xludf.DUMMYFUNCTION("GOOGLETRANSLATE(A6508,""bn"",""en"")"),"Shopping is common")</f>
        <v>Shopping is common</v>
      </c>
    </row>
    <row r="6509" spans="1:3" ht="15.75" customHeight="1" x14ac:dyDescent="0.25">
      <c r="A6509" s="2" t="s">
        <v>6511</v>
      </c>
      <c r="B6509" s="3" t="s">
        <v>4</v>
      </c>
      <c r="C6509" s="2" t="str">
        <f ca="1">IFERROR(__xludf.DUMMYFUNCTION("GOOGLETRANSLATE(A6509,""bn"",""en"")"),"A great deal for the price quality good value I bought a second one great product I am very happy")</f>
        <v>A great deal for the price quality good value I bought a second one great product I am very happy</v>
      </c>
    </row>
    <row r="6510" spans="1:3" ht="15.75" customHeight="1" x14ac:dyDescent="0.25">
      <c r="A6510" s="2" t="s">
        <v>6512</v>
      </c>
      <c r="B6510" s="3" t="s">
        <v>4</v>
      </c>
      <c r="C6510" s="2" t="str">
        <f ca="1">IFERROR(__xludf.DUMMYFUNCTION("GOOGLETRANSLATE(A6510,""bn"",""en"")"),"The thermal management of the device is very effective")</f>
        <v>The thermal management of the device is very effective</v>
      </c>
    </row>
    <row r="6511" spans="1:3" ht="15.75" customHeight="1" x14ac:dyDescent="0.25">
      <c r="A6511" s="2" t="s">
        <v>6513</v>
      </c>
      <c r="B6511" s="3" t="s">
        <v>4</v>
      </c>
      <c r="C6511" s="2" t="str">
        <f ca="1">IFERROR(__xludf.DUMMYFUNCTION("GOOGLETRANSLATE(A6511,""bn"",""en"")"),"The pendants are better than I expected I love wearing them everyday")</f>
        <v>The pendants are better than I expected I love wearing them everyday</v>
      </c>
    </row>
    <row r="6512" spans="1:3" ht="15.75" customHeight="1" x14ac:dyDescent="0.25">
      <c r="A6512" s="2" t="s">
        <v>6514</v>
      </c>
      <c r="B6512" s="3" t="s">
        <v>2</v>
      </c>
      <c r="C6512" s="2" t="str">
        <f ca="1">IFERROR(__xludf.DUMMYFUNCTION("GOOGLETRANSLATE(A6512,""bn"",""en"")"),"The formula is designed so that it does not feel heavy on the eyes")</f>
        <v>The formula is designed so that it does not feel heavy on the eyes</v>
      </c>
    </row>
    <row r="6513" spans="1:3" ht="15.75" customHeight="1" x14ac:dyDescent="0.25">
      <c r="A6513" s="2" t="s">
        <v>6515</v>
      </c>
      <c r="B6513" s="3" t="s">
        <v>2</v>
      </c>
      <c r="C6513" s="2" t="str">
        <f ca="1">IFERROR(__xludf.DUMMYFUNCTION("GOOGLETRANSLATE(A6513,""bn"",""en"")"),"The dress looks good but is not very durable")</f>
        <v>The dress looks good but is not very durable</v>
      </c>
    </row>
    <row r="6514" spans="1:3" ht="15.75" customHeight="1" x14ac:dyDescent="0.25">
      <c r="A6514" s="2" t="s">
        <v>6516</v>
      </c>
      <c r="B6514" s="3" t="s">
        <v>4</v>
      </c>
      <c r="C6514" s="2" t="str">
        <f ca="1">IFERROR(__xludf.DUMMYFUNCTION("GOOGLETRANSLATE(A6514,""bn"",""en"")"),"The water glasses that come with the set are stable and beautiful, they don't tip over easily and are comfortable to hold")</f>
        <v>The water glasses that come with the set are stable and beautiful, they don't tip over easily and are comfortable to hold</v>
      </c>
    </row>
    <row r="6515" spans="1:3" ht="15.75" customHeight="1" x14ac:dyDescent="0.25">
      <c r="A6515" s="2" t="s">
        <v>6517</v>
      </c>
      <c r="B6515" s="3" t="s">
        <v>6</v>
      </c>
      <c r="C6515" s="2" t="str">
        <f ca="1">IFERROR(__xludf.DUMMYFUNCTION("GOOGLETRANSLATE(A6515,""bn"",""en"")"),"The stitch comes undone in the stitch causing loss of shape")</f>
        <v>The stitch comes undone in the stitch causing loss of shape</v>
      </c>
    </row>
    <row r="6516" spans="1:3" ht="15.75" customHeight="1" x14ac:dyDescent="0.25">
      <c r="A6516" s="2" t="s">
        <v>6518</v>
      </c>
      <c r="B6516" s="3" t="s">
        <v>4</v>
      </c>
      <c r="C6516" s="2" t="str">
        <f ca="1">IFERROR(__xludf.DUMMYFUNCTION("GOOGLETRANSLATE(A6516,""bn"",""en"")"),"Brings a touch of nature into the home")</f>
        <v>Brings a touch of nature into the home</v>
      </c>
    </row>
    <row r="6517" spans="1:3" ht="15.75" customHeight="1" x14ac:dyDescent="0.25">
      <c r="A6517" s="2" t="s">
        <v>6519</v>
      </c>
      <c r="B6517" s="3" t="s">
        <v>2</v>
      </c>
      <c r="C6517" s="2" t="str">
        <f ca="1">IFERROR(__xludf.DUMMYFUNCTION("GOOGLETRANSLATE(A6517,""bn"",""en"")"),"Pocketsize water quality tester tests water but drains battery quickly")</f>
        <v>Pocketsize water quality tester tests water but drains battery quickly</v>
      </c>
    </row>
    <row r="6518" spans="1:3" ht="15.75" customHeight="1" x14ac:dyDescent="0.25">
      <c r="A6518" s="2" t="s">
        <v>6520</v>
      </c>
      <c r="B6518" s="3" t="s">
        <v>4</v>
      </c>
      <c r="C6518" s="2" t="str">
        <f ca="1">IFERROR(__xludf.DUMMYFUNCTION("GOOGLETRANSLATE(A6518,""bn"",""en"")"),"Each level of the shelf is equal in size")</f>
        <v>Each level of the shelf is equal in size</v>
      </c>
    </row>
    <row r="6519" spans="1:3" ht="15.75" customHeight="1" x14ac:dyDescent="0.25">
      <c r="A6519" s="2" t="s">
        <v>6521</v>
      </c>
      <c r="B6519" s="3" t="s">
        <v>4</v>
      </c>
      <c r="C6519" s="2" t="str">
        <f ca="1">IFERROR(__xludf.DUMMYFUNCTION("GOOGLETRANSLATE(A6519,""bn"",""en"")"),"This shampoo makes the hair healthy and beautiful")</f>
        <v>This shampoo makes the hair healthy and beautiful</v>
      </c>
    </row>
    <row r="6520" spans="1:3" ht="15.75" customHeight="1" x14ac:dyDescent="0.25">
      <c r="A6520" s="2" t="s">
        <v>6522</v>
      </c>
      <c r="B6520" s="3" t="s">
        <v>2</v>
      </c>
      <c r="C6520" s="2" t="str">
        <f ca="1">IFERROR(__xludf.DUMMYFUNCTION("GOOGLETRANSLATE(A6520,""bn"",""en"")"),"The color is neutral, neither good nor bad")</f>
        <v>The color is neutral, neither good nor bad</v>
      </c>
    </row>
    <row r="6521" spans="1:3" ht="15.75" customHeight="1" x14ac:dyDescent="0.25">
      <c r="A6521" s="2" t="s">
        <v>6523</v>
      </c>
      <c r="B6521" s="3" t="s">
        <v>6</v>
      </c>
      <c r="C6521" s="2" t="str">
        <f ca="1">IFERROR(__xludf.DUMMYFUNCTION("GOOGLETRANSLATE(A6521,""bn"",""en"")"),"Hollow words indicate low quality")</f>
        <v>Hollow words indicate low quality</v>
      </c>
    </row>
    <row r="6522" spans="1:3" ht="15.75" customHeight="1" x14ac:dyDescent="0.25">
      <c r="A6522" s="2" t="s">
        <v>6524</v>
      </c>
      <c r="B6522" s="3" t="s">
        <v>2</v>
      </c>
      <c r="C6522" s="2" t="str">
        <f ca="1">IFERROR(__xludf.DUMMYFUNCTION("GOOGLETRANSLATE(A6522,""bn"",""en"")"),"Buying these speakers has completely changed my music listening experience")</f>
        <v>Buying these speakers has completely changed my music listening experience</v>
      </c>
    </row>
    <row r="6523" spans="1:3" ht="15.75" customHeight="1" x14ac:dyDescent="0.25">
      <c r="A6523" s="2" t="s">
        <v>6525</v>
      </c>
      <c r="B6523" s="3" t="s">
        <v>6</v>
      </c>
      <c r="C6523" s="2" t="str">
        <f ca="1">IFERROR(__xludf.DUMMYFUNCTION("GOOGLETRANSLATE(A6523,""bn"",""en"")"),"The brushes had rough bristles that left streaks in the paint")</f>
        <v>The brushes had rough bristles that left streaks in the paint</v>
      </c>
    </row>
    <row r="6524" spans="1:3" ht="15.75" customHeight="1" x14ac:dyDescent="0.25">
      <c r="A6524" s="2" t="s">
        <v>6526</v>
      </c>
      <c r="B6524" s="3" t="s">
        <v>2</v>
      </c>
      <c r="C6524" s="2" t="str">
        <f ca="1">IFERROR(__xludf.DUMMYFUNCTION("GOOGLETRANSLATE(A6524,""bn"",""en"")"),"Can be used in cars")</f>
        <v>Can be used in cars</v>
      </c>
    </row>
    <row r="6525" spans="1:3" ht="15.75" customHeight="1" x14ac:dyDescent="0.25">
      <c r="A6525" s="2" t="s">
        <v>6527</v>
      </c>
      <c r="B6525" s="3" t="s">
        <v>6</v>
      </c>
      <c r="C6525" s="2" t="str">
        <f ca="1">IFERROR(__xludf.DUMMYFUNCTION("GOOGLETRANSLATE(A6525,""bn"",""en"")"),"Buttons on the control panel are difficult to press and require excessive force")</f>
        <v>Buttons on the control panel are difficult to press and require excessive force</v>
      </c>
    </row>
    <row r="6526" spans="1:3" ht="15.75" customHeight="1" x14ac:dyDescent="0.25">
      <c r="A6526" s="2" t="s">
        <v>6528</v>
      </c>
      <c r="B6526" s="3" t="s">
        <v>2</v>
      </c>
      <c r="C6526" s="2" t="str">
        <f ca="1">IFERROR(__xludf.DUMMYFUNCTION("GOOGLETRANSLATE(A6526,""bn"",""en"")"),"Easy to clean but difficult to remove odors")</f>
        <v>Easy to clean but difficult to remove odors</v>
      </c>
    </row>
    <row r="6527" spans="1:3" ht="15.75" customHeight="1" x14ac:dyDescent="0.25">
      <c r="A6527" s="2" t="s">
        <v>6529</v>
      </c>
      <c r="B6527" s="3" t="s">
        <v>4</v>
      </c>
      <c r="C6527" s="2" t="str">
        <f ca="1">IFERROR(__xludf.DUMMYFUNCTION("GOOGLETRANSLATE(A6527,""bn"",""en"")"),"The dress is great for everyday use")</f>
        <v>The dress is great for everyday use</v>
      </c>
    </row>
    <row r="6528" spans="1:3" ht="15.75" customHeight="1" x14ac:dyDescent="0.25">
      <c r="A6528" s="2" t="s">
        <v>6530</v>
      </c>
      <c r="B6528" s="3" t="s">
        <v>6</v>
      </c>
      <c r="C6528" s="2" t="str">
        <f ca="1">IFERROR(__xludf.DUMMYFUNCTION("GOOGLETRANSLATE(A6528,""bn"",""en"")")," Interior lights flicker and dim occasionally indicating an electrical problem")</f>
        <v xml:space="preserve"> Interior lights flicker and dim occasionally indicating an electrical problem</v>
      </c>
    </row>
    <row r="6529" spans="1:3" ht="15.75" customHeight="1" x14ac:dyDescent="0.25">
      <c r="A6529" s="2" t="s">
        <v>6531</v>
      </c>
      <c r="B6529" s="3" t="s">
        <v>6</v>
      </c>
      <c r="C6529" s="2" t="str">
        <f ca="1">IFERROR(__xludf.DUMMYFUNCTION("GOOGLETRANSLATE(A6529,""bn"",""en"")"),"Unsatisfactory performance repeated errors")</f>
        <v>Unsatisfactory performance repeated errors</v>
      </c>
    </row>
    <row r="6530" spans="1:3" ht="15.75" customHeight="1" x14ac:dyDescent="0.25">
      <c r="A6530" s="2" t="s">
        <v>6532</v>
      </c>
      <c r="B6530" s="3" t="s">
        <v>4</v>
      </c>
      <c r="C6530" s="2" t="str">
        <f ca="1">IFERROR(__xludf.DUMMYFUNCTION("GOOGLETRANSLATE(A6530,""bn"",""en"")"),"Every page of the book comes alive")</f>
        <v>Every page of the book comes alive</v>
      </c>
    </row>
    <row r="6531" spans="1:3" ht="15.75" customHeight="1" x14ac:dyDescent="0.25">
      <c r="A6531" s="2" t="s">
        <v>6533</v>
      </c>
      <c r="B6531" s="3" t="s">
        <v>4</v>
      </c>
      <c r="C6531" s="2" t="str">
        <f ca="1">IFERROR(__xludf.DUMMYFUNCTION("GOOGLETRANSLATE(A6531,""bn"",""en"")"),"Even after multiple washes, the quality of the fabric is good")</f>
        <v>Even after multiple washes, the quality of the fabric is good</v>
      </c>
    </row>
    <row r="6532" spans="1:3" ht="15.75" customHeight="1" x14ac:dyDescent="0.25">
      <c r="A6532" s="2" t="s">
        <v>6534</v>
      </c>
      <c r="B6532" s="3" t="s">
        <v>2</v>
      </c>
      <c r="C6532" s="2" t="str">
        <f ca="1">IFERROR(__xludf.DUMMYFUNCTION("GOOGLETRANSLATE(A6532,""bn"",""en"")"),"Although the fertilizer was cost effective, the yield was somewhat low")</f>
        <v>Although the fertilizer was cost effective, the yield was somewhat low</v>
      </c>
    </row>
    <row r="6533" spans="1:3" ht="15.75" customHeight="1" x14ac:dyDescent="0.25">
      <c r="A6533" s="2" t="s">
        <v>6535</v>
      </c>
      <c r="B6533" s="3" t="s">
        <v>2</v>
      </c>
      <c r="C6533" s="2" t="str">
        <f ca="1">IFERROR(__xludf.DUMMYFUNCTION("GOOGLETRANSLATE(A6533,""bn"",""en"")"),"It lives up to expectations")</f>
        <v>It lives up to expectations</v>
      </c>
    </row>
    <row r="6534" spans="1:3" ht="15.75" customHeight="1" x14ac:dyDescent="0.25">
      <c r="A6534" s="2" t="s">
        <v>6536</v>
      </c>
      <c r="B6534" s="3" t="s">
        <v>2</v>
      </c>
      <c r="C6534" s="2" t="str">
        <f ca="1">IFERROR(__xludf.DUMMYFUNCTION("GOOGLETRANSLATE(A6534,""bn"",""en"")"),"The digital coin sorter sorts coins but is prone to errors")</f>
        <v>The digital coin sorter sorts coins but is prone to errors</v>
      </c>
    </row>
    <row r="6535" spans="1:3" ht="15.75" customHeight="1" x14ac:dyDescent="0.25">
      <c r="A6535" s="2" t="s">
        <v>6537</v>
      </c>
      <c r="B6535" s="3" t="s">
        <v>4</v>
      </c>
      <c r="C6535" s="2" t="str">
        <f ca="1">IFERROR(__xludf.DUMMYFUNCTION("GOOGLETRANSLATE(A6535,""bn"",""en"")"),"Tiffin box is perfect for keeping food hot")</f>
        <v>Tiffin box is perfect for keeping food hot</v>
      </c>
    </row>
    <row r="6536" spans="1:3" ht="15.75" customHeight="1" x14ac:dyDescent="0.25">
      <c r="A6536" s="2" t="s">
        <v>6538</v>
      </c>
      <c r="B6536" s="3" t="s">
        <v>6</v>
      </c>
      <c r="C6536" s="2" t="str">
        <f ca="1">IFERROR(__xludf.DUMMYFUNCTION("GOOGLETRANSLATE(A6536,""bn"",""en"")"),"Unsealed package product safety is uncertain")</f>
        <v>Unsealed package product safety is uncertain</v>
      </c>
    </row>
    <row r="6537" spans="1:3" ht="15.75" customHeight="1" x14ac:dyDescent="0.25">
      <c r="A6537" s="2" t="s">
        <v>6539</v>
      </c>
      <c r="B6537" s="3" t="s">
        <v>4</v>
      </c>
      <c r="C6537" s="2" t="str">
        <f ca="1">IFERROR(__xludf.DUMMYFUNCTION("GOOGLETRANSLATE(A6537,""bn"",""en"")"),"This mascara makes my lashes incredibly long and thick")</f>
        <v>This mascara makes my lashes incredibly long and thick</v>
      </c>
    </row>
    <row r="6538" spans="1:3" ht="15.75" customHeight="1" x14ac:dyDescent="0.25">
      <c r="A6538" s="2" t="s">
        <v>6540</v>
      </c>
      <c r="B6538" s="3" t="s">
        <v>6</v>
      </c>
      <c r="C6538" s="2" t="str">
        <f ca="1">IFERROR(__xludf.DUMMYFUNCTION("GOOGLETRANSLATE(A6538,""bn"",""en"")"),"The paint tubes were hard to squeeze which hindered application")</f>
        <v>The paint tubes were hard to squeeze which hindered application</v>
      </c>
    </row>
    <row r="6539" spans="1:3" ht="15.75" customHeight="1" x14ac:dyDescent="0.25">
      <c r="A6539" s="2" t="s">
        <v>6541</v>
      </c>
      <c r="B6539" s="3" t="s">
        <v>2</v>
      </c>
      <c r="C6539" s="2" t="str">
        <f ca="1">IFERROR(__xludf.DUMMYFUNCTION("GOOGLETRANSLATE(A6539,""bn"",""en"")"),"Replaced my iPods but have some regrets")</f>
        <v>Replaced my iPods but have some regrets</v>
      </c>
    </row>
    <row r="6540" spans="1:3" ht="15.75" customHeight="1" x14ac:dyDescent="0.25">
      <c r="A6540" s="2" t="s">
        <v>6542</v>
      </c>
      <c r="B6540" s="3" t="s">
        <v>2</v>
      </c>
      <c r="C6540" s="2" t="str">
        <f ca="1">IFERROR(__xludf.DUMMYFUNCTION("GOOGLETRANSLATE(A6540,""bn"",""en"")"),"The color white will match the other furniture")</f>
        <v>The color white will match the other furniture</v>
      </c>
    </row>
    <row r="6541" spans="1:3" ht="15.75" customHeight="1" x14ac:dyDescent="0.25">
      <c r="A6541" s="2" t="s">
        <v>6543</v>
      </c>
      <c r="B6541" s="3" t="s">
        <v>4</v>
      </c>
      <c r="C6541" s="2" t="str">
        <f ca="1">IFERROR(__xludf.DUMMYFUNCTION("GOOGLETRANSLATE(A6541,""bn"",""en"")"),"The Seagate Portable TB external hard drive is a reliable storage solution for all your devices")</f>
        <v>The Seagate Portable TB external hard drive is a reliable storage solution for all your devices</v>
      </c>
    </row>
    <row r="6542" spans="1:3" ht="15.75" customHeight="1" x14ac:dyDescent="0.25">
      <c r="A6542" s="2" t="s">
        <v>6544</v>
      </c>
      <c r="B6542" s="3" t="s">
        <v>4</v>
      </c>
      <c r="C6542" s="2" t="str">
        <f ca="1">IFERROR(__xludf.DUMMYFUNCTION("GOOGLETRANSLATE(A6542,""bn"",""en"")"),"Through this I feel a kind of peace")</f>
        <v>Through this I feel a kind of peace</v>
      </c>
    </row>
    <row r="6543" spans="1:3" ht="15.75" customHeight="1" x14ac:dyDescent="0.25">
      <c r="A6543" s="2" t="s">
        <v>6545</v>
      </c>
      <c r="B6543" s="3" t="s">
        <v>2</v>
      </c>
      <c r="C6543" s="2" t="str">
        <f ca="1">IFERROR(__xludf.DUMMYFUNCTION("GOOGLETRANSLATE(A6543,""bn"",""en"")"),"Size is ok nothing special")</f>
        <v>Size is ok nothing special</v>
      </c>
    </row>
    <row r="6544" spans="1:3" ht="15.75" customHeight="1" x14ac:dyDescent="0.25">
      <c r="A6544" s="2" t="s">
        <v>6546</v>
      </c>
      <c r="B6544" s="3" t="s">
        <v>4</v>
      </c>
      <c r="C6544" s="2" t="str">
        <f ca="1">IFERROR(__xludf.DUMMYFUNCTION("GOOGLETRANSLATE(A6544,""bn"",""en"")"),"The aroma of the tea is so pleasant that I can even use it as an aromatherapy")</f>
        <v>The aroma of the tea is so pleasant that I can even use it as an aromatherapy</v>
      </c>
    </row>
    <row r="6545" spans="1:3" ht="15.75" customHeight="1" x14ac:dyDescent="0.25">
      <c r="A6545" s="2" t="s">
        <v>6547</v>
      </c>
      <c r="B6545" s="3" t="s">
        <v>2</v>
      </c>
      <c r="C6545" s="2" t="str">
        <f ca="1">IFERROR(__xludf.DUMMYFUNCTION("GOOGLETRANSLATE(A6545,""bn"",""en"")"),"Fertilizer is cost effective but yield is not increased much")</f>
        <v>Fertilizer is cost effective but yield is not increased much</v>
      </c>
    </row>
    <row r="6546" spans="1:3" ht="15.75" customHeight="1" x14ac:dyDescent="0.25">
      <c r="A6546" s="2" t="s">
        <v>6548</v>
      </c>
      <c r="B6546" s="3" t="s">
        <v>2</v>
      </c>
      <c r="C6546" s="2" t="str">
        <f ca="1">IFERROR(__xludf.DUMMYFUNCTION("GOOGLETRANSLATE(A6546,""bn"",""en"")"),"Weight is difficult to transfer alone")</f>
        <v>Weight is difficult to transfer alone</v>
      </c>
    </row>
    <row r="6547" spans="1:3" ht="15.75" customHeight="1" x14ac:dyDescent="0.25">
      <c r="A6547" s="2" t="s">
        <v>6549</v>
      </c>
      <c r="B6547" s="3" t="s">
        <v>4</v>
      </c>
      <c r="C6547" s="2" t="str">
        <f ca="1">IFERROR(__xludf.DUMMYFUNCTION("GOOGLETRANSLATE(A6547,""bn"",""en"")"),"The watch is very durable and works beautifully")</f>
        <v>The watch is very durable and works beautifully</v>
      </c>
    </row>
    <row r="6548" spans="1:3" ht="15.75" customHeight="1" x14ac:dyDescent="0.25">
      <c r="A6548" s="2" t="s">
        <v>6550</v>
      </c>
      <c r="B6548" s="3" t="s">
        <v>6</v>
      </c>
      <c r="C6548" s="2" t="str">
        <f ca="1">IFERROR(__xludf.DUMMYFUNCTION("GOOGLETRANSLATE(A6548,""bn"",""en"")"),"Smart Light Switch Error Flickering uncontrollably")</f>
        <v>Smart Light Switch Error Flickering uncontrollably</v>
      </c>
    </row>
    <row r="6549" spans="1:3" ht="15.75" customHeight="1" x14ac:dyDescent="0.25">
      <c r="A6549" s="2" t="s">
        <v>6551</v>
      </c>
      <c r="B6549" s="3" t="s">
        <v>6</v>
      </c>
      <c r="C6549" s="2" t="str">
        <f ca="1">IFERROR(__xludf.DUMMYFUNCTION("GOOGLETRANSLATE(A6549,""bn"",""en"")"),"Shoes emit a strong chemical odor that indicates poor ventilation and potentially harmful substances")</f>
        <v>Shoes emit a strong chemical odor that indicates poor ventilation and potentially harmful substances</v>
      </c>
    </row>
    <row r="6550" spans="1:3" ht="15.75" customHeight="1" x14ac:dyDescent="0.25">
      <c r="A6550" s="2" t="s">
        <v>6552</v>
      </c>
      <c r="B6550" s="3" t="s">
        <v>4</v>
      </c>
      <c r="C6550" s="2" t="str">
        <f ca="1">IFERROR(__xludf.DUMMYFUNCTION("GOOGLETRANSLATE(A6550,""bn"",""en"")"),"The formula of the beauty soap is very mild")</f>
        <v>The formula of the beauty soap is very mild</v>
      </c>
    </row>
    <row r="6551" spans="1:3" ht="15.75" customHeight="1" x14ac:dyDescent="0.25">
      <c r="A6551" s="2" t="s">
        <v>6553</v>
      </c>
      <c r="B6551" s="3" t="s">
        <v>2</v>
      </c>
      <c r="C6551" s="2" t="str">
        <f ca="1">IFERROR(__xludf.DUMMYFUNCTION("GOOGLETRANSLATE(A6551,""bn"",""en"")"),"The quality is acceptable for the price")</f>
        <v>The quality is acceptable for the price</v>
      </c>
    </row>
    <row r="6552" spans="1:3" ht="15.75" customHeight="1" x14ac:dyDescent="0.25">
      <c r="A6552" s="2" t="s">
        <v>6554</v>
      </c>
      <c r="B6552" s="3" t="s">
        <v>6</v>
      </c>
      <c r="C6552" s="2" t="str">
        <f ca="1">IFERROR(__xludf.DUMMYFUNCTION("GOOGLETRANSLATE(A6552,""bn"",""en"")"),"The canopy of the baby's stroller was torn, exposing the baby to direct sunlight")</f>
        <v>The canopy of the baby's stroller was torn, exposing the baby to direct sunlight</v>
      </c>
    </row>
    <row r="6553" spans="1:3" ht="15.75" customHeight="1" x14ac:dyDescent="0.25">
      <c r="A6553" s="2" t="s">
        <v>6555</v>
      </c>
      <c r="B6553" s="3" t="s">
        <v>6</v>
      </c>
      <c r="C6553" s="2" t="str">
        <f ca="1">IFERROR(__xludf.DUMMYFUNCTION("GOOGLETRANSLATE(A6553,""bn"",""en"")"),"The novelty item had novelty value but quickly lost its appeal and ended up as clutter in my home rather than cherished possessions.")</f>
        <v>The novelty item had novelty value but quickly lost its appeal and ended up as clutter in my home rather than cherished possessions.</v>
      </c>
    </row>
    <row r="6554" spans="1:3" ht="15.75" customHeight="1" x14ac:dyDescent="0.25">
      <c r="A6554" s="2" t="s">
        <v>6556</v>
      </c>
      <c r="B6554" s="3" t="s">
        <v>2</v>
      </c>
      <c r="C6554" s="2" t="str">
        <f ca="1">IFERROR(__xludf.DUMMYFUNCTION("GOOGLETRANSLATE(A6554,""bn"",""en"")"),"Ok nothing great")</f>
        <v>Ok nothing great</v>
      </c>
    </row>
    <row r="6555" spans="1:3" ht="15.75" customHeight="1" x14ac:dyDescent="0.25">
      <c r="A6555" s="2" t="s">
        <v>6557</v>
      </c>
      <c r="B6555" s="3" t="s">
        <v>4</v>
      </c>
      <c r="C6555" s="2" t="str">
        <f ca="1">IFERROR(__xludf.DUMMYFUNCTION("GOOGLETRANSLATE(A6555,""bn"",""en"")"),"Very quiet which is perfect for sleeping")</f>
        <v>Very quiet which is perfect for sleeping</v>
      </c>
    </row>
    <row r="6556" spans="1:3" ht="15.75" customHeight="1" x14ac:dyDescent="0.25">
      <c r="A6556" s="2" t="s">
        <v>6558</v>
      </c>
      <c r="B6556" s="3" t="s">
        <v>2</v>
      </c>
      <c r="C6556" s="2" t="str">
        <f ca="1">IFERROR(__xludf.DUMMYFUNCTION("GOOGLETRANSLATE(A6556,""bn"",""en"")"),"It's OK but not exceptional")</f>
        <v>It's OK but not exceptional</v>
      </c>
    </row>
    <row r="6557" spans="1:3" ht="15.75" customHeight="1" x14ac:dyDescent="0.25">
      <c r="A6557" s="2" t="s">
        <v>6559</v>
      </c>
      <c r="B6557" s="3" t="s">
        <v>4</v>
      </c>
      <c r="C6557" s="2" t="str">
        <f ca="1">IFERROR(__xludf.DUMMYFUNCTION("GOOGLETRANSLATE(A6557,""bn"",""en"")"),"Makeup brushes work with different colors")</f>
        <v>Makeup brushes work with different colors</v>
      </c>
    </row>
    <row r="6558" spans="1:3" ht="15.75" customHeight="1" x14ac:dyDescent="0.25">
      <c r="A6558" s="2" t="s">
        <v>6560</v>
      </c>
      <c r="B6558" s="3" t="s">
        <v>2</v>
      </c>
      <c r="C6558" s="2" t="str">
        <f ca="1">IFERROR(__xludf.DUMMYFUNCTION("GOOGLETRANSLATE(A6558,""bn"",""en"")"),"Night vision is good but may not meet all needs")</f>
        <v>Night vision is good but may not meet all needs</v>
      </c>
    </row>
    <row r="6559" spans="1:3" ht="15.75" customHeight="1" x14ac:dyDescent="0.25">
      <c r="A6559" s="2" t="s">
        <v>6561</v>
      </c>
      <c r="B6559" s="3" t="s">
        <v>2</v>
      </c>
      <c r="C6559" s="2" t="str">
        <f ca="1">IFERROR(__xludf.DUMMYFUNCTION("GOOGLETRANSLATE(A6559,""bn"",""en"")"),"Although the price of fertilizer is slightly higher, the health of the plants has improved")</f>
        <v>Although the price of fertilizer is slightly higher, the health of the plants has improved</v>
      </c>
    </row>
    <row r="6560" spans="1:3" ht="15.75" customHeight="1" x14ac:dyDescent="0.25">
      <c r="A6560" s="2" t="s">
        <v>6562</v>
      </c>
      <c r="B6560" s="3" t="s">
        <v>4</v>
      </c>
      <c r="C6560" s="2" t="str">
        <f ca="1">IFERROR(__xludf.DUMMYFUNCTION("GOOGLETRANSLATE(A6560,""bn"",""en"")"),"It is very lightweight and portable")</f>
        <v>It is very lightweight and portable</v>
      </c>
    </row>
    <row r="6561" spans="1:3" ht="15.75" customHeight="1" x14ac:dyDescent="0.25">
      <c r="A6561" s="2" t="s">
        <v>6563</v>
      </c>
      <c r="B6561" s="3" t="s">
        <v>6</v>
      </c>
      <c r="C6561" s="2" t="str">
        <f ca="1">IFERROR(__xludf.DUMMYFUNCTION("GOOGLETRANSLATE(A6561,""bn"",""en"")"),"Butter feels greasy and doesn't absorb well")</f>
        <v>Butter feels greasy and doesn't absorb well</v>
      </c>
    </row>
    <row r="6562" spans="1:3" ht="15.75" customHeight="1" x14ac:dyDescent="0.25">
      <c r="A6562" s="2" t="s">
        <v>6564</v>
      </c>
      <c r="B6562" s="3" t="s">
        <v>4</v>
      </c>
      <c r="C6562" s="2" t="str">
        <f ca="1">IFERROR(__xludf.DUMMYFUNCTION("GOOGLETRANSLATE(A6562,""bn"",""en"")"),"Side tables have built-in coasters")</f>
        <v>Side tables have built-in coasters</v>
      </c>
    </row>
    <row r="6563" spans="1:3" ht="15.75" customHeight="1" x14ac:dyDescent="0.25">
      <c r="A6563" s="2" t="s">
        <v>6565</v>
      </c>
      <c r="B6563" s="3" t="s">
        <v>6</v>
      </c>
      <c r="C6563" s="2" t="str">
        <f ca="1">IFERROR(__xludf.DUMMYFUNCTION("GOOGLETRANSLATE(A6563,""bn"",""en"")"),"The paint set had limited color options")</f>
        <v>The paint set had limited color options</v>
      </c>
    </row>
    <row r="6564" spans="1:3" ht="15.75" customHeight="1" x14ac:dyDescent="0.25">
      <c r="A6564" s="2" t="s">
        <v>6566</v>
      </c>
      <c r="B6564" s="3" t="s">
        <v>4</v>
      </c>
      <c r="C6564" s="2" t="str">
        <f ca="1">IFERROR(__xludf.DUMMYFUNCTION("GOOGLETRANSLATE(A6564,""bn"",""en"")"),"The blanket brings so much comfort to my winter nights")</f>
        <v>The blanket brings so much comfort to my winter nights</v>
      </c>
    </row>
    <row r="6565" spans="1:3" ht="15.75" customHeight="1" x14ac:dyDescent="0.25">
      <c r="A6565" s="2" t="s">
        <v>6567</v>
      </c>
      <c r="B6565" s="3" t="s">
        <v>6</v>
      </c>
      <c r="C6565" s="2" t="str">
        <f ca="1">IFERROR(__xludf.DUMMYFUNCTION("GOOGLETRANSLATE(A6565,""bn"",""en"")"),"The battery life of a hand vacuum is too short for a thorough cleaning session")</f>
        <v>The battery life of a hand vacuum is too short for a thorough cleaning session</v>
      </c>
    </row>
    <row r="6566" spans="1:3" ht="15.75" customHeight="1" x14ac:dyDescent="0.25">
      <c r="A6566" s="2" t="s">
        <v>6568</v>
      </c>
      <c r="B6566" s="3" t="s">
        <v>4</v>
      </c>
      <c r="C6566" s="2" t="str">
        <f ca="1">IFERROR(__xludf.DUMMYFUNCTION("GOOGLETRANSLATE(A6566,""bn"",""en"")"),"Fast charging and sturdy")</f>
        <v>Fast charging and sturdy</v>
      </c>
    </row>
    <row r="6567" spans="1:3" ht="15.75" customHeight="1" x14ac:dyDescent="0.25">
      <c r="A6567" s="2" t="s">
        <v>6569</v>
      </c>
      <c r="B6567" s="3" t="s">
        <v>2</v>
      </c>
      <c r="C6567" s="2" t="str">
        <f ca="1">IFERROR(__xludf.DUMMYFUNCTION("GOOGLETRANSLATE(A6567,""bn"",""en"")"),"Some parts of the egg are dry")</f>
        <v>Some parts of the egg are dry</v>
      </c>
    </row>
    <row r="6568" spans="1:3" ht="15.75" customHeight="1" x14ac:dyDescent="0.25">
      <c r="A6568" s="2" t="s">
        <v>6570</v>
      </c>
      <c r="B6568" s="3" t="s">
        <v>2</v>
      </c>
      <c r="C6568" s="2" t="str">
        <f ca="1">IFERROR(__xludf.DUMMYFUNCTION("GOOGLETRANSLATE(A6568,""bn"",""en"")"),"The edges of the pad feel a bit uneven")</f>
        <v>The edges of the pad feel a bit uneven</v>
      </c>
    </row>
    <row r="6569" spans="1:3" ht="15.75" customHeight="1" x14ac:dyDescent="0.25">
      <c r="A6569" s="2" t="s">
        <v>6571</v>
      </c>
      <c r="B6569" s="3" t="s">
        <v>2</v>
      </c>
      <c r="C6569" s="2" t="str">
        <f ca="1">IFERROR(__xludf.DUMMYFUNCTION("GOOGLETRANSLATE(A6569,""bn"",""en"")"),"Far from perfect")</f>
        <v>Far from perfect</v>
      </c>
    </row>
    <row r="6570" spans="1:3" ht="15.75" customHeight="1" x14ac:dyDescent="0.25">
      <c r="A6570" s="2" t="s">
        <v>6572</v>
      </c>
      <c r="B6570" s="3" t="s">
        <v>2</v>
      </c>
      <c r="C6570" s="2" t="str">
        <f ca="1">IFERROR(__xludf.DUMMYFUNCTION("GOOGLETRANSLATE(A6570,""bn"",""en"")"),"The product works well but may not be suitable for all projects")</f>
        <v>The product works well but may not be suitable for all projects</v>
      </c>
    </row>
    <row r="6571" spans="1:3" ht="15.75" customHeight="1" x14ac:dyDescent="0.25">
      <c r="A6571" s="2" t="s">
        <v>6573</v>
      </c>
      <c r="B6571" s="3" t="s">
        <v>6</v>
      </c>
      <c r="C6571" s="2" t="str">
        <f ca="1">IFERROR(__xludf.DUMMYFUNCTION("GOOGLETRANSLATE(A6571,""bn"",""en"")"),"The product did not offer the features I needed")</f>
        <v>The product did not offer the features I needed</v>
      </c>
    </row>
    <row r="6572" spans="1:3" ht="15.75" customHeight="1" x14ac:dyDescent="0.25">
      <c r="A6572" s="2" t="s">
        <v>6574</v>
      </c>
      <c r="B6572" s="3" t="s">
        <v>6</v>
      </c>
      <c r="C6572" s="2" t="str">
        <f ca="1">IFERROR(__xludf.DUMMYFUNCTION("GOOGLETRANSLATE(A6572,""bn"",""en"")"),"Wire insulation smells burnt when used which raises safety concerns")</f>
        <v>Wire insulation smells burnt when used which raises safety concerns</v>
      </c>
    </row>
    <row r="6573" spans="1:3" ht="15.75" customHeight="1" x14ac:dyDescent="0.25">
      <c r="A6573" s="2" t="s">
        <v>6575</v>
      </c>
      <c r="B6573" s="3" t="s">
        <v>6</v>
      </c>
      <c r="C6573" s="2" t="str">
        <f ca="1">IFERROR(__xludf.DUMMYFUNCTION("GOOGLETRANSLATE(A6573,""bn"",""en"")"),"The dress comes with missing embellishments making it look incomplete and unfinished")</f>
        <v>The dress comes with missing embellishments making it look incomplete and unfinished</v>
      </c>
    </row>
    <row r="6574" spans="1:3" ht="15.75" customHeight="1" x14ac:dyDescent="0.25">
      <c r="A6574" s="2" t="s">
        <v>6576</v>
      </c>
      <c r="B6574" s="3" t="s">
        <v>2</v>
      </c>
      <c r="C6574" s="2" t="str">
        <f ca="1">IFERROR(__xludf.DUMMYFUNCTION("GOOGLETRANSLATE(A6574,""bn"",""en"")"),"It presents a food experience but not for everyone")</f>
        <v>It presents a food experience but not for everyone</v>
      </c>
    </row>
    <row r="6575" spans="1:3" ht="15.75" customHeight="1" x14ac:dyDescent="0.25">
      <c r="A6575" s="2" t="s">
        <v>6577</v>
      </c>
      <c r="B6575" s="3" t="s">
        <v>6</v>
      </c>
      <c r="C6575" s="2" t="str">
        <f ca="1">IFERROR(__xludf.DUMMYFUNCTION("GOOGLETRANSLATE(A6575,""bn"",""en"")"),"Pre-made sandwiches were soggy and not filling with stale bread and lettuce")</f>
        <v>Pre-made sandwiches were soggy and not filling with stale bread and lettuce</v>
      </c>
    </row>
    <row r="6576" spans="1:3" ht="15.75" customHeight="1" x14ac:dyDescent="0.25">
      <c r="A6576" s="2" t="s">
        <v>6578</v>
      </c>
      <c r="B6576" s="3" t="s">
        <v>2</v>
      </c>
      <c r="C6576" s="2" t="str">
        <f ca="1">IFERROR(__xludf.DUMMYFUNCTION("GOOGLETRANSLATE(A6576,""bn"",""en"")"),"Although somewhat beneficial, the long-term effect of the fertilizer was not great")</f>
        <v>Although somewhat beneficial, the long-term effect of the fertilizer was not great</v>
      </c>
    </row>
    <row r="6577" spans="1:3" ht="15.75" customHeight="1" x14ac:dyDescent="0.25">
      <c r="A6577" s="2" t="s">
        <v>6579</v>
      </c>
      <c r="B6577" s="3" t="s">
        <v>6</v>
      </c>
      <c r="C6577" s="2" t="str">
        <f ca="1">IFERROR(__xludf.DUMMYFUNCTION("GOOGLETRANSLATE(A6577,""bn"",""en"")"),"Product design lacked creativity and imagination")</f>
        <v>Product design lacked creativity and imagination</v>
      </c>
    </row>
    <row r="6578" spans="1:3" ht="15.75" customHeight="1" x14ac:dyDescent="0.25">
      <c r="A6578" s="2" t="s">
        <v>6580</v>
      </c>
      <c r="B6578" s="3" t="s">
        <v>4</v>
      </c>
      <c r="C6578" s="2" t="str">
        <f ca="1">IFERROR(__xludf.DUMMYFUNCTION("GOOGLETRANSLATE(A6578,""bn"",""en"")"),"The child is very interested in learning new school subjects")</f>
        <v>The child is very interested in learning new school subjects</v>
      </c>
    </row>
    <row r="6579" spans="1:3" ht="15.75" customHeight="1" x14ac:dyDescent="0.25">
      <c r="A6579" s="2" t="s">
        <v>6581</v>
      </c>
      <c r="B6579" s="3" t="s">
        <v>2</v>
      </c>
      <c r="C6579" s="2" t="str">
        <f ca="1">IFERROR(__xludf.DUMMYFUNCTION("GOOGLETRANSLATE(A6579,""bn"",""en"")")," The result is good, but if it becomes a little open, it becomes difficult to use")</f>
        <v xml:space="preserve"> The result is good, but if it becomes a little open, it becomes difficult to use</v>
      </c>
    </row>
    <row r="6580" spans="1:3" ht="15.75" customHeight="1" x14ac:dyDescent="0.25">
      <c r="A6580" s="2" t="s">
        <v>6582</v>
      </c>
      <c r="B6580" s="3" t="s">
        <v>4</v>
      </c>
      <c r="C6580" s="2" t="str">
        <f ca="1">IFERROR(__xludf.DUMMYFUNCTION("GOOGLETRANSLATE(A6580,""bn"",""en"")"),"This gaming keyboard is very comfortable to type on")</f>
        <v>This gaming keyboard is very comfortable to type on</v>
      </c>
    </row>
    <row r="6581" spans="1:3" ht="15.75" customHeight="1" x14ac:dyDescent="0.25">
      <c r="A6581" s="2" t="s">
        <v>6583</v>
      </c>
      <c r="B6581" s="3" t="s">
        <v>6</v>
      </c>
      <c r="C6581" s="2" t="str">
        <f ca="1">IFERROR(__xludf.DUMMYFUNCTION("GOOGLETRANSLATE(A6581,""bn"",""en"")")," The door release button is jammed making it impossible to open the door smoothly")</f>
        <v xml:space="preserve"> The door release button is jammed making it impossible to open the door smoothly</v>
      </c>
    </row>
    <row r="6582" spans="1:3" ht="15.75" customHeight="1" x14ac:dyDescent="0.25">
      <c r="A6582" s="2" t="s">
        <v>6584</v>
      </c>
      <c r="B6582" s="3" t="s">
        <v>6</v>
      </c>
      <c r="C6582" s="2" t="str">
        <f ca="1">IFERROR(__xludf.DUMMYFUNCTION("GOOGLETRANSLATE(A6582,""bn"",""en"")"),"The bulky design makes storage a challenge")</f>
        <v>The bulky design makes storage a challenge</v>
      </c>
    </row>
    <row r="6583" spans="1:3" ht="15.75" customHeight="1" x14ac:dyDescent="0.25">
      <c r="A6583" s="2" t="s">
        <v>6585</v>
      </c>
      <c r="B6583" s="3" t="s">
        <v>6</v>
      </c>
      <c r="C6583" s="2" t="str">
        <f ca="1">IFERROR(__xludf.DUMMYFUNCTION("GOOGLETRANSLATE(A6583,""bn"",""en"")"),"The refrigerator's compressor emits a high-pitched whine that is annoying in quiet environments")</f>
        <v>The refrigerator's compressor emits a high-pitched whine that is annoying in quiet environments</v>
      </c>
    </row>
    <row r="6584" spans="1:3" ht="15.75" customHeight="1" x14ac:dyDescent="0.25">
      <c r="A6584" s="2" t="s">
        <v>6586</v>
      </c>
      <c r="B6584" s="3" t="s">
        <v>6</v>
      </c>
      <c r="C6584" s="2" t="str">
        <f ca="1">IFERROR(__xludf.DUMMYFUNCTION("GOOGLETRANSLATE(A6584,""bn"",""en"")"),"Electric lawn mower motor overheats and shuts down frequently")</f>
        <v>Electric lawn mower motor overheats and shuts down frequently</v>
      </c>
    </row>
    <row r="6585" spans="1:3" ht="15.75" customHeight="1" x14ac:dyDescent="0.25">
      <c r="A6585" s="2" t="s">
        <v>6587</v>
      </c>
      <c r="B6585" s="3" t="s">
        <v>4</v>
      </c>
      <c r="C6585" s="2" t="str">
        <f ca="1">IFERROR(__xludf.DUMMYFUNCTION("GOOGLETRANSLATE(A6585,""bn"",""en"")"),"The school library is always full of new books")</f>
        <v>The school library is always full of new books</v>
      </c>
    </row>
    <row r="6586" spans="1:3" ht="15.75" customHeight="1" x14ac:dyDescent="0.25">
      <c r="A6586" s="2" t="s">
        <v>6588</v>
      </c>
      <c r="B6586" s="3" t="s">
        <v>6</v>
      </c>
      <c r="C6586" s="2" t="str">
        <f ca="1">IFERROR(__xludf.DUMMYFUNCTION("GOOGLETRANSLATE(A6586,""bn"",""en"")"),"Charging port quality is not good")</f>
        <v>Charging port quality is not good</v>
      </c>
    </row>
    <row r="6587" spans="1:3" ht="15.75" customHeight="1" x14ac:dyDescent="0.25">
      <c r="A6587" s="2" t="s">
        <v>6589</v>
      </c>
      <c r="B6587" s="3" t="s">
        <v>2</v>
      </c>
      <c r="C6587" s="2" t="str">
        <f ca="1">IFERROR(__xludf.DUMMYFUNCTION("GOOGLETRANSLATE(A6587,""bn"",""en"")"),"The color is acceptable")</f>
        <v>The color is acceptable</v>
      </c>
    </row>
    <row r="6588" spans="1:3" ht="15.75" customHeight="1" x14ac:dyDescent="0.25">
      <c r="A6588" s="2" t="s">
        <v>6590</v>
      </c>
      <c r="B6588" s="3" t="s">
        <v>6</v>
      </c>
      <c r="C6588" s="2" t="str">
        <f ca="1">IFERROR(__xludf.DUMMYFUNCTION("GOOGLETRANSLATE(A6588,""bn"",""en"")"),"Setting powder leaves a white cast on the skin in photos making it unsuitable for flash photography")</f>
        <v>Setting powder leaves a white cast on the skin in photos making it unsuitable for flash photography</v>
      </c>
    </row>
    <row r="6589" spans="1:3" ht="15.75" customHeight="1" x14ac:dyDescent="0.25">
      <c r="A6589" s="2" t="s">
        <v>6591</v>
      </c>
      <c r="B6589" s="3" t="s">
        <v>2</v>
      </c>
      <c r="C6589" s="2" t="str">
        <f ca="1">IFERROR(__xludf.DUMMYFUNCTION("GOOGLETRANSLATE(A6589,""bn"",""en"")"),"The heater works fine")</f>
        <v>The heater works fine</v>
      </c>
    </row>
    <row r="6590" spans="1:3" ht="15.75" customHeight="1" x14ac:dyDescent="0.25">
      <c r="A6590" s="2" t="s">
        <v>6592</v>
      </c>
      <c r="B6590" s="3" t="s">
        <v>4</v>
      </c>
      <c r="C6590" s="2" t="str">
        <f ca="1">IFERROR(__xludf.DUMMYFUNCTION("GOOGLETRANSLATE(A6590,""bn"",""en"")"),"Each product in the kit revitalizes the skin")</f>
        <v>Each product in the kit revitalizes the skin</v>
      </c>
    </row>
    <row r="6591" spans="1:3" ht="15.75" customHeight="1" x14ac:dyDescent="0.25">
      <c r="A6591" s="2" t="s">
        <v>6593</v>
      </c>
      <c r="B6591" s="3" t="s">
        <v>6</v>
      </c>
      <c r="C6591" s="2" t="str">
        <f ca="1">IFERROR(__xludf.DUMMYFUNCTION("GOOGLETRANSLATE(A6591,""bn"",""en"")"),"Disappointed with the lack of attention to detail in the craftsmanship")</f>
        <v>Disappointed with the lack of attention to detail in the craftsmanship</v>
      </c>
    </row>
    <row r="6592" spans="1:3" ht="15.75" customHeight="1" x14ac:dyDescent="0.25">
      <c r="A6592" s="2" t="s">
        <v>6594</v>
      </c>
      <c r="B6592" s="3" t="s">
        <v>2</v>
      </c>
      <c r="C6592" s="2" t="str">
        <f ca="1">IFERROR(__xludf.DUMMYFUNCTION("GOOGLETRANSLATE(A6592,""bn"",""en"")"),"Weight grams can be comfortable to hold in the hand")</f>
        <v>Weight grams can be comfortable to hold in the hand</v>
      </c>
    </row>
    <row r="6593" spans="1:3" ht="15.75" customHeight="1" x14ac:dyDescent="0.25">
      <c r="A6593" s="2" t="s">
        <v>6595</v>
      </c>
      <c r="B6593" s="3" t="s">
        <v>4</v>
      </c>
      <c r="C6593" s="2" t="str">
        <f ca="1">IFERROR(__xludf.DUMMYFUNCTION("GOOGLETRANSLATE(A6593,""bn"",""en"")"),"I am very happy with the purchase of this furniture set")</f>
        <v>I am very happy with the purchase of this furniture set</v>
      </c>
    </row>
    <row r="6594" spans="1:3" ht="15.75" customHeight="1" x14ac:dyDescent="0.25">
      <c r="A6594" s="2" t="s">
        <v>6596</v>
      </c>
      <c r="B6594" s="3" t="s">
        <v>6</v>
      </c>
      <c r="C6594" s="2" t="str">
        <f ca="1">IFERROR(__xludf.DUMMYFUNCTION("GOOGLETRANSLATE(A6594,""bn"",""en"")"),"After just a few washes the fabric fades significantly losing its original vibrancy and attractiveness")</f>
        <v>After just a few washes the fabric fades significantly losing its original vibrancy and attractiveness</v>
      </c>
    </row>
    <row r="6595" spans="1:3" ht="15.75" customHeight="1" x14ac:dyDescent="0.25">
      <c r="A6595" s="2" t="s">
        <v>6597</v>
      </c>
      <c r="B6595" s="3" t="s">
        <v>2</v>
      </c>
      <c r="C6595" s="2" t="str">
        <f ca="1">IFERROR(__xludf.DUMMYFUNCTION("GOOGLETRANSLATE(A6595,""bn"",""en"")"),"Color ivory beige not too white")</f>
        <v>Color ivory beige not too white</v>
      </c>
    </row>
    <row r="6596" spans="1:3" ht="15.75" customHeight="1" x14ac:dyDescent="0.25">
      <c r="A6596" s="2" t="s">
        <v>6598</v>
      </c>
      <c r="B6596" s="3" t="s">
        <v>2</v>
      </c>
      <c r="C6596" s="2" t="str">
        <f ca="1">IFERROR(__xludf.DUMMYFUNCTION("GOOGLETRANSLATE(A6596,""bn"",""en"")"),"Different brewing methods produce different flavors")</f>
        <v>Different brewing methods produce different flavors</v>
      </c>
    </row>
    <row r="6597" spans="1:3" ht="15.75" customHeight="1" x14ac:dyDescent="0.25">
      <c r="A6597" s="2" t="s">
        <v>6599</v>
      </c>
      <c r="B6597" s="3" t="s">
        <v>4</v>
      </c>
      <c r="C6597" s="2" t="str">
        <f ca="1">IFERROR(__xludf.DUMMYFUNCTION("GOOGLETRANSLATE(A6597,""bn"",""en"")"),"The water pressure in the shower is perfect")</f>
        <v>The water pressure in the shower is perfect</v>
      </c>
    </row>
    <row r="6598" spans="1:3" ht="15.75" customHeight="1" x14ac:dyDescent="0.25">
      <c r="A6598" s="2" t="s">
        <v>6600</v>
      </c>
      <c r="B6598" s="3" t="s">
        <v>2</v>
      </c>
      <c r="C6598" s="2" t="str">
        <f ca="1">IFERROR(__xludf.DUMMYFUNCTION("GOOGLETRANSLATE(A6598,""bn"",""en"")"),"The product is good and the price is great but it is not perfect")</f>
        <v>The product is good and the price is great but it is not perfect</v>
      </c>
    </row>
    <row r="6599" spans="1:3" ht="15.75" customHeight="1" x14ac:dyDescent="0.25">
      <c r="A6599" s="2" t="s">
        <v>6601</v>
      </c>
      <c r="B6599" s="3" t="s">
        <v>4</v>
      </c>
      <c r="C6599" s="2" t="str">
        <f ca="1">IFERROR(__xludf.DUMMYFUNCTION("GOOGLETRANSLATE(A6599,""bn"",""en"")")," High quality very beautiful very beautiful very beautiful")</f>
        <v xml:space="preserve"> High quality very beautiful very beautiful very beautiful</v>
      </c>
    </row>
    <row r="6600" spans="1:3" ht="15.75" customHeight="1" x14ac:dyDescent="0.25">
      <c r="A6600" s="2" t="s">
        <v>6602</v>
      </c>
      <c r="B6600" s="3" t="s">
        <v>6</v>
      </c>
      <c r="C6600" s="2" t="str">
        <f ca="1">IFERROR(__xludf.DUMMYFUNCTION("GOOGLETRANSLATE(A6600,""bn"",""en"")"),"Its seams are poorly stitched resulting in puckering and bunching detracting from its appearance")</f>
        <v>Its seams are poorly stitched resulting in puckering and bunching detracting from its appearance</v>
      </c>
    </row>
    <row r="6601" spans="1:3" ht="15.75" customHeight="1" x14ac:dyDescent="0.25">
      <c r="A6601" s="2" t="s">
        <v>6603</v>
      </c>
      <c r="B6601" s="3" t="s">
        <v>6</v>
      </c>
      <c r="C6601" s="2" t="str">
        <f ca="1">IFERROR(__xludf.DUMMYFUNCTION("GOOGLETRANSLATE(A6601,""bn"",""en"")"),"Inadequate stitching caused the bottom panel to tear causing the contents to spill")</f>
        <v>Inadequate stitching caused the bottom panel to tear causing the contents to spill</v>
      </c>
    </row>
    <row r="6602" spans="1:3" ht="15.75" customHeight="1" x14ac:dyDescent="0.25">
      <c r="A6602" s="2" t="s">
        <v>6604</v>
      </c>
      <c r="B6602" s="3" t="s">
        <v>6</v>
      </c>
      <c r="C6602" s="2" t="str">
        <f ca="1">IFERROR(__xludf.DUMMYFUNCTION("GOOGLETRANSLATE(A6602,""bn"",""en"")"),"The product's age recommendation was too broad not suitable for specific age groups")</f>
        <v>The product's age recommendation was too broad not suitable for specific age groups</v>
      </c>
    </row>
    <row r="6603" spans="1:3" ht="15.75" customHeight="1" x14ac:dyDescent="0.25">
      <c r="A6603" s="2" t="s">
        <v>6605</v>
      </c>
      <c r="B6603" s="3" t="s">
        <v>6</v>
      </c>
      <c r="C6603" s="2" t="str">
        <f ca="1">IFERROR(__xludf.DUMMYFUNCTION("GOOGLETRANSLATE(A6603,""bn"",""en"")"),"The charging ports on power banks are not clearly labelled, leading to confusion as to which port to use for different devices")</f>
        <v>The charging ports on power banks are not clearly labelled, leading to confusion as to which port to use for different devices</v>
      </c>
    </row>
    <row r="6604" spans="1:3" ht="15.75" customHeight="1" x14ac:dyDescent="0.25">
      <c r="A6604" s="2" t="s">
        <v>6606</v>
      </c>
      <c r="B6604" s="3" t="s">
        <v>6</v>
      </c>
      <c r="C6604" s="2" t="str">
        <f ca="1">IFERROR(__xludf.DUMMYFUNCTION("GOOGLETRANSLATE(A6604,""bn"",""en"")"),"The design lacks attention to detail and is hastily assembled")</f>
        <v>The design lacks attention to detail and is hastily assembled</v>
      </c>
    </row>
    <row r="6605" spans="1:3" ht="15.75" customHeight="1" x14ac:dyDescent="0.25">
      <c r="A6605" s="2" t="s">
        <v>6607</v>
      </c>
      <c r="B6605" s="3" t="s">
        <v>4</v>
      </c>
      <c r="C6605" s="2" t="str">
        <f ca="1">IFERROR(__xludf.DUMMYFUNCTION("GOOGLETRANSLATE(A6605,""bn"",""en"")"),"Great tracking device")</f>
        <v>Great tracking device</v>
      </c>
    </row>
    <row r="6606" spans="1:3" ht="15.75" customHeight="1" x14ac:dyDescent="0.25">
      <c r="A6606" s="2" t="s">
        <v>6608</v>
      </c>
      <c r="B6606" s="3" t="s">
        <v>4</v>
      </c>
      <c r="C6606" s="2" t="str">
        <f ca="1">IFERROR(__xludf.DUMMYFUNCTION("GOOGLETRANSLATE(A6606,""bn"",""en"")"),"One thing is that the sound quality is unstable and you can take the intake as a wonderful prize")</f>
        <v>One thing is that the sound quality is unstable and you can take the intake as a wonderful prize</v>
      </c>
    </row>
    <row r="6607" spans="1:3" ht="15.75" customHeight="1" x14ac:dyDescent="0.25">
      <c r="A6607" s="2" t="s">
        <v>6609</v>
      </c>
      <c r="B6607" s="3" t="s">
        <v>6</v>
      </c>
      <c r="C6607" s="2" t="str">
        <f ca="1">IFERROR(__xludf.DUMMYFUNCTION("GOOGLETRANSLATE(A6607,""bn"",""en"")"),"Super craftsmanship is not worth it")</f>
        <v>Super craftsmanship is not worth it</v>
      </c>
    </row>
    <row r="6608" spans="1:3" ht="15.75" customHeight="1" x14ac:dyDescent="0.25">
      <c r="A6608" s="2" t="s">
        <v>6610</v>
      </c>
      <c r="B6608" s="3" t="s">
        <v>4</v>
      </c>
      <c r="C6608" s="2" t="str">
        <f ca="1">IFERROR(__xludf.DUMMYFUNCTION("GOOGLETRANSLATE(A6608,""bn"",""en"")"),"It is easy to wash which is important for a baby doll")</f>
        <v>It is easy to wash which is important for a baby doll</v>
      </c>
    </row>
    <row r="6609" spans="1:3" ht="15.75" customHeight="1" x14ac:dyDescent="0.25">
      <c r="A6609" s="2" t="s">
        <v>6611</v>
      </c>
      <c r="B6609" s="3" t="s">
        <v>6</v>
      </c>
      <c r="C6609" s="2" t="str">
        <f ca="1">IFERROR(__xludf.DUMMYFUNCTION("GOOGLETRANSLATE(A6609,""bn"",""en"")"),"The packaging was flimsy and prone to tearing compromising freshness")</f>
        <v>The packaging was flimsy and prone to tearing compromising freshness</v>
      </c>
    </row>
    <row r="6610" spans="1:3" ht="15.75" customHeight="1" x14ac:dyDescent="0.25">
      <c r="A6610" s="2" t="s">
        <v>6612</v>
      </c>
      <c r="B6610" s="3" t="s">
        <v>6</v>
      </c>
      <c r="C6610" s="2" t="str">
        <f ca="1">IFERROR(__xludf.DUMMYFUNCTION("GOOGLETRANSLATE(A6610,""bn"",""en"")"),"Microwave door does not close properly causing heat to escape during operation")</f>
        <v>Microwave door does not close properly causing heat to escape during operation</v>
      </c>
    </row>
    <row r="6611" spans="1:3" ht="15.75" customHeight="1" x14ac:dyDescent="0.25">
      <c r="A6611" s="2" t="s">
        <v>6613</v>
      </c>
      <c r="B6611" s="3" t="s">
        <v>4</v>
      </c>
      <c r="C6611" s="2" t="str">
        <f ca="1">IFERROR(__xludf.DUMMYFUNCTION("GOOGLETRANSLATE(A6611,""bn"",""en"")"),"The design of the brush is very modern and easy to use, it feels great to use it every morning")</f>
        <v>The design of the brush is very modern and easy to use, it feels great to use it every morning</v>
      </c>
    </row>
    <row r="6612" spans="1:3" ht="15.75" customHeight="1" x14ac:dyDescent="0.25">
      <c r="A6612" s="2" t="s">
        <v>6614</v>
      </c>
      <c r="B6612" s="3" t="s">
        <v>6</v>
      </c>
      <c r="C6612" s="2" t="str">
        <f ca="1">IFERROR(__xludf.DUMMYFUNCTION("GOOGLETRANSLATE(A6612,""bn"",""en"")"),"Lack of durability Subpar workmanship")</f>
        <v>Lack of durability Subpar workmanship</v>
      </c>
    </row>
    <row r="6613" spans="1:3" ht="15.75" customHeight="1" x14ac:dyDescent="0.25">
      <c r="A6613" s="2" t="s">
        <v>6615</v>
      </c>
      <c r="B6613" s="3" t="s">
        <v>2</v>
      </c>
      <c r="C6613" s="2" t="str">
        <f ca="1">IFERROR(__xludf.DUMMYFUNCTION("GOOGLETRANSLATE(A6613,""bn"",""en"")"),"The fabric average is nothing outstanding")</f>
        <v>The fabric average is nothing outstanding</v>
      </c>
    </row>
    <row r="6614" spans="1:3" ht="15.75" customHeight="1" x14ac:dyDescent="0.25">
      <c r="A6614" s="2" t="s">
        <v>6616</v>
      </c>
      <c r="B6614" s="3" t="s">
        <v>4</v>
      </c>
      <c r="C6614" s="2" t="str">
        <f ca="1">IFERROR(__xludf.DUMMYFUNCTION("GOOGLETRANSLATE(A6614,""bn"",""en"")"),"The speaker sound is very loud and clear")</f>
        <v>The speaker sound is very loud and clear</v>
      </c>
    </row>
    <row r="6615" spans="1:3" ht="15.75" customHeight="1" x14ac:dyDescent="0.25">
      <c r="A6615" s="2" t="s">
        <v>6617</v>
      </c>
      <c r="B6615" s="3" t="s">
        <v>2</v>
      </c>
      <c r="C6615" s="2" t="str">
        <f ca="1">IFERROR(__xludf.DUMMYFUNCTION("GOOGLETRANSLATE(A6615,""bn"",""en"")"),"Airflow distribution is uniform")</f>
        <v>Airflow distribution is uniform</v>
      </c>
    </row>
    <row r="6616" spans="1:3" ht="15.75" customHeight="1" x14ac:dyDescent="0.25">
      <c r="A6616" s="2" t="s">
        <v>6618</v>
      </c>
      <c r="B6616" s="3" t="s">
        <v>6</v>
      </c>
      <c r="C6616" s="2" t="str">
        <f ca="1">IFERROR(__xludf.DUMMYFUNCTION("GOOGLETRANSLATE(A6616,""bn"",""en"")"),"OK and a bit uncomfortable")</f>
        <v>OK and a bit uncomfortable</v>
      </c>
    </row>
    <row r="6617" spans="1:3" ht="15.75" customHeight="1" x14ac:dyDescent="0.25">
      <c r="A6617" s="2" t="s">
        <v>6619</v>
      </c>
      <c r="B6617" s="3" t="s">
        <v>2</v>
      </c>
      <c r="C6617" s="2" t="str">
        <f ca="1">IFERROR(__xludf.DUMMYFUNCTION("GOOGLETRANSLATE(A6617,""bn"",""en"")"),"Typing is possible but the keyboard layout is awkward")</f>
        <v>Typing is possible but the keyboard layout is awkward</v>
      </c>
    </row>
    <row r="6618" spans="1:3" ht="15.75" customHeight="1" x14ac:dyDescent="0.25">
      <c r="A6618" s="2" t="s">
        <v>6620</v>
      </c>
      <c r="B6618" s="3" t="s">
        <v>6</v>
      </c>
      <c r="C6618" s="2" t="str">
        <f ca="1">IFERROR(__xludf.DUMMYFUNCTION("GOOGLETRANSLATE(A6618,""bn"",""en"")"),"Solar powered backpack panels have no isolated power supply")</f>
        <v>Solar powered backpack panels have no isolated power supply</v>
      </c>
    </row>
    <row r="6619" spans="1:3" ht="15.75" customHeight="1" x14ac:dyDescent="0.25">
      <c r="A6619" s="2" t="s">
        <v>6621</v>
      </c>
      <c r="B6619" s="3" t="s">
        <v>6</v>
      </c>
      <c r="C6619" s="2" t="str">
        <f ca="1">IFERROR(__xludf.DUMMYFUNCTION("GOOGLETRANSLATE(A6619,""bn"",""en"")"),"Nonstick cookware melts at high temperatures making it unsafe for cooking")</f>
        <v>Nonstick cookware melts at high temperatures making it unsafe for cooking</v>
      </c>
    </row>
    <row r="6620" spans="1:3" ht="15.75" customHeight="1" x14ac:dyDescent="0.25">
      <c r="A6620" s="2" t="s">
        <v>6622</v>
      </c>
      <c r="B6620" s="3" t="s">
        <v>2</v>
      </c>
      <c r="C6620" s="2" t="str">
        <f ca="1">IFERROR(__xludf.DUMMYFUNCTION("GOOGLETRANSLATE(A6620,""bn"",""en"")"),"It didn't quite live up to expectations")</f>
        <v>It didn't quite live up to expectations</v>
      </c>
    </row>
    <row r="6621" spans="1:3" ht="15.75" customHeight="1" x14ac:dyDescent="0.25">
      <c r="A6621" s="2" t="s">
        <v>6623</v>
      </c>
      <c r="B6621" s="3" t="s">
        <v>2</v>
      </c>
      <c r="C6621" s="2" t="str">
        <f ca="1">IFERROR(__xludf.DUMMYFUNCTION("GOOGLETRANSLATE(A6621,""bn"",""en"")"),"Heats up quickly but may stay hot for some time")</f>
        <v>Heats up quickly but may stay hot for some time</v>
      </c>
    </row>
    <row r="6622" spans="1:3" ht="15.75" customHeight="1" x14ac:dyDescent="0.25">
      <c r="A6622" s="2" t="s">
        <v>6624</v>
      </c>
      <c r="B6622" s="3" t="s">
        <v>2</v>
      </c>
      <c r="C6622" s="2" t="str">
        <f ca="1">IFERROR(__xludf.DUMMYFUNCTION("GOOGLETRANSLATE(A6622,""bn"",""en"")"),"The taste is good but seems a bit too artificial")</f>
        <v>The taste is good but seems a bit too artificial</v>
      </c>
    </row>
    <row r="6623" spans="1:3" ht="15.75" customHeight="1" x14ac:dyDescent="0.25">
      <c r="A6623" s="2" t="s">
        <v>6625</v>
      </c>
      <c r="B6623" s="3" t="s">
        <v>2</v>
      </c>
      <c r="C6623" s="2" t="str">
        <f ca="1">IFERROR(__xludf.DUMMYFUNCTION("GOOGLETRANSLATE(A6623,""bn"",""en"")"),"Excellent quality is not great, just not perfect")</f>
        <v>Excellent quality is not great, just not perfect</v>
      </c>
    </row>
    <row r="6624" spans="1:3" ht="15.75" customHeight="1" x14ac:dyDescent="0.25">
      <c r="A6624" s="2" t="s">
        <v>6626</v>
      </c>
      <c r="B6624" s="3" t="s">
        <v>6</v>
      </c>
      <c r="C6624" s="2" t="str">
        <f ca="1">IFERROR(__xludf.DUMMYFUNCTION("GOOGLETRANSLATE(A6624,""bn"",""en"")"),"Wardrobe drawers are shallow and unable to accommodate large items, limiting storage capacity")</f>
        <v>Wardrobe drawers are shallow and unable to accommodate large items, limiting storage capacity</v>
      </c>
    </row>
    <row r="6625" spans="1:3" ht="15.75" customHeight="1" x14ac:dyDescent="0.25">
      <c r="A6625" s="2" t="s">
        <v>6627</v>
      </c>
      <c r="B6625" s="3" t="s">
        <v>4</v>
      </c>
      <c r="C6625" s="2" t="str">
        <f ca="1">IFERROR(__xludf.DUMMYFUNCTION("GOOGLETRANSLATE(A6625,""bn"",""en"")"),"Winter nights are much more comfortable now")</f>
        <v>Winter nights are much more comfortable now</v>
      </c>
    </row>
    <row r="6626" spans="1:3" ht="15.75" customHeight="1" x14ac:dyDescent="0.25">
      <c r="A6626" s="2" t="s">
        <v>6628</v>
      </c>
      <c r="B6626" s="3" t="s">
        <v>2</v>
      </c>
      <c r="C6626" s="2" t="str">
        <f ca="1">IFERROR(__xludf.DUMMYFUNCTION("GOOGLETRANSLATE(A6626,""bn"",""en"")"),"Football pace is good but colors fade quickly")</f>
        <v>Football pace is good but colors fade quickly</v>
      </c>
    </row>
    <row r="6627" spans="1:3" ht="15.75" customHeight="1" x14ac:dyDescent="0.25">
      <c r="A6627" s="2" t="s">
        <v>6629</v>
      </c>
      <c r="B6627" s="3" t="s">
        <v>4</v>
      </c>
      <c r="C6627" s="2" t="str">
        <f ca="1">IFERROR(__xludf.DUMMYFUNCTION("GOOGLETRANSLATE(A6627,""bn"",""en"")"),"The flask keeps the drink hot for a long time")</f>
        <v>The flask keeps the drink hot for a long time</v>
      </c>
    </row>
    <row r="6628" spans="1:3" ht="15.75" customHeight="1" x14ac:dyDescent="0.25">
      <c r="A6628" s="2" t="s">
        <v>6630</v>
      </c>
      <c r="B6628" s="3" t="s">
        <v>6</v>
      </c>
      <c r="C6628" s="2" t="str">
        <f ca="1">IFERROR(__xludf.DUMMYFUNCTION("GOOGLETRANSLATE(A6628,""bn"",""en"")"),"Despite claims of premium quality, the fabric feels thin and tears easily with minimal use")</f>
        <v>Despite claims of premium quality, the fabric feels thin and tears easily with minimal use</v>
      </c>
    </row>
    <row r="6629" spans="1:3" ht="15.75" customHeight="1" x14ac:dyDescent="0.25">
      <c r="A6629" s="2" t="s">
        <v>6631</v>
      </c>
      <c r="B6629" s="3" t="s">
        <v>2</v>
      </c>
      <c r="C6629" s="2" t="str">
        <f ca="1">IFERROR(__xludf.DUMMYFUNCTION("GOOGLETRANSLATE(A6629,""bn"",""en"")"),"It works like the familiar pad functionality")</f>
        <v>It works like the familiar pad functionality</v>
      </c>
    </row>
    <row r="6630" spans="1:3" ht="15.75" customHeight="1" x14ac:dyDescent="0.25">
      <c r="A6630" s="2" t="s">
        <v>6632</v>
      </c>
      <c r="B6630" s="3" t="s">
        <v>6</v>
      </c>
      <c r="C6630" s="2" t="str">
        <f ca="1">IFERROR(__xludf.DUMMYFUNCTION("GOOGLETRANSLATE(A6630,""bn"",""en"")"),"The material of the bath mat starts to peel after a few uses and looks unsightly")</f>
        <v>The material of the bath mat starts to peel after a few uses and looks unsightly</v>
      </c>
    </row>
    <row r="6631" spans="1:3" ht="15.75" customHeight="1" x14ac:dyDescent="0.25">
      <c r="A6631" s="2" t="s">
        <v>6633</v>
      </c>
      <c r="B6631" s="3" t="s">
        <v>4</v>
      </c>
      <c r="C6631" s="2" t="str">
        <f ca="1">IFERROR(__xludf.DUMMYFUNCTION("GOOGLETRANSLATE(A6631,""bn"",""en"")"),"The room heater heats up very quickly")</f>
        <v>The room heater heats up very quickly</v>
      </c>
    </row>
    <row r="6632" spans="1:3" ht="15.75" customHeight="1" x14ac:dyDescent="0.25">
      <c r="A6632" s="2" t="s">
        <v>6634</v>
      </c>
      <c r="B6632" s="3" t="s">
        <v>2</v>
      </c>
      <c r="C6632" s="2" t="str">
        <f ca="1">IFERROR(__xludf.DUMMYFUNCTION("GOOGLETRANSLATE(A6632,""bn"",""en"")"),"It's light but doesn't feel sturdy because of that")</f>
        <v>It's light but doesn't feel sturdy because of that</v>
      </c>
    </row>
    <row r="6633" spans="1:3" ht="15.75" customHeight="1" x14ac:dyDescent="0.25">
      <c r="A6633" s="2" t="s">
        <v>6635</v>
      </c>
      <c r="B6633" s="3" t="s">
        <v>6</v>
      </c>
      <c r="C6633" s="2" t="str">
        <f ca="1">IFERROR(__xludf.DUMMYFUNCTION("GOOGLETRANSLATE(A6633,""bn"",""en"")"),"Metallic taste taints spoil the taste of the drink")</f>
        <v>Metallic taste taints spoil the taste of the drink</v>
      </c>
    </row>
    <row r="6634" spans="1:3" ht="15.75" customHeight="1" x14ac:dyDescent="0.25">
      <c r="A6634" s="2" t="s">
        <v>6636</v>
      </c>
      <c r="B6634" s="3" t="s">
        <v>2</v>
      </c>
      <c r="C6634" s="2" t="str">
        <f ca="1">IFERROR(__xludf.DUMMYFUNCTION("GOOGLETRANSLATE(A6634,""bn"",""en"")"),"The grip of the bat is good but the quality of the handle needs improvement")</f>
        <v>The grip of the bat is good but the quality of the handle needs improvement</v>
      </c>
    </row>
    <row r="6635" spans="1:3" ht="15.75" customHeight="1" x14ac:dyDescent="0.25">
      <c r="A6635" s="2" t="s">
        <v>6637</v>
      </c>
      <c r="B6635" s="3" t="s">
        <v>4</v>
      </c>
      <c r="C6635" s="2" t="str">
        <f ca="1">IFERROR(__xludf.DUMMYFUNCTION("GOOGLETRANSLATE(A6635,""bn"",""en"")"),"I love the versatility of this dinner set it's perfect for everything from everyday use to special occasions")</f>
        <v>I love the versatility of this dinner set it's perfect for everything from everyday use to special occasions</v>
      </c>
    </row>
    <row r="6636" spans="1:3" ht="15.75" customHeight="1" x14ac:dyDescent="0.25">
      <c r="A6636" s="2" t="s">
        <v>6638</v>
      </c>
      <c r="B6636" s="3" t="s">
        <v>2</v>
      </c>
      <c r="C6636" s="2" t="str">
        <f ca="1">IFERROR(__xludf.DUMMYFUNCTION("GOOGLETRANSLATE(A6636,""bn"",""en"")"),"The elastic string is slightly better than being clear")</f>
        <v>The elastic string is slightly better than being clear</v>
      </c>
    </row>
    <row r="6637" spans="1:3" ht="15.75" customHeight="1" x14ac:dyDescent="0.25">
      <c r="A6637" s="2" t="s">
        <v>6639</v>
      </c>
      <c r="B6637" s="3" t="s">
        <v>4</v>
      </c>
      <c r="C6637" s="2" t="str">
        <f ca="1">IFERROR(__xludf.DUMMYFUNCTION("GOOGLETRANSLATE(A6637,""bn"",""en"")"),"The taste of coffee in this coffee machine is perfect")</f>
        <v>The taste of coffee in this coffee machine is perfect</v>
      </c>
    </row>
    <row r="6638" spans="1:3" ht="15.75" customHeight="1" x14ac:dyDescent="0.25">
      <c r="A6638" s="2" t="s">
        <v>6640</v>
      </c>
      <c r="B6638" s="3" t="s">
        <v>2</v>
      </c>
      <c r="C6638" s="2" t="str">
        <f ca="1">IFERROR(__xludf.DUMMYFUNCTION("GOOGLETRANSLATE(A6638,""bn"",""en"")"),"It does not over-sharpen the pencil")</f>
        <v>It does not over-sharpen the pencil</v>
      </c>
    </row>
    <row r="6639" spans="1:3" ht="15.75" customHeight="1" x14ac:dyDescent="0.25">
      <c r="A6639" s="2" t="s">
        <v>6641</v>
      </c>
      <c r="B6639" s="3" t="s">
        <v>2</v>
      </c>
      <c r="C6639" s="2" t="str">
        <f ca="1">IFERROR(__xludf.DUMMYFUNCTION("GOOGLETRANSLATE(A6639,""bn"",""en"")"),"Not quite right")</f>
        <v>Not quite right</v>
      </c>
    </row>
    <row r="6640" spans="1:3" ht="15.75" customHeight="1" x14ac:dyDescent="0.25">
      <c r="A6640" s="2" t="s">
        <v>6642</v>
      </c>
      <c r="B6640" s="3" t="s">
        <v>4</v>
      </c>
      <c r="C6640" s="2" t="str">
        <f ca="1">IFERROR(__xludf.DUMMYFUNCTION("GOOGLETRANSLATE(A6640,""bn"",""en"")"),"There is no way to say good or bad packaging and good packaging ")</f>
        <v xml:space="preserve">There is no way to say good or bad packaging and good packaging </v>
      </c>
    </row>
    <row r="6641" spans="1:3" ht="15.75" customHeight="1" x14ac:dyDescent="0.25">
      <c r="A6641" s="2" t="s">
        <v>6643</v>
      </c>
      <c r="B6641" s="3" t="s">
        <v>4</v>
      </c>
      <c r="C6641" s="2" t="str">
        <f ca="1">IFERROR(__xludf.DUMMYFUNCTION("GOOGLETRANSLATE(A6641,""bn"",""en"")"),"Easy to read time")</f>
        <v>Easy to read time</v>
      </c>
    </row>
    <row r="6642" spans="1:3" ht="15.75" customHeight="1" x14ac:dyDescent="0.25">
      <c r="A6642" s="2" t="s">
        <v>6644</v>
      </c>
      <c r="B6642" s="3" t="s">
        <v>2</v>
      </c>
      <c r="C6642" s="2" t="str">
        <f ca="1">IFERROR(__xludf.DUMMYFUNCTION("GOOGLETRANSLATE(A6642,""bn"",""en"")"),"Some areas are good, some areas need improvement")</f>
        <v>Some areas are good, some areas need improvement</v>
      </c>
    </row>
    <row r="6643" spans="1:3" ht="15.75" customHeight="1" x14ac:dyDescent="0.25">
      <c r="A6643" s="2" t="s">
        <v>6645</v>
      </c>
      <c r="B6643" s="3" t="s">
        <v>2</v>
      </c>
      <c r="C6643" s="2" t="str">
        <f ca="1">IFERROR(__xludf.DUMMYFUNCTION("GOOGLETRANSLATE(A6643,""bn"",""en"")"),"Pretty nice but could have been better")</f>
        <v>Pretty nice but could have been better</v>
      </c>
    </row>
    <row r="6644" spans="1:3" ht="15.75" customHeight="1" x14ac:dyDescent="0.25">
      <c r="A6644" s="2" t="s">
        <v>6646</v>
      </c>
      <c r="B6644" s="3" t="s">
        <v>2</v>
      </c>
      <c r="C6644" s="2" t="str">
        <f ca="1">IFERROR(__xludf.DUMMYFUNCTION("GOOGLETRANSLATE(A6644,""bn"",""en"")"),"I feel good sometimes I feel bad")</f>
        <v>I feel good sometimes I feel bad</v>
      </c>
    </row>
    <row r="6645" spans="1:3" ht="15.75" customHeight="1" x14ac:dyDescent="0.25">
      <c r="A6645" s="2" t="s">
        <v>6647</v>
      </c>
      <c r="B6645" s="3" t="s">
        <v>4</v>
      </c>
      <c r="C6645" s="2" t="str">
        <f ca="1">IFERROR(__xludf.DUMMYFUNCTION("GOOGLETRANSLATE(A6645,""bn"",""en"")"),"nice picture")</f>
        <v>nice picture</v>
      </c>
    </row>
    <row r="6646" spans="1:3" ht="15.75" customHeight="1" x14ac:dyDescent="0.25">
      <c r="A6646" s="2" t="s">
        <v>6648</v>
      </c>
      <c r="B6646" s="3" t="s">
        <v>6</v>
      </c>
      <c r="C6646" s="2" t="str">
        <f ca="1">IFERROR(__xludf.DUMMYFUNCTION("GOOGLETRANSLATE(A6646,""bn"",""en"")"),"The paint colors had a sticky consistency that was difficult to work with")</f>
        <v>The paint colors had a sticky consistency that was difficult to work with</v>
      </c>
    </row>
    <row r="6647" spans="1:3" ht="15.75" customHeight="1" x14ac:dyDescent="0.25">
      <c r="A6647" s="2" t="s">
        <v>6649</v>
      </c>
      <c r="B6647" s="3" t="s">
        <v>2</v>
      </c>
      <c r="C6647" s="2" t="str">
        <f ca="1">IFERROR(__xludf.DUMMYFUNCTION("GOOGLETRANSLATE(A6647,""bn"",""en"")"),"The smart hair brush measures hair health but the app is slow")</f>
        <v>The smart hair brush measures hair health but the app is slow</v>
      </c>
    </row>
    <row r="6648" spans="1:3" ht="15.75" customHeight="1" x14ac:dyDescent="0.25">
      <c r="A6648" s="2" t="s">
        <v>6650</v>
      </c>
      <c r="B6648" s="3" t="s">
        <v>4</v>
      </c>
      <c r="C6648" s="2" t="str">
        <f ca="1">IFERROR(__xludf.DUMMYFUNCTION("GOOGLETRANSLATE(A6648,""bn"",""en"")"),"My daughter talks to it, feeds it and puts it to sleep, it's stimulating her imagination")</f>
        <v>My daughter talks to it, feeds it and puts it to sleep, it's stimulating her imagination</v>
      </c>
    </row>
    <row r="6649" spans="1:3" ht="15.75" customHeight="1" x14ac:dyDescent="0.25">
      <c r="A6649" s="2" t="s">
        <v>6651</v>
      </c>
      <c r="B6649" s="3" t="s">
        <v>6</v>
      </c>
      <c r="C6649" s="2" t="str">
        <f ca="1">IFERROR(__xludf.DUMMYFUNCTION("GOOGLETRANSLATE(A6649,""bn"",""en"")"),"Electric bike battery is not holding charge and stuck")</f>
        <v>Electric bike battery is not holding charge and stuck</v>
      </c>
    </row>
    <row r="6650" spans="1:3" ht="15.75" customHeight="1" x14ac:dyDescent="0.25">
      <c r="A6650" s="2" t="s">
        <v>6652</v>
      </c>
      <c r="B6650" s="3" t="s">
        <v>6</v>
      </c>
      <c r="C6650" s="2" t="str">
        <f ca="1">IFERROR(__xludf.DUMMYFUNCTION("GOOGLETRANSLATE(A6650,""bn"",""en"")"),"The canvas material had an inconsistent texture that affected brushstrokes")</f>
        <v>The canvas material had an inconsistent texture that affected brushstrokes</v>
      </c>
    </row>
    <row r="6651" spans="1:3" ht="15.75" customHeight="1" x14ac:dyDescent="0.25">
      <c r="A6651" s="2" t="s">
        <v>6653</v>
      </c>
      <c r="B6651" s="3" t="s">
        <v>2</v>
      </c>
      <c r="C6651" s="2" t="str">
        <f ca="1">IFERROR(__xludf.DUMMYFUNCTION("GOOGLETRANSLATE(A6651,""bn"",""en"")"),"A digital meat thermometer measures temperature but the probe is small")</f>
        <v>A digital meat thermometer measures temperature but the probe is small</v>
      </c>
    </row>
    <row r="6652" spans="1:3" ht="15.75" customHeight="1" x14ac:dyDescent="0.25">
      <c r="A6652" s="2" t="s">
        <v>6654</v>
      </c>
      <c r="B6652" s="3" t="s">
        <v>2</v>
      </c>
      <c r="C6652" s="2" t="str">
        <f ca="1">IFERROR(__xludf.DUMMYFUNCTION("GOOGLETRANSLATE(A6652,""bn"",""en"")"),"The fertilizer worked fairly well but the price-quality ratio was not good")</f>
        <v>The fertilizer worked fairly well but the price-quality ratio was not good</v>
      </c>
    </row>
    <row r="6653" spans="1:3" ht="15.75" customHeight="1" x14ac:dyDescent="0.25">
      <c r="A6653" s="2" t="s">
        <v>6655</v>
      </c>
      <c r="B6653" s="3" t="s">
        <v>6</v>
      </c>
      <c r="C6653" s="2" t="str">
        <f ca="1">IFERROR(__xludf.DUMMYFUNCTION("GOOGLETRANSLATE(A6653,""bn"",""en"")")," High chair trays do not lock in place creating a safety hazard")</f>
        <v xml:space="preserve"> High chair trays do not lock in place creating a safety hazard</v>
      </c>
    </row>
    <row r="6654" spans="1:3" ht="15.75" customHeight="1" x14ac:dyDescent="0.25">
      <c r="A6654" s="2" t="s">
        <v>6656</v>
      </c>
      <c r="B6654" s="3" t="s">
        <v>2</v>
      </c>
      <c r="C6654" s="2" t="str">
        <f ca="1">IFERROR(__xludf.DUMMYFUNCTION("GOOGLETRANSLATE(A6654,""bn"",""en"")"),"Expiry date is mentioned")</f>
        <v>Expiry date is mentioned</v>
      </c>
    </row>
    <row r="6655" spans="1:3" ht="15.75" customHeight="1" x14ac:dyDescent="0.25">
      <c r="A6655" s="2" t="s">
        <v>6657</v>
      </c>
      <c r="B6655" s="3" t="s">
        <v>4</v>
      </c>
      <c r="C6655" s="2" t="str">
        <f ca="1">IFERROR(__xludf.DUMMYFUNCTION("GOOGLETRANSLATE(A6655,""bn"",""en"")"),"All was good charging backup great if budget is low recommend to take it")</f>
        <v>All was good charging backup great if budget is low recommend to take it</v>
      </c>
    </row>
    <row r="6656" spans="1:3" ht="15.75" customHeight="1" x14ac:dyDescent="0.25">
      <c r="A6656" s="2" t="s">
        <v>6658</v>
      </c>
      <c r="B6656" s="3" t="s">
        <v>2</v>
      </c>
      <c r="C6656" s="2" t="str">
        <f ca="1">IFERROR(__xludf.DUMMYFUNCTION("GOOGLETRANSLATE(A6656,""bn"",""en"")"),"Playdo felt a bit sticky")</f>
        <v>Playdo felt a bit sticky</v>
      </c>
    </row>
    <row r="6657" spans="1:3" ht="15.75" customHeight="1" x14ac:dyDescent="0.25">
      <c r="A6657" s="2" t="s">
        <v>6659</v>
      </c>
      <c r="B6657" s="3" t="s">
        <v>2</v>
      </c>
      <c r="C6657" s="2" t="str">
        <f ca="1">IFERROR(__xludf.DUMMYFUNCTION("GOOGLETRANSLATE(A6657,""bn"",""en"")"),"The thicker part of the pad seems worth checking")</f>
        <v>The thicker part of the pad seems worth checking</v>
      </c>
    </row>
    <row r="6658" spans="1:3" ht="15.75" customHeight="1" x14ac:dyDescent="0.25">
      <c r="A6658" s="2" t="s">
        <v>6660</v>
      </c>
      <c r="B6658" s="3" t="s">
        <v>6</v>
      </c>
      <c r="C6658" s="2" t="str">
        <f ca="1">IFERROR(__xludf.DUMMYFUNCTION("GOOGLETRANSLATE(A6658,""bn"",""en"")"),"The microwaveable macaroni and cheese was too greasy and lacked cheese flavor")</f>
        <v>The microwaveable macaroni and cheese was too greasy and lacked cheese flavor</v>
      </c>
    </row>
    <row r="6659" spans="1:3" ht="15.75" customHeight="1" x14ac:dyDescent="0.25">
      <c r="A6659" s="2" t="s">
        <v>6661</v>
      </c>
      <c r="B6659" s="3" t="s">
        <v>4</v>
      </c>
      <c r="C6659" s="2" t="str">
        <f ca="1">IFERROR(__xludf.DUMMYFUNCTION("GOOGLETRANSLATE(A6659,""bn"",""en"")"),"The scent of the shower gel is very long lasting")</f>
        <v>The scent of the shower gel is very long lasting</v>
      </c>
    </row>
    <row r="6660" spans="1:3" ht="15.75" customHeight="1" x14ac:dyDescent="0.25">
      <c r="A6660" s="2" t="s">
        <v>6662</v>
      </c>
      <c r="B6660" s="3" t="s">
        <v>2</v>
      </c>
      <c r="C6660" s="2" t="str">
        <f ca="1">IFERROR(__xludf.DUMMYFUNCTION("GOOGLETRANSLATE(A6660,""bn"",""en"")"),"Accessories for bead making kits are passable")</f>
        <v>Accessories for bead making kits are passable</v>
      </c>
    </row>
    <row r="6661" spans="1:3" ht="15.75" customHeight="1" x14ac:dyDescent="0.25">
      <c r="A6661" s="2" t="s">
        <v>6663</v>
      </c>
      <c r="B6661" s="3" t="s">
        <v>4</v>
      </c>
      <c r="C6661" s="2" t="str">
        <f ca="1">IFERROR(__xludf.DUMMYFUNCTION("GOOGLETRANSLATE(A6661,""bn"",""en"")"),"The battery lasts a full day on a single charge")</f>
        <v>The battery lasts a full day on a single charge</v>
      </c>
    </row>
    <row r="6662" spans="1:3" ht="15.75" customHeight="1" x14ac:dyDescent="0.25">
      <c r="A6662" s="2" t="s">
        <v>6664</v>
      </c>
      <c r="B6662" s="3" t="s">
        <v>2</v>
      </c>
      <c r="C6662" s="2" t="str">
        <f ca="1">IFERROR(__xludf.DUMMYFUNCTION("GOOGLETRANSLATE(A6662,""bn"",""en"")"),"There is an attempt to be educational but not too deep")</f>
        <v>There is an attempt to be educational but not too deep</v>
      </c>
    </row>
    <row r="6663" spans="1:3" ht="15.75" customHeight="1" x14ac:dyDescent="0.25">
      <c r="A6663" s="2" t="s">
        <v>6665</v>
      </c>
      <c r="B6663" s="3" t="s">
        <v>6</v>
      </c>
      <c r="C6663" s="2" t="str">
        <f ca="1">IFERROR(__xludf.DUMMYFUNCTION("GOOGLETRANSLATE(A6663,""bn"",""en"")"),"Significant hair loss and shedding within weeks of use raises concerns about long-term damage")</f>
        <v>Significant hair loss and shedding within weeks of use raises concerns about long-term damage</v>
      </c>
    </row>
    <row r="6664" spans="1:3" ht="15.75" customHeight="1" x14ac:dyDescent="0.25">
      <c r="A6664" s="2" t="s">
        <v>6666</v>
      </c>
      <c r="B6664" s="3" t="s">
        <v>4</v>
      </c>
      <c r="C6664" s="2" t="str">
        <f ca="1">IFERROR(__xludf.DUMMYFUNCTION("GOOGLETRANSLATE(A6664,""bn"",""en"")"),"Face ID of the mobile is very effective")</f>
        <v>Face ID of the mobile is very effective</v>
      </c>
    </row>
    <row r="6665" spans="1:3" ht="15.75" customHeight="1" x14ac:dyDescent="0.25">
      <c r="A6665" s="2" t="s">
        <v>6667</v>
      </c>
      <c r="B6665" s="3" t="s">
        <v>2</v>
      </c>
      <c r="C6665" s="2" t="str">
        <f ca="1">IFERROR(__xludf.DUMMYFUNCTION("GOOGLETRANSLATE(A6665,""bn"",""en"")"),"The price is a bit high but the taste is ok")</f>
        <v>The price is a bit high but the taste is ok</v>
      </c>
    </row>
    <row r="6666" spans="1:3" ht="15.75" customHeight="1" x14ac:dyDescent="0.25">
      <c r="A6666" s="2" t="s">
        <v>6668</v>
      </c>
      <c r="B6666" s="3" t="s">
        <v>6</v>
      </c>
      <c r="C6666" s="2" t="str">
        <f ca="1">IFERROR(__xludf.DUMMYFUNCTION("GOOGLETRANSLATE(A6666,""bn"",""en"")"),"Packaged gelatin desserts had a rubbery texture and artificial flavor that lacked the freshness of home-made ones.")</f>
        <v>Packaged gelatin desserts had a rubbery texture and artificial flavor that lacked the freshness of home-made ones.</v>
      </c>
    </row>
    <row r="6667" spans="1:3" ht="15.75" customHeight="1" x14ac:dyDescent="0.25">
      <c r="A6667" s="2" t="s">
        <v>6669</v>
      </c>
      <c r="B6667" s="3" t="s">
        <v>6</v>
      </c>
      <c r="C6667" s="2" t="str">
        <f ca="1">IFERROR(__xludf.DUMMYFUNCTION("GOOGLETRANSLATE(A6667,""bn"",""en"")"),"Disappointing that the product arrived without a protective seal")</f>
        <v>Disappointing that the product arrived without a protective seal</v>
      </c>
    </row>
    <row r="6668" spans="1:3" ht="15.75" customHeight="1" x14ac:dyDescent="0.25">
      <c r="A6668" s="2" t="s">
        <v>6670</v>
      </c>
      <c r="B6668" s="3" t="s">
        <v>6</v>
      </c>
      <c r="C6668" s="2" t="str">
        <f ca="1">IFERROR(__xludf.DUMMYFUNCTION("GOOGLETRANSLATE(A6668,""bn"",""en"")"),"Great value speed and stability")</f>
        <v>Great value speed and stability</v>
      </c>
    </row>
    <row r="6669" spans="1:3" ht="15.75" customHeight="1" x14ac:dyDescent="0.25">
      <c r="A6669" s="2" t="s">
        <v>6671</v>
      </c>
      <c r="B6669" s="3" t="s">
        <v>2</v>
      </c>
      <c r="C6669" s="2" t="str">
        <f ca="1">IFERROR(__xludf.DUMMYFUNCTION("GOOGLETRANSLATE(A6669,""bn"",""en"")"),"The aftertaste feels light and pleasant")</f>
        <v>The aftertaste feels light and pleasant</v>
      </c>
    </row>
    <row r="6670" spans="1:3" ht="15.75" customHeight="1" x14ac:dyDescent="0.25">
      <c r="A6670" s="2" t="s">
        <v>6672</v>
      </c>
      <c r="B6670" s="3" t="s">
        <v>2</v>
      </c>
      <c r="C6670" s="2" t="str">
        <f ca="1">IFERROR(__xludf.DUMMYFUNCTION("GOOGLETRANSLATE(A6670,""bn"",""en"")"),"It is not a pesticide")</f>
        <v>It is not a pesticide</v>
      </c>
    </row>
    <row r="6671" spans="1:3" ht="15.75" customHeight="1" x14ac:dyDescent="0.25">
      <c r="A6671" s="2" t="s">
        <v>6673</v>
      </c>
      <c r="B6671" s="3" t="s">
        <v>6</v>
      </c>
      <c r="C6671" s="2" t="str">
        <f ca="1">IFERROR(__xludf.DUMMYFUNCTION("GOOGLETRANSLATE(A6671,""bn"",""en"")"),"Unpleasant taste taints the drinking experience")</f>
        <v>Unpleasant taste taints the drinking experience</v>
      </c>
    </row>
    <row r="6672" spans="1:3" ht="15.75" customHeight="1" x14ac:dyDescent="0.25">
      <c r="A6672" s="2" t="s">
        <v>6674</v>
      </c>
      <c r="B6672" s="3" t="s">
        <v>4</v>
      </c>
      <c r="C6672" s="2" t="str">
        <f ca="1">IFERROR(__xludf.DUMMYFUNCTION("GOOGLETRANSLATE(A6672,""bn"",""en"")"),"After drinking this tea my mind becomes cheerful")</f>
        <v>After drinking this tea my mind becomes cheerful</v>
      </c>
    </row>
    <row r="6673" spans="1:3" ht="15.75" customHeight="1" x14ac:dyDescent="0.25">
      <c r="A6673" s="2" t="s">
        <v>6675</v>
      </c>
      <c r="B6673" s="3" t="s">
        <v>4</v>
      </c>
      <c r="C6673" s="2" t="str">
        <f ca="1">IFERROR(__xludf.DUMMYFUNCTION("GOOGLETRANSLATE(A6673,""bn"",""en"")"),"The reservoir size is suitable and large")</f>
        <v>The reservoir size is suitable and large</v>
      </c>
    </row>
    <row r="6674" spans="1:3" ht="15.75" customHeight="1" x14ac:dyDescent="0.25">
      <c r="A6674" s="2" t="s">
        <v>6676</v>
      </c>
      <c r="B6674" s="3" t="s">
        <v>4</v>
      </c>
      <c r="C6674" s="2" t="str">
        <f ca="1">IFERROR(__xludf.DUMMYFUNCTION("GOOGLETRANSLATE(A6674,""bn"",""en"")"),"The table fan is very efficient and provides fresh air")</f>
        <v>The table fan is very efficient and provides fresh air</v>
      </c>
    </row>
    <row r="6675" spans="1:3" ht="15.75" customHeight="1" x14ac:dyDescent="0.25">
      <c r="A6675" s="2" t="s">
        <v>6677</v>
      </c>
      <c r="B6675" s="3" t="s">
        <v>2</v>
      </c>
      <c r="C6675" s="2" t="str">
        <f ca="1">IFERROR(__xludf.DUMMYFUNCTION("GOOGLETRANSLATE(A6675,""bn"",""en"")"),"The electronic tie rack rotates the tie but the motor makes noise")</f>
        <v>The electronic tie rack rotates the tie but the motor makes noise</v>
      </c>
    </row>
    <row r="6676" spans="1:3" ht="15.75" customHeight="1" x14ac:dyDescent="0.25">
      <c r="A6676" s="2" t="s">
        <v>6678</v>
      </c>
      <c r="B6676" s="3" t="s">
        <v>2</v>
      </c>
      <c r="C6676" s="2" t="str">
        <f ca="1">IFERROR(__xludf.DUMMYFUNCTION("GOOGLETRANSLATE(A6676,""bn"",""en"")"),"The edges of the pad are slightly rough")</f>
        <v>The edges of the pad are slightly rough</v>
      </c>
    </row>
    <row r="6677" spans="1:3" ht="15.75" customHeight="1" x14ac:dyDescent="0.25">
      <c r="A6677" s="2" t="s">
        <v>6679</v>
      </c>
      <c r="B6677" s="3" t="s">
        <v>6</v>
      </c>
      <c r="C6677" s="2" t="str">
        <f ca="1">IFERROR(__xludf.DUMMYFUNCTION("GOOGLETRANSLATE(A6677,""bn"",""en"")"),"The freezer section does not freeze items evenly resulting in uneven cooling")</f>
        <v>The freezer section does not freeze items evenly resulting in uneven cooling</v>
      </c>
    </row>
    <row r="6678" spans="1:3" ht="15.75" customHeight="1" x14ac:dyDescent="0.25">
      <c r="A6678" s="2" t="s">
        <v>6680</v>
      </c>
      <c r="B6678" s="3" t="s">
        <v>4</v>
      </c>
      <c r="C6678" s="2" t="str">
        <f ca="1">IFERROR(__xludf.DUMMYFUNCTION("GOOGLETRANSLATE(A6678,""bn"",""en"")"),"The automatic louver adjustment feature is very effective as it spreads the airflow in all directions")</f>
        <v>The automatic louver adjustment feature is very effective as it spreads the airflow in all directions</v>
      </c>
    </row>
    <row r="6679" spans="1:3" ht="15.75" customHeight="1" x14ac:dyDescent="0.25">
      <c r="A6679" s="2" t="s">
        <v>6681</v>
      </c>
      <c r="B6679" s="3" t="s">
        <v>4</v>
      </c>
      <c r="C6679" s="2" t="str">
        <f ca="1">IFERROR(__xludf.DUMMYFUNCTION("GOOGLETRANSLATE(A6679,""bn"",""en"")"),"At home parties, everyone praises this speaker and feels very proud")</f>
        <v>At home parties, everyone praises this speaker and feels very proud</v>
      </c>
    </row>
    <row r="6680" spans="1:3" ht="15.75" customHeight="1" x14ac:dyDescent="0.25">
      <c r="A6680" s="2" t="s">
        <v>6682</v>
      </c>
      <c r="B6680" s="3" t="s">
        <v>4</v>
      </c>
      <c r="C6680" s="2" t="str">
        <f ca="1">IFERROR(__xludf.DUMMYFUNCTION("GOOGLETRANSLATE(A6680,""bn"",""en"")"),"The soap makes the skin clean and smooth")</f>
        <v>The soap makes the skin clean and smooth</v>
      </c>
    </row>
    <row r="6681" spans="1:3" ht="15.75" customHeight="1" x14ac:dyDescent="0.25">
      <c r="A6681" s="2" t="s">
        <v>6683</v>
      </c>
      <c r="B6681" s="3" t="s">
        <v>2</v>
      </c>
      <c r="C6681" s="2" t="str">
        <f ca="1">IFERROR(__xludf.DUMMYFUNCTION("GOOGLETRANSLATE(A6681,""bn"",""en"")"),"Products are limited")</f>
        <v>Products are limited</v>
      </c>
    </row>
    <row r="6682" spans="1:3" ht="15.75" customHeight="1" x14ac:dyDescent="0.25">
      <c r="A6682" s="2" t="s">
        <v>6684</v>
      </c>
      <c r="B6682" s="3" t="s">
        <v>2</v>
      </c>
      <c r="C6682" s="2" t="str">
        <f ca="1">IFERROR(__xludf.DUMMYFUNCTION("GOOGLETRANSLATE(A6682,""bn"",""en"")"),"It is important to know if the mop cloth is replaceable")</f>
        <v>It is important to know if the mop cloth is replaceable</v>
      </c>
    </row>
    <row r="6683" spans="1:3" ht="15.75" customHeight="1" x14ac:dyDescent="0.25">
      <c r="A6683" s="2" t="s">
        <v>6685</v>
      </c>
      <c r="B6683" s="3" t="s">
        <v>6</v>
      </c>
      <c r="C6683" s="2" t="str">
        <f ca="1">IFERROR(__xludf.DUMMYFUNCTION("GOOGLETRANSLATE(A6683,""bn"",""en"")"),"The construction of the product felt cheap and unreliable")</f>
        <v>The construction of the product felt cheap and unreliable</v>
      </c>
    </row>
    <row r="6684" spans="1:3" ht="15.75" customHeight="1" x14ac:dyDescent="0.25">
      <c r="A6684" s="2" t="s">
        <v>6686</v>
      </c>
      <c r="B6684" s="3" t="s">
        <v>4</v>
      </c>
      <c r="C6684" s="2" t="str">
        <f ca="1">IFERROR(__xludf.DUMMYFUNCTION("GOOGLETRANSLATE(A6684,""bn"",""en"")"),"It lasts all day without any shedding or streaking")</f>
        <v>It lasts all day without any shedding or streaking</v>
      </c>
    </row>
    <row r="6685" spans="1:3" ht="15.75" customHeight="1" x14ac:dyDescent="0.25">
      <c r="A6685" s="2" t="s">
        <v>6687</v>
      </c>
      <c r="B6685" s="3" t="s">
        <v>4</v>
      </c>
      <c r="C6685" s="2" t="str">
        <f ca="1">IFERROR(__xludf.DUMMYFUNCTION("GOOGLETRANSLATE(A6685,""bn"",""en"")"),"Each shade in the kit is well pigmented")</f>
        <v>Each shade in the kit is well pigmented</v>
      </c>
    </row>
    <row r="6686" spans="1:3" ht="15.75" customHeight="1" x14ac:dyDescent="0.25">
      <c r="A6686" s="2" t="s">
        <v>6688</v>
      </c>
      <c r="B6686" s="3" t="s">
        <v>4</v>
      </c>
      <c r="C6686" s="2" t="str">
        <f ca="1">IFERROR(__xludf.DUMMYFUNCTION("GOOGLETRANSLATE(A6686,""bn"",""en"")"),"The quality of the coffee indicates that it has been ethically harvested")</f>
        <v>The quality of the coffee indicates that it has been ethically harvested</v>
      </c>
    </row>
    <row r="6687" spans="1:3" ht="15.75" customHeight="1" x14ac:dyDescent="0.25">
      <c r="A6687" s="2" t="s">
        <v>6689</v>
      </c>
      <c r="B6687" s="3" t="s">
        <v>6</v>
      </c>
      <c r="C6687" s="2" t="str">
        <f ca="1">IFERROR(__xludf.DUMMYFUNCTION("GOOGLETRANSLATE(A6687,""bn"",""en"")"),"  The oil had an overwhelming floral scent that was nauseating")</f>
        <v xml:space="preserve">  The oil had an overwhelming floral scent that was nauseating</v>
      </c>
    </row>
    <row r="6688" spans="1:3" ht="15.75" customHeight="1" x14ac:dyDescent="0.25">
      <c r="A6688" s="2" t="s">
        <v>6690</v>
      </c>
      <c r="B6688" s="3" t="s">
        <v>4</v>
      </c>
      <c r="C6688" s="2" t="str">
        <f ca="1">IFERROR(__xludf.DUMMYFUNCTION("GOOGLETRANSLATE(A6688,""bn"",""en"")"),"The service at this hotel is very fast and friendly")</f>
        <v>The service at this hotel is very fast and friendly</v>
      </c>
    </row>
    <row r="6689" spans="1:3" ht="15.75" customHeight="1" x14ac:dyDescent="0.25">
      <c r="A6689" s="2" t="s">
        <v>6691</v>
      </c>
      <c r="B6689" s="3" t="s">
        <v>6</v>
      </c>
      <c r="C6689" s="2" t="str">
        <f ca="1">IFERROR(__xludf.DUMMYFUNCTION("GOOGLETRANSLATE(A6689,""bn"",""en"")"),"Paint chips off bed frames easily, leaving unsightly marks and exposing the bare metal underneath")</f>
        <v>Paint chips off bed frames easily, leaving unsightly marks and exposing the bare metal underneath</v>
      </c>
    </row>
    <row r="6690" spans="1:3" ht="15.75" customHeight="1" x14ac:dyDescent="0.25">
      <c r="A6690" s="2" t="s">
        <v>6692</v>
      </c>
      <c r="B6690" s="3" t="s">
        <v>4</v>
      </c>
      <c r="C6690" s="2" t="str">
        <f ca="1">IFERROR(__xludf.DUMMYFUNCTION("GOOGLETRANSLATE(A6690,""bn"",""en"")"),"Each product in the kit is long lasting")</f>
        <v>Each product in the kit is long lasting</v>
      </c>
    </row>
    <row r="6691" spans="1:3" ht="15.75" customHeight="1" x14ac:dyDescent="0.25">
      <c r="A6691" s="2" t="s">
        <v>6693</v>
      </c>
      <c r="B6691" s="3" t="s">
        <v>6</v>
      </c>
      <c r="C6691" s="2" t="str">
        <f ca="1">IFERROR(__xludf.DUMMYFUNCTION("GOOGLETRANSLATE(A6691,""bn"",""en"")"),"The curl cream didn't define my curls and left them looking limp and undefined")</f>
        <v>The curl cream didn't define my curls and left them looking limp and undefined</v>
      </c>
    </row>
    <row r="6692" spans="1:3" ht="15.75" customHeight="1" x14ac:dyDescent="0.25">
      <c r="A6692" s="2" t="s">
        <v>6694</v>
      </c>
      <c r="B6692" s="3" t="s">
        <v>2</v>
      </c>
      <c r="C6692" s="2" t="str">
        <f ca="1">IFERROR(__xludf.DUMMYFUNCTION("GOOGLETRANSLATE(A6692,""bn"",""en"")"),"Easy to make but difficult to repair")</f>
        <v>Easy to make but difficult to repair</v>
      </c>
    </row>
    <row r="6693" spans="1:3" ht="15.75" customHeight="1" x14ac:dyDescent="0.25">
      <c r="A6693" s="2" t="s">
        <v>6695</v>
      </c>
      <c r="B6693" s="3" t="s">
        <v>2</v>
      </c>
      <c r="C6693" s="2" t="str">
        <f ca="1">IFERROR(__xludf.DUMMYFUNCTION("GOOGLETRANSLATE(A6693,""bn"",""en"")"),"Can be used on different parts of the body")</f>
        <v>Can be used on different parts of the body</v>
      </c>
    </row>
    <row r="6694" spans="1:3" ht="15.75" customHeight="1" x14ac:dyDescent="0.25">
      <c r="A6694" s="2" t="s">
        <v>6696</v>
      </c>
      <c r="B6694" s="3" t="s">
        <v>6</v>
      </c>
      <c r="C6694" s="2" t="str">
        <f ca="1">IFERROR(__xludf.DUMMYFUNCTION("GOOGLETRANSLATE(A6694,""bn"",""en"")")," The firmware is out of date causing compatibility issues with newer devices")</f>
        <v xml:space="preserve"> The firmware is out of date causing compatibility issues with newer devices</v>
      </c>
    </row>
    <row r="6695" spans="1:3" ht="15.75" customHeight="1" x14ac:dyDescent="0.25">
      <c r="A6695" s="2" t="s">
        <v>6697</v>
      </c>
      <c r="B6695" s="3" t="s">
        <v>2</v>
      </c>
      <c r="C6695" s="2" t="str">
        <f ca="1">IFERROR(__xludf.DUMMYFUNCTION("GOOGLETRANSLATE(A6695,""bn"",""en"")"),"I recently purchased a Gigabyte Z Aorus Elite AX motherboard for my new PC build.")</f>
        <v>I recently purchased a Gigabyte Z Aorus Elite AX motherboard for my new PC build.</v>
      </c>
    </row>
    <row r="6696" spans="1:3" ht="15.75" customHeight="1" x14ac:dyDescent="0.25">
      <c r="A6696" s="2" t="s">
        <v>6698</v>
      </c>
      <c r="B6696" s="3" t="s">
        <v>2</v>
      </c>
      <c r="C6696" s="2" t="str">
        <f ca="1">IFERROR(__xludf.DUMMYFUNCTION("GOOGLETRANSLATE(A6696,""bn"",""en"")"),"Quite fresh but the taste is a little off if it's too cold")</f>
        <v>Quite fresh but the taste is a little off if it's too cold</v>
      </c>
    </row>
    <row r="6697" spans="1:3" ht="15.75" customHeight="1" x14ac:dyDescent="0.25">
      <c r="A6697" s="2" t="s">
        <v>6699</v>
      </c>
      <c r="B6697" s="3" t="s">
        <v>4</v>
      </c>
      <c r="C6697" s="2" t="str">
        <f ca="1">IFERROR(__xludf.DUMMYFUNCTION("GOOGLETRANSLATE(A6697,""bn"",""en"")"),"I was surprised that it has no artificial flavors and all natural ingredients are used")</f>
        <v>I was surprised that it has no artificial flavors and all natural ingredients are used</v>
      </c>
    </row>
    <row r="6698" spans="1:3" ht="15.75" customHeight="1" x14ac:dyDescent="0.25">
      <c r="A6698" s="2" t="s">
        <v>6700</v>
      </c>
      <c r="B6698" s="3" t="s">
        <v>4</v>
      </c>
      <c r="C6698" s="2" t="str">
        <f ca="1">IFERROR(__xludf.DUMMYFUNCTION("GOOGLETRANSLATE(A6698,""bn"",""en"")"),"The makeup kit mirror is very clear")</f>
        <v>The makeup kit mirror is very clear</v>
      </c>
    </row>
    <row r="6699" spans="1:3" ht="15.75" customHeight="1" x14ac:dyDescent="0.25">
      <c r="A6699" s="2" t="s">
        <v>6701</v>
      </c>
      <c r="B6699" s="3" t="s">
        <v>6</v>
      </c>
      <c r="C6699" s="2" t="str">
        <f ca="1">IFERROR(__xludf.DUMMYFUNCTION("GOOGLETRANSLATE(A6699,""bn"",""en"")"),"Not suitable for children or good for dolls")</f>
        <v>Not suitable for children or good for dolls</v>
      </c>
    </row>
    <row r="6700" spans="1:3" ht="15.75" customHeight="1" x14ac:dyDescent="0.25">
      <c r="A6700" s="2" t="s">
        <v>6702</v>
      </c>
      <c r="B6700" s="3" t="s">
        <v>4</v>
      </c>
      <c r="C6700" s="2" t="str">
        <f ca="1">IFERROR(__xludf.DUMMYFUNCTION("GOOGLETRANSLATE(A6700,""bn"",""en"")"),"Its taste is so rich that I discover new ones every day")</f>
        <v>Its taste is so rich that I discover new ones every day</v>
      </c>
    </row>
    <row r="6701" spans="1:3" ht="15.75" customHeight="1" x14ac:dyDescent="0.25">
      <c r="A6701" s="2" t="s">
        <v>6703</v>
      </c>
      <c r="B6701" s="3" t="s">
        <v>4</v>
      </c>
      <c r="C6701" s="2" t="str">
        <f ca="1">IFERROR(__xludf.DUMMYFUNCTION("GOOGLETRANSLATE(A6701,""bn"",""en"")"),"Beauty soap is suitable for daily use")</f>
        <v>Beauty soap is suitable for daily use</v>
      </c>
    </row>
    <row r="6702" spans="1:3" ht="15.75" customHeight="1" x14ac:dyDescent="0.25">
      <c r="A6702" s="2" t="s">
        <v>6704</v>
      </c>
      <c r="B6702" s="3" t="s">
        <v>2</v>
      </c>
      <c r="C6702" s="2" t="str">
        <f ca="1">IFERROR(__xludf.DUMMYFUNCTION("GOOGLETRANSLATE(A6702,""bn"",""en"")"),"Very useful but somewhat limited")</f>
        <v>Very useful but somewhat limited</v>
      </c>
    </row>
    <row r="6703" spans="1:3" ht="15.75" customHeight="1" x14ac:dyDescent="0.25">
      <c r="A6703" s="2" t="s">
        <v>6705</v>
      </c>
      <c r="B6703" s="3" t="s">
        <v>4</v>
      </c>
      <c r="C6703" s="2" t="str">
        <f ca="1">IFERROR(__xludf.DUMMYFUNCTION("GOOGLETRANSLATE(A6703,""bn"",""en"")"),"Good charger great product")</f>
        <v>Good charger great product</v>
      </c>
    </row>
    <row r="6704" spans="1:3" ht="15.75" customHeight="1" x14ac:dyDescent="0.25">
      <c r="A6704" s="2" t="s">
        <v>6706</v>
      </c>
      <c r="B6704" s="3" t="s">
        <v>6</v>
      </c>
      <c r="C6704" s="2" t="str">
        <f ca="1">IFERROR(__xludf.DUMMYFUNCTION("GOOGLETRANSLATE(A6704,""bn"",""en"")"),"The beans were old and didn't taste fresh")</f>
        <v>The beans were old and didn't taste fresh</v>
      </c>
    </row>
    <row r="6705" spans="1:3" ht="15.75" customHeight="1" x14ac:dyDescent="0.25">
      <c r="A6705" s="2" t="s">
        <v>6707</v>
      </c>
      <c r="B6705" s="3" t="s">
        <v>6</v>
      </c>
      <c r="C6705" s="2" t="str">
        <f ca="1">IFERROR(__xludf.DUMMYFUNCTION("GOOGLETRANSLATE(A6705,""bn"",""en"")"),"The sealing ring of an electric pressure cooker wears out quickly as it loses pressure")</f>
        <v>The sealing ring of an electric pressure cooker wears out quickly as it loses pressure</v>
      </c>
    </row>
    <row r="6706" spans="1:3" ht="15.75" customHeight="1" x14ac:dyDescent="0.25">
      <c r="A6706" s="2" t="s">
        <v>6708</v>
      </c>
      <c r="B6706" s="3" t="s">
        <v>6</v>
      </c>
      <c r="C6706" s="2" t="str">
        <f ca="1">IFERROR(__xludf.DUMMYFUNCTION("GOOGLETRANSLATE(A6706,""bn"",""en"")"),"The product breaks easily under normal use")</f>
        <v>The product breaks easily under normal use</v>
      </c>
    </row>
    <row r="6707" spans="1:3" ht="15.75" customHeight="1" x14ac:dyDescent="0.25">
      <c r="A6707" s="2" t="s">
        <v>6709</v>
      </c>
      <c r="B6707" s="3" t="s">
        <v>6</v>
      </c>
      <c r="C6707" s="2" t="str">
        <f ca="1">IFERROR(__xludf.DUMMYFUNCTION("GOOGLETRANSLATE(A6707,""bn"",""en"")"),"Solar garden fountain stops working after few days no water flow")</f>
        <v>Solar garden fountain stops working after few days no water flow</v>
      </c>
    </row>
    <row r="6708" spans="1:3" ht="15.75" customHeight="1" x14ac:dyDescent="0.25">
      <c r="A6708" s="2" t="s">
        <v>6710</v>
      </c>
      <c r="B6708" s="3" t="s">
        <v>6</v>
      </c>
      <c r="C6708" s="2" t="str">
        <f ca="1">IFERROR(__xludf.DUMMYFUNCTION("GOOGLETRANSLATE(A6708,""bn"",""en"")"),"The dress was much larger than expected and swam on the buyer's frame and lacked shape")</f>
        <v>The dress was much larger than expected and swam on the buyer's frame and lacked shape</v>
      </c>
    </row>
    <row r="6709" spans="1:3" ht="15.75" customHeight="1" x14ac:dyDescent="0.25">
      <c r="A6709" s="2" t="s">
        <v>6711</v>
      </c>
      <c r="B6709" s="3" t="s">
        <v>2</v>
      </c>
      <c r="C6709" s="2" t="str">
        <f ca="1">IFERROR(__xludf.DUMMYFUNCTION("GOOGLETRANSLATE(A6709,""bn"",""en"")"),"Not great but generally good")</f>
        <v>Not great but generally good</v>
      </c>
    </row>
    <row r="6710" spans="1:3" ht="15.75" customHeight="1" x14ac:dyDescent="0.25">
      <c r="A6710" s="2" t="s">
        <v>6712</v>
      </c>
      <c r="B6710" s="3" t="s">
        <v>6</v>
      </c>
      <c r="C6710" s="2" t="str">
        <f ca="1">IFERROR(__xludf.DUMMYFUNCTION("GOOGLETRANSLATE(A6710,""bn"",""en"")"),"Lack of seal on the packaging compromised the integrity of the product")</f>
        <v>Lack of seal on the packaging compromised the integrity of the product</v>
      </c>
    </row>
    <row r="6711" spans="1:3" ht="15.75" customHeight="1" x14ac:dyDescent="0.25">
      <c r="A6711" s="2" t="s">
        <v>6713</v>
      </c>
      <c r="B6711" s="3" t="s">
        <v>2</v>
      </c>
      <c r="C6711" s="2" t="str">
        <f ca="1">IFERROR(__xludf.DUMMYFUNCTION("GOOGLETRANSLATE(A6711,""bn"",""en"")"),"Great stuff some pieces may be missing from the set")</f>
        <v>Great stuff some pieces may be missing from the set</v>
      </c>
    </row>
    <row r="6712" spans="1:3" ht="15.75" customHeight="1" x14ac:dyDescent="0.25">
      <c r="A6712" s="2" t="s">
        <v>6714</v>
      </c>
      <c r="B6712" s="3" t="s">
        <v>2</v>
      </c>
      <c r="C6712" s="2" t="str">
        <f ca="1">IFERROR(__xludf.DUMMYFUNCTION("GOOGLETRANSLATE(A6712,""bn"",""en"")"),"Has a modern look but not too fashionable")</f>
        <v>Has a modern look but not too fashionable</v>
      </c>
    </row>
    <row r="6713" spans="1:3" ht="15.75" customHeight="1" x14ac:dyDescent="0.25">
      <c r="A6713" s="2" t="s">
        <v>6715</v>
      </c>
      <c r="B6713" s="3" t="s">
        <v>2</v>
      </c>
      <c r="C6713" s="2" t="str">
        <f ca="1">IFERROR(__xludf.DUMMYFUNCTION("GOOGLETRANSLATE(A6713,""bn"",""en"")"),"I like it but eating too much makes me sick")</f>
        <v>I like it but eating too much makes me sick</v>
      </c>
    </row>
    <row r="6714" spans="1:3" ht="15.75" customHeight="1" x14ac:dyDescent="0.25">
      <c r="A6714" s="2" t="s">
        <v>6716</v>
      </c>
      <c r="B6714" s="3" t="s">
        <v>4</v>
      </c>
      <c r="C6714" s="2" t="str">
        <f ca="1">IFERROR(__xludf.DUMMYFUNCTION("GOOGLETRANSLATE(A6714,""bn"",""en"")"),"I got it just like the original ")</f>
        <v xml:space="preserve">I got it just like the original </v>
      </c>
    </row>
    <row r="6715" spans="1:3" ht="15.75" customHeight="1" x14ac:dyDescent="0.25">
      <c r="A6715" s="2" t="s">
        <v>6717</v>
      </c>
      <c r="B6715" s="3" t="s">
        <v>2</v>
      </c>
      <c r="C6715" s="2" t="str">
        <f ca="1">IFERROR(__xludf.DUMMYFUNCTION("GOOGLETRANSLATE(A6715,""bn"",""en"")"),"The smell is a bit strong")</f>
        <v>The smell is a bit strong</v>
      </c>
    </row>
    <row r="6716" spans="1:3" ht="15.75" customHeight="1" x14ac:dyDescent="0.25">
      <c r="A6716" s="2" t="s">
        <v>6718</v>
      </c>
      <c r="B6716" s="3" t="s">
        <v>4</v>
      </c>
      <c r="C6716" s="2" t="str">
        <f ca="1">IFERROR(__xludf.DUMMYFUNCTION("GOOGLETRANSLATE(A6716,""bn"",""en"")"),"All friends can be asked to take it")</f>
        <v>All friends can be asked to take it</v>
      </c>
    </row>
    <row r="6717" spans="1:3" ht="15.75" customHeight="1" x14ac:dyDescent="0.25">
      <c r="A6717" s="2" t="s">
        <v>6719</v>
      </c>
      <c r="B6717" s="3" t="s">
        <v>4</v>
      </c>
      <c r="C6717" s="2" t="str">
        <f ca="1">IFERROR(__xludf.DUMMYFUNCTION("GOOGLETRANSLATE(A6717,""bn"",""en"")"),"very beautiful")</f>
        <v>very beautiful</v>
      </c>
    </row>
    <row r="6718" spans="1:3" ht="15.75" customHeight="1" x14ac:dyDescent="0.25">
      <c r="A6718" s="2" t="s">
        <v>6720</v>
      </c>
      <c r="B6718" s="3" t="s">
        <v>6</v>
      </c>
      <c r="C6718" s="2" t="str">
        <f ca="1">IFERROR(__xludf.DUMMYFUNCTION("GOOGLETRANSLATE(A6718,""bn"",""en"")"),"The general pattern lacks some instructions")</f>
        <v>The general pattern lacks some instructions</v>
      </c>
    </row>
    <row r="6719" spans="1:3" ht="15.75" customHeight="1" x14ac:dyDescent="0.25">
      <c r="A6719" s="2" t="s">
        <v>6721</v>
      </c>
      <c r="B6719" s="3" t="s">
        <v>6</v>
      </c>
      <c r="C6719" s="2" t="str">
        <f ca="1">IFERROR(__xludf.DUMMYFUNCTION("GOOGLETRANSLATE(A6719,""bn"",""en"")")," Sound leakage is significant which disturbs others nearby and compromises privacy when used in public spaces")</f>
        <v xml:space="preserve"> Sound leakage is significant which disturbs others nearby and compromises privacy when used in public spaces</v>
      </c>
    </row>
    <row r="6720" spans="1:3" ht="15.75" customHeight="1" x14ac:dyDescent="0.25">
      <c r="A6720" s="2" t="s">
        <v>6722</v>
      </c>
      <c r="B6720" s="3" t="s">
        <v>4</v>
      </c>
      <c r="C6720" s="2" t="str">
        <f ca="1">IFERROR(__xludf.DUMMYFUNCTION("GOOGLETRANSLATE(A6720,""bn"",""en"")"),"The soap removes germs from the skin")</f>
        <v>The soap removes germs from the skin</v>
      </c>
    </row>
    <row r="6721" spans="1:3" ht="15.75" customHeight="1" x14ac:dyDescent="0.25">
      <c r="A6721" s="2" t="s">
        <v>6723</v>
      </c>
      <c r="B6721" s="3" t="s">
        <v>2</v>
      </c>
      <c r="C6721" s="2" t="str">
        <f ca="1">IFERROR(__xludf.DUMMYFUNCTION("GOOGLETRANSLATE(A6721,""bn"",""en"")"),"The tea quality is good but not great")</f>
        <v>The tea quality is good but not great</v>
      </c>
    </row>
    <row r="6722" spans="1:3" ht="15.75" customHeight="1" x14ac:dyDescent="0.25">
      <c r="A6722" s="2" t="s">
        <v>6724</v>
      </c>
      <c r="B6722" s="3" t="s">
        <v>4</v>
      </c>
      <c r="C6722" s="2" t="str">
        <f ca="1">IFERROR(__xludf.DUMMYFUNCTION("GOOGLETRANSLATE(A6722,""bn"",""en"")"),"It maintains the consistency of makeup")</f>
        <v>It maintains the consistency of makeup</v>
      </c>
    </row>
    <row r="6723" spans="1:3" ht="15.75" customHeight="1" x14ac:dyDescent="0.25">
      <c r="A6723" s="2" t="s">
        <v>6725</v>
      </c>
      <c r="B6723" s="3" t="s">
        <v>2</v>
      </c>
      <c r="C6723" s="2" t="str">
        <f ca="1">IFERROR(__xludf.DUMMYFUNCTION("GOOGLETRANSLATE(A6723,""bn"",""en"")"),"The variety is not much")</f>
        <v>The variety is not much</v>
      </c>
    </row>
    <row r="6724" spans="1:3" ht="15.75" customHeight="1" x14ac:dyDescent="0.25">
      <c r="A6724" s="2" t="s">
        <v>6726</v>
      </c>
      <c r="B6724" s="3" t="s">
        <v>4</v>
      </c>
      <c r="C6724" s="2" t="str">
        <f ca="1">IFERROR(__xludf.DUMMYFUNCTION("GOOGLETRANSLATE(A6724,""bn"",""en"")"),"As soon as the packet is opened, the fragrance spreads")</f>
        <v>As soon as the packet is opened, the fragrance spreads</v>
      </c>
    </row>
    <row r="6725" spans="1:3" ht="15.75" customHeight="1" x14ac:dyDescent="0.25">
      <c r="A6725" s="2" t="s">
        <v>6727</v>
      </c>
      <c r="B6725" s="3" t="s">
        <v>4</v>
      </c>
      <c r="C6725" s="2" t="str">
        <f ca="1">IFERROR(__xludf.DUMMYFUNCTION("GOOGLETRANSLATE(A6725,""bn"",""en"")"),"Every time I drink this coffee I feel a new energy")</f>
        <v>Every time I drink this coffee I feel a new energy</v>
      </c>
    </row>
    <row r="6726" spans="1:3" ht="15.75" customHeight="1" x14ac:dyDescent="0.25">
      <c r="A6726" s="2" t="s">
        <v>6728</v>
      </c>
      <c r="B6726" s="3" t="s">
        <v>2</v>
      </c>
      <c r="C6726" s="2" t="str">
        <f ca="1">IFERROR(__xludf.DUMMYFUNCTION("GOOGLETRANSLATE(A6726,""bn"",""en"")"),"The Smart Pet Feeder delivers food but can be challenging to program")</f>
        <v>The Smart Pet Feeder delivers food but can be challenging to program</v>
      </c>
    </row>
    <row r="6727" spans="1:3" ht="15.75" customHeight="1" x14ac:dyDescent="0.25">
      <c r="A6727" s="2" t="s">
        <v>6729</v>
      </c>
      <c r="B6727" s="3" t="s">
        <v>2</v>
      </c>
      <c r="C6727" s="2" t="str">
        <f ca="1">IFERROR(__xludf.DUMMYFUNCTION("GOOGLETRANSLATE(A6727,""bn"",""en"")"),"The sharpener is of average quality")</f>
        <v>The sharpener is of average quality</v>
      </c>
    </row>
    <row r="6728" spans="1:3" ht="15.75" customHeight="1" x14ac:dyDescent="0.25">
      <c r="A6728" s="2" t="s">
        <v>6730</v>
      </c>
      <c r="B6728" s="3" t="s">
        <v>4</v>
      </c>
      <c r="C6728" s="2" t="str">
        <f ca="1">IFERROR(__xludf.DUMMYFUNCTION("GOOGLETRANSLATE(A6728,""bn"",""en"")"),"There is no problem of coolant leakage, it is environmentally friendly and safe")</f>
        <v>There is no problem of coolant leakage, it is environmentally friendly and safe</v>
      </c>
    </row>
    <row r="6729" spans="1:3" ht="15.75" customHeight="1" x14ac:dyDescent="0.25">
      <c r="A6729" s="2" t="s">
        <v>6731</v>
      </c>
      <c r="B6729" s="3" t="s">
        <v>4</v>
      </c>
      <c r="C6729" s="2" t="str">
        <f ca="1">IFERROR(__xludf.DUMMYFUNCTION("GOOGLETRANSLATE(A6729,""bn"",""en"")"),"The webcam and microphone quality is very good with clear picture and sound in video calls")</f>
        <v>The webcam and microphone quality is very good with clear picture and sound in video calls</v>
      </c>
    </row>
    <row r="6730" spans="1:3" ht="15.75" customHeight="1" x14ac:dyDescent="0.25">
      <c r="A6730" s="2" t="s">
        <v>6732</v>
      </c>
      <c r="B6730" s="3" t="s">
        <v>4</v>
      </c>
      <c r="C6730" s="2" t="str">
        <f ca="1">IFERROR(__xludf.DUMMYFUNCTION("GOOGLETRANSLATE(A6730,""bn"",""en"")"),"Hair has become quite strong with the use of shampoo")</f>
        <v>Hair has become quite strong with the use of shampoo</v>
      </c>
    </row>
    <row r="6731" spans="1:3" ht="15.75" customHeight="1" x14ac:dyDescent="0.25">
      <c r="A6731" s="2" t="s">
        <v>6733</v>
      </c>
      <c r="B6731" s="3" t="s">
        <v>6</v>
      </c>
      <c r="C6731" s="2" t="str">
        <f ca="1">IFERROR(__xludf.DUMMYFUNCTION("GOOGLETRANSLATE(A6731,""bn"",""en"")"),"The loose ring will need to be re-adjusted")</f>
        <v>The loose ring will need to be re-adjusted</v>
      </c>
    </row>
    <row r="6732" spans="1:3" ht="15.75" customHeight="1" x14ac:dyDescent="0.25">
      <c r="A6732" s="2" t="s">
        <v>6734</v>
      </c>
      <c r="B6732" s="3" t="s">
        <v>6</v>
      </c>
      <c r="C6732" s="2" t="str">
        <f ca="1">IFERROR(__xludf.DUMMYFUNCTION("GOOGLETRANSLATE(A6732,""bn"",""en"")"),"Despite the padded compartment, the laptop bag offers minimal protection leaving my device vulnerable to scratches and damage.")</f>
        <v>Despite the padded compartment, the laptop bag offers minimal protection leaving my device vulnerable to scratches and damage.</v>
      </c>
    </row>
    <row r="6733" spans="1:3" ht="15.75" customHeight="1" x14ac:dyDescent="0.25">
      <c r="A6733" s="2" t="s">
        <v>6735</v>
      </c>
      <c r="B6733" s="3" t="s">
        <v>4</v>
      </c>
      <c r="C6733" s="2" t="str">
        <f ca="1">IFERROR(__xludf.DUMMYFUNCTION("GOOGLETRANSLATE(A6733,""bn"",""en"")"),"The soap improves skin texture")</f>
        <v>The soap improves skin texture</v>
      </c>
    </row>
    <row r="6734" spans="1:3" ht="15.75" customHeight="1" x14ac:dyDescent="0.25">
      <c r="A6734" s="2" t="s">
        <v>6736</v>
      </c>
      <c r="B6734" s="3" t="s">
        <v>2</v>
      </c>
      <c r="C6734" s="2" t="str">
        <f ca="1">IFERROR(__xludf.DUMMYFUNCTION("GOOGLETRANSLATE(A6734,""bn"",""en"")"),"Does not inhibit nail growth")</f>
        <v>Does not inhibit nail growth</v>
      </c>
    </row>
    <row r="6735" spans="1:3" ht="15.75" customHeight="1" x14ac:dyDescent="0.25">
      <c r="A6735" s="2" t="s">
        <v>6737</v>
      </c>
      <c r="B6735" s="3" t="s">
        <v>6</v>
      </c>
      <c r="C6735" s="2" t="str">
        <f ca="1">IFERROR(__xludf.DUMMYFUNCTION("GOOGLETRANSLATE(A6735,""bn"",""en"")"),"Unsatisfactory workmanship is not recommended")</f>
        <v>Unsatisfactory workmanship is not recommended</v>
      </c>
    </row>
    <row r="6736" spans="1:3" ht="15.75" customHeight="1" x14ac:dyDescent="0.25">
      <c r="A6736" s="2" t="s">
        <v>6738</v>
      </c>
      <c r="B6736" s="3" t="s">
        <v>2</v>
      </c>
      <c r="C6736" s="2" t="str">
        <f ca="1">IFERROR(__xludf.DUMMYFUNCTION("GOOGLETRANSLATE(A6736,""bn"",""en"")"),"Dress is comfortable but color not liked")</f>
        <v>Dress is comfortable but color not liked</v>
      </c>
    </row>
    <row r="6737" spans="1:3" ht="15.75" customHeight="1" x14ac:dyDescent="0.25">
      <c r="A6737" s="2" t="s">
        <v>6739</v>
      </c>
      <c r="B6737" s="3" t="s">
        <v>6</v>
      </c>
      <c r="C6737" s="2" t="str">
        <f ca="1">IFERROR(__xludf.DUMMYFUNCTION("GOOGLETRANSLATE(A6737,""bn"",""en"")"),"The painting set lacked variety in brush sizes")</f>
        <v>The painting set lacked variety in brush sizes</v>
      </c>
    </row>
    <row r="6738" spans="1:3" ht="15.75" customHeight="1" x14ac:dyDescent="0.25">
      <c r="A6738" s="2" t="s">
        <v>6740</v>
      </c>
      <c r="B6738" s="3" t="s">
        <v>6</v>
      </c>
      <c r="C6738" s="2" t="str">
        <f ca="1">IFERROR(__xludf.DUMMYFUNCTION("GOOGLETRANSLATE(A6738,""bn"",""en"")")," The door seal is deformed causing steam to escape during operation")</f>
        <v xml:space="preserve"> The door seal is deformed causing steam to escape during operation</v>
      </c>
    </row>
    <row r="6739" spans="1:3" ht="15.75" customHeight="1" x14ac:dyDescent="0.25">
      <c r="A6739" s="2" t="s">
        <v>6741</v>
      </c>
      <c r="B6739" s="3" t="s">
        <v>2</v>
      </c>
      <c r="C6739" s="2" t="str">
        <f ca="1">IFERROR(__xludf.DUMMYFUNCTION("GOOGLETRANSLATE(A6739,""bn"",""en"")"),"Others have used it so I had to try it too")</f>
        <v>Others have used it so I had to try it too</v>
      </c>
    </row>
    <row r="6740" spans="1:3" ht="15.75" customHeight="1" x14ac:dyDescent="0.25">
      <c r="A6740" s="2" t="s">
        <v>6742</v>
      </c>
      <c r="B6740" s="3" t="s">
        <v>6</v>
      </c>
      <c r="C6740" s="2" t="str">
        <f ca="1">IFERROR(__xludf.DUMMYFUNCTION("GOOGLETRANSLATE(A6740,""bn"",""en"")"),"The ongoing dirt problem needs urgent attention")</f>
        <v>The ongoing dirt problem needs urgent attention</v>
      </c>
    </row>
    <row r="6741" spans="1:3" ht="15.75" customHeight="1" x14ac:dyDescent="0.25">
      <c r="A6741" s="2" t="s">
        <v>6743</v>
      </c>
      <c r="B6741" s="3" t="s">
        <v>6</v>
      </c>
      <c r="C6741" s="2" t="str">
        <f ca="1">IFERROR(__xludf.DUMMYFUNCTION("GOOGLETRANSLATE(A6741,""bn"",""en"")"),"The brushes were uncomfortable to hold for long periods of time")</f>
        <v>The brushes were uncomfortable to hold for long periods of time</v>
      </c>
    </row>
    <row r="6742" spans="1:3" ht="15.75" customHeight="1" x14ac:dyDescent="0.25">
      <c r="A6742" s="2" t="s">
        <v>6744</v>
      </c>
      <c r="B6742" s="3" t="s">
        <v>4</v>
      </c>
      <c r="C6742" s="2" t="str">
        <f ca="1">IFERROR(__xludf.DUMMYFUNCTION("GOOGLETRANSLATE(A6742,""bn"",""en"")"),"The stationery case is very large and can hold a lot of things")</f>
        <v>The stationery case is very large and can hold a lot of things</v>
      </c>
    </row>
    <row r="6743" spans="1:3" ht="15.75" customHeight="1" x14ac:dyDescent="0.25">
      <c r="A6743" s="2" t="s">
        <v>6745</v>
      </c>
      <c r="B6743" s="3" t="s">
        <v>4</v>
      </c>
      <c r="C6743" s="2" t="str">
        <f ca="1">IFERROR(__xludf.DUMMYFUNCTION("GOOGLETRANSLATE(A6743,""bn"",""en"")"),"Expensive but worth it")</f>
        <v>Expensive but worth it</v>
      </c>
    </row>
    <row r="6744" spans="1:3" ht="15.75" customHeight="1" x14ac:dyDescent="0.25">
      <c r="A6744" s="2" t="s">
        <v>6746</v>
      </c>
      <c r="B6744" s="3" t="s">
        <v>4</v>
      </c>
      <c r="C6744" s="2" t="str">
        <f ca="1">IFERROR(__xludf.DUMMYFUNCTION("GOOGLETRANSLATE(A6744,""bn"",""en"")"),"This cooler cools the room quickly")</f>
        <v>This cooler cools the room quickly</v>
      </c>
    </row>
    <row r="6745" spans="1:3" ht="15.75" customHeight="1" x14ac:dyDescent="0.25">
      <c r="A6745" s="2" t="s">
        <v>6747</v>
      </c>
      <c r="B6745" s="3" t="s">
        <v>2</v>
      </c>
      <c r="C6745" s="2" t="str">
        <f ca="1">IFERROR(__xludf.DUMMYFUNCTION("GOOGLETRANSLATE(A6745,""bn"",""en"")"),"The selfie stick is easy to use but sometimes it can be difficult to take a selfie properly")</f>
        <v>The selfie stick is easy to use but sometimes it can be difficult to take a selfie properly</v>
      </c>
    </row>
    <row r="6746" spans="1:3" ht="15.75" customHeight="1" x14ac:dyDescent="0.25">
      <c r="A6746" s="2" t="s">
        <v>6748</v>
      </c>
      <c r="B6746" s="3" t="s">
        <v>6</v>
      </c>
      <c r="C6746" s="2" t="str">
        <f ca="1">IFERROR(__xludf.DUMMYFUNCTION("GOOGLETRANSLATE(A6746,""bn"",""en"")")," The wire tangles easily and needs to be turned frequently before use")</f>
        <v xml:space="preserve"> The wire tangles easily and needs to be turned frequently before use</v>
      </c>
    </row>
    <row r="6747" spans="1:3" ht="15.75" customHeight="1" x14ac:dyDescent="0.25">
      <c r="A6747" s="2" t="s">
        <v>6749</v>
      </c>
      <c r="B6747" s="3" t="s">
        <v>2</v>
      </c>
      <c r="C6747" s="2" t="str">
        <f ca="1">IFERROR(__xludf.DUMMYFUNCTION("GOOGLETRANSLATE(A6747,""bn"",""en"")"),"The screen should not be pressed during use")</f>
        <v>The screen should not be pressed during use</v>
      </c>
    </row>
    <row r="6748" spans="1:3" ht="15.75" customHeight="1" x14ac:dyDescent="0.25">
      <c r="A6748" s="2" t="s">
        <v>6750</v>
      </c>
      <c r="B6748" s="3" t="s">
        <v>2</v>
      </c>
      <c r="C6748" s="2" t="str">
        <f ca="1">IFERROR(__xludf.DUMMYFUNCTION("GOOGLETRANSLATE(A6748,""bn"",""en"")"),"The color is slightly shiny")</f>
        <v>The color is slightly shiny</v>
      </c>
    </row>
    <row r="6749" spans="1:3" ht="15.75" customHeight="1" x14ac:dyDescent="0.25">
      <c r="A6749" s="2" t="s">
        <v>6751</v>
      </c>
      <c r="B6749" s="3" t="s">
        <v>4</v>
      </c>
      <c r="C6749" s="2" t="str">
        <f ca="1">IFERROR(__xludf.DUMMYFUNCTION("GOOGLETRANSLATE(A6749,""bn"",""en"")"),"The product is good, you can definitely take it")</f>
        <v>The product is good, you can definitely take it</v>
      </c>
    </row>
    <row r="6750" spans="1:3" ht="15.75" customHeight="1" x14ac:dyDescent="0.25">
      <c r="A6750" s="2" t="s">
        <v>6752</v>
      </c>
      <c r="B6750" s="3" t="s">
        <v>4</v>
      </c>
      <c r="C6750" s="2" t="str">
        <f ca="1">IFERROR(__xludf.DUMMYFUNCTION("GOOGLETRANSLATE(A6750,""bn"",""en"")"),"The makeup kit is suitable for any age")</f>
        <v>The makeup kit is suitable for any age</v>
      </c>
    </row>
    <row r="6751" spans="1:3" ht="15.75" customHeight="1" x14ac:dyDescent="0.25">
      <c r="A6751" s="2" t="s">
        <v>6753</v>
      </c>
      <c r="B6751" s="3" t="s">
        <v>2</v>
      </c>
      <c r="C6751" s="2" t="str">
        <f ca="1">IFERROR(__xludf.DUMMYFUNCTION("GOOGLETRANSLATE(A6751,""bn"",""en"")"),"The size is just right to keep in a pocket")</f>
        <v>The size is just right to keep in a pocket</v>
      </c>
    </row>
    <row r="6752" spans="1:3" ht="15.75" customHeight="1" x14ac:dyDescent="0.25">
      <c r="A6752" s="2" t="s">
        <v>6754</v>
      </c>
      <c r="B6752" s="3" t="s">
        <v>4</v>
      </c>
      <c r="C6752" s="2" t="str">
        <f ca="1">IFERROR(__xludf.DUMMYFUNCTION("GOOGLETRANSLATE(A6752,""bn"",""en"")"),"Made of high quality materials")</f>
        <v>Made of high quality materials</v>
      </c>
    </row>
    <row r="6753" spans="1:3" ht="15.75" customHeight="1" x14ac:dyDescent="0.25">
      <c r="A6753" s="2" t="s">
        <v>6755</v>
      </c>
      <c r="B6753" s="3" t="s">
        <v>4</v>
      </c>
      <c r="C6753" s="2" t="str">
        <f ca="1">IFERROR(__xludf.DUMMYFUNCTION("GOOGLETRANSLATE(A6753,""bn"",""en"")"),"The design of the earrings is so beautiful that I don't want to take them off")</f>
        <v>The design of the earrings is so beautiful that I don't want to take them off</v>
      </c>
    </row>
    <row r="6754" spans="1:3" ht="15.75" customHeight="1" x14ac:dyDescent="0.25">
      <c r="A6754" s="2" t="s">
        <v>6756</v>
      </c>
      <c r="B6754" s="3" t="s">
        <v>2</v>
      </c>
      <c r="C6754" s="2" t="str">
        <f ca="1">IFERROR(__xludf.DUMMYFUNCTION("GOOGLETRANSLATE(A6754,""bn"",""en"")"),"A fork can be used but not too sharp")</f>
        <v>A fork can be used but not too sharp</v>
      </c>
    </row>
    <row r="6755" spans="1:3" ht="15.75" customHeight="1" x14ac:dyDescent="0.25">
      <c r="A6755" s="2" t="s">
        <v>6757</v>
      </c>
      <c r="B6755" s="3" t="s">
        <v>6</v>
      </c>
      <c r="C6755" s="2" t="str">
        <f ca="1">IFERROR(__xludf.DUMMYFUNCTION("GOOGLETRANSLATE(A6755,""bn"",""en"")"),"Portable grill does not heat evenly uneven cooking")</f>
        <v>Portable grill does not heat evenly uneven cooking</v>
      </c>
    </row>
    <row r="6756" spans="1:3" ht="15.75" customHeight="1" x14ac:dyDescent="0.25">
      <c r="A6756" s="2" t="s">
        <v>6758</v>
      </c>
      <c r="B6756" s="3" t="s">
        <v>6</v>
      </c>
      <c r="C6756" s="2" t="str">
        <f ca="1">IFERROR(__xludf.DUMMYFUNCTION("GOOGLETRANSLATE(A6756,""bn"",""en"")"),"  The neckline exposes more skin than is desirable and makes it inappropriate for certain occasions")</f>
        <v xml:space="preserve">  The neckline exposes more skin than is desirable and makes it inappropriate for certain occasions</v>
      </c>
    </row>
    <row r="6757" spans="1:3" ht="15.75" customHeight="1" x14ac:dyDescent="0.25">
      <c r="A6757" s="2" t="s">
        <v>6759</v>
      </c>
      <c r="B6757" s="3" t="s">
        <v>4</v>
      </c>
      <c r="C6757" s="2" t="str">
        <f ca="1">IFERROR(__xludf.DUMMYFUNCTION("GOOGLETRANSLATE(A6757,""bn"",""en"")"),"It fits anywhere in the house")</f>
        <v>It fits anywhere in the house</v>
      </c>
    </row>
    <row r="6758" spans="1:3" ht="15.75" customHeight="1" x14ac:dyDescent="0.25">
      <c r="A6758" s="2" t="s">
        <v>6760</v>
      </c>
      <c r="B6758" s="3" t="s">
        <v>4</v>
      </c>
      <c r="C6758" s="2" t="str">
        <f ca="1">IFERROR(__xludf.DUMMYFUNCTION("GOOGLETRANSLATE(A6758,""bn"",""en"")"),"The coffee machine works very fast")</f>
        <v>The coffee machine works very fast</v>
      </c>
    </row>
    <row r="6759" spans="1:3" ht="15.75" customHeight="1" x14ac:dyDescent="0.25">
      <c r="A6759" s="2" t="s">
        <v>6761</v>
      </c>
      <c r="B6759" s="3" t="s">
        <v>4</v>
      </c>
      <c r="C6759" s="2" t="str">
        <f ca="1">IFERROR(__xludf.DUMMYFUNCTION("GOOGLETRANSLATE(A6759,""bn"",""en"")"),"I especially liked the size of the plates, they are large enough for large meals but don't take up too much space on the table")</f>
        <v>I especially liked the size of the plates, they are large enough for large meals but don't take up too much space on the table</v>
      </c>
    </row>
    <row r="6760" spans="1:3" ht="15.75" customHeight="1" x14ac:dyDescent="0.25">
      <c r="A6760" s="2" t="s">
        <v>6762</v>
      </c>
      <c r="B6760" s="3" t="s">
        <v>4</v>
      </c>
      <c r="C6760" s="2" t="str">
        <f ca="1">IFERROR(__xludf.DUMMYFUNCTION("GOOGLETRANSLATE(A6760,""bn"",""en"")"),"Makes your skin fresh and alive")</f>
        <v>Makes your skin fresh and alive</v>
      </c>
    </row>
    <row r="6761" spans="1:3" ht="15.75" customHeight="1" x14ac:dyDescent="0.25">
      <c r="A6761" s="2" t="s">
        <v>6763</v>
      </c>
      <c r="B6761" s="3" t="s">
        <v>4</v>
      </c>
      <c r="C6761" s="2" t="str">
        <f ca="1">IFERROR(__xludf.DUMMYFUNCTION("GOOGLETRANSLATE(A6761,""bn"",""en"")"),"It is very beneficial for night sleep")</f>
        <v>It is very beneficial for night sleep</v>
      </c>
    </row>
    <row r="6762" spans="1:3" ht="15.75" customHeight="1" x14ac:dyDescent="0.25">
      <c r="A6762" s="2" t="s">
        <v>6764</v>
      </c>
      <c r="B6762" s="3" t="s">
        <v>2</v>
      </c>
      <c r="C6762" s="2" t="str">
        <f ca="1">IFERROR(__xludf.DUMMYFUNCTION("GOOGLETRANSLATE(A6762,""bn"",""en"")"),"Value for money is fair")</f>
        <v>Value for money is fair</v>
      </c>
    </row>
    <row r="6763" spans="1:3" ht="15.75" customHeight="1" x14ac:dyDescent="0.25">
      <c r="A6763" s="2" t="s">
        <v>6765</v>
      </c>
      <c r="B6763" s="3" t="s">
        <v>2</v>
      </c>
      <c r="C6763" s="2" t="str">
        <f ca="1">IFERROR(__xludf.DUMMYFUNCTION("GOOGLETRANSLATE(A6763,""bn"",""en"")"),"Great product with some limitations")</f>
        <v>Great product with some limitations</v>
      </c>
    </row>
    <row r="6764" spans="1:3" ht="15.75" customHeight="1" x14ac:dyDescent="0.25">
      <c r="A6764" s="2" t="s">
        <v>6766</v>
      </c>
      <c r="B6764" s="3" t="s">
        <v>4</v>
      </c>
      <c r="C6764" s="2" t="str">
        <f ca="1">IFERROR(__xludf.DUMMYFUNCTION("GOOGLETRANSLATE(A6764,""bn"",""en"")"),"The child helps in cooking with his mother")</f>
        <v>The child helps in cooking with his mother</v>
      </c>
    </row>
    <row r="6765" spans="1:3" ht="15.75" customHeight="1" x14ac:dyDescent="0.25">
      <c r="A6765" s="2" t="s">
        <v>6767</v>
      </c>
      <c r="B6765" s="3" t="s">
        <v>2</v>
      </c>
      <c r="C6765" s="2" t="str">
        <f ca="1">IFERROR(__xludf.DUMMYFUNCTION("GOOGLETRANSLATE(A6765,""bn"",""en"")"),"It is quite straightforward but the quality is average")</f>
        <v>It is quite straightforward but the quality is average</v>
      </c>
    </row>
    <row r="6766" spans="1:3" ht="15.75" customHeight="1" x14ac:dyDescent="0.25">
      <c r="A6766" s="2" t="s">
        <v>6768</v>
      </c>
      <c r="B6766" s="3" t="s">
        <v>6</v>
      </c>
      <c r="C6766" s="2" t="str">
        <f ca="1">IFERROR(__xludf.DUMMYFUNCTION("GOOGLETRANSLATE(A6766,""bn"",""en"")"),"The fridge door does not close automatically, creating a risk of accidentally leaving it open")</f>
        <v>The fridge door does not close automatically, creating a risk of accidentally leaving it open</v>
      </c>
    </row>
    <row r="6767" spans="1:3" ht="15.75" customHeight="1" x14ac:dyDescent="0.25">
      <c r="A6767" s="2" t="s">
        <v>6769</v>
      </c>
      <c r="B6767" s="3" t="s">
        <v>4</v>
      </c>
      <c r="C6767" s="2" t="str">
        <f ca="1">IFERROR(__xludf.DUMMYFUNCTION("GOOGLETRANSLATE(A6767,""bn"",""en"")"),"I really like the bigger size bag it can help me hold more stuff thanks Daraz and Cellar")</f>
        <v>I really like the bigger size bag it can help me hold more stuff thanks Daraz and Cellar</v>
      </c>
    </row>
    <row r="6768" spans="1:3" ht="15.75" customHeight="1" x14ac:dyDescent="0.25">
      <c r="A6768" s="2" t="s">
        <v>6770</v>
      </c>
      <c r="B6768" s="3" t="s">
        <v>6</v>
      </c>
      <c r="C6768" s="2" t="str">
        <f ca="1">IFERROR(__xludf.DUMMYFUNCTION("GOOGLETRANSLATE(A6768,""bn"",""en"")")," The turntable motor emits a burning smell when in use which indicates overheating")</f>
        <v xml:space="preserve"> The turntable motor emits a burning smell when in use which indicates overheating</v>
      </c>
    </row>
    <row r="6769" spans="1:3" ht="15.75" customHeight="1" x14ac:dyDescent="0.25">
      <c r="A6769" s="2" t="s">
        <v>6771</v>
      </c>
      <c r="B6769" s="3" t="s">
        <v>4</v>
      </c>
      <c r="C6769" s="2" t="str">
        <f ca="1">IFERROR(__xludf.DUMMYFUNCTION("GOOGLETRANSLATE(A6769,""bn"",""en"")"),"Each layer of the shelf is able to hold weight")</f>
        <v>Each layer of the shelf is able to hold weight</v>
      </c>
    </row>
    <row r="6770" spans="1:3" ht="15.75" customHeight="1" x14ac:dyDescent="0.25">
      <c r="A6770" s="2" t="s">
        <v>6772</v>
      </c>
      <c r="B6770" s="3" t="s">
        <v>6</v>
      </c>
      <c r="C6770" s="2" t="str">
        <f ca="1">IFERROR(__xludf.DUMMYFUNCTION("GOOGLETRANSLATE(A6770,""bn"",""en"")"),"Thin and flimsy fabric that feels cheap and frivolous")</f>
        <v>Thin and flimsy fabric that feels cheap and frivolous</v>
      </c>
    </row>
    <row r="6771" spans="1:3" ht="15.75" customHeight="1" x14ac:dyDescent="0.25">
      <c r="A6771" s="2" t="s">
        <v>6773</v>
      </c>
      <c r="B6771" s="3" t="s">
        <v>4</v>
      </c>
      <c r="C6771" s="2" t="str">
        <f ca="1">IFERROR(__xludf.DUMMYFUNCTION("GOOGLETRANSLATE(A6771,""bn"",""en"")"),"The cream is quickly absorbed without any sticky feeling")</f>
        <v>The cream is quickly absorbed without any sticky feeling</v>
      </c>
    </row>
    <row r="6772" spans="1:3" ht="15.75" customHeight="1" x14ac:dyDescent="0.25">
      <c r="A6772" s="2" t="s">
        <v>6774</v>
      </c>
      <c r="B6772" s="3" t="s">
        <v>2</v>
      </c>
      <c r="C6772" s="2" t="str">
        <f ca="1">IFERROR(__xludf.DUMMYFUNCTION("GOOGLETRANSLATE(A6772,""bn"",""en"")"),"Quality medium fabric is sturdy")</f>
        <v>Quality medium fabric is sturdy</v>
      </c>
    </row>
    <row r="6773" spans="1:3" ht="15.75" customHeight="1" x14ac:dyDescent="0.25">
      <c r="A6773" s="2" t="s">
        <v>6775</v>
      </c>
      <c r="B6773" s="3" t="s">
        <v>2</v>
      </c>
      <c r="C6773" s="2" t="str">
        <f ca="1">IFERROR(__xludf.DUMMYFUNCTION("GOOGLETRANSLATE(A6773,""bn"",""en"")"),"It is available in different shapes but all look similar")</f>
        <v>It is available in different shapes but all look similar</v>
      </c>
    </row>
    <row r="6774" spans="1:3" ht="15.75" customHeight="1" x14ac:dyDescent="0.25">
      <c r="A6774" s="2" t="s">
        <v>6776</v>
      </c>
      <c r="B6774" s="3" t="s">
        <v>6</v>
      </c>
      <c r="C6774" s="2" t="str">
        <f ca="1">IFERROR(__xludf.DUMMYFUNCTION("GOOGLETRANSLATE(A6774,""bn"",""en"")"),"Unsatisfactory quality fails to meet expectations")</f>
        <v>Unsatisfactory quality fails to meet expectations</v>
      </c>
    </row>
    <row r="6775" spans="1:3" ht="15.75" customHeight="1" x14ac:dyDescent="0.25">
      <c r="A6775" s="2" t="s">
        <v>6777</v>
      </c>
      <c r="B6775" s="3" t="s">
        <v>6</v>
      </c>
      <c r="C6775" s="2" t="str">
        <f ca="1">IFERROR(__xludf.DUMMYFUNCTION("GOOGLETRANSLATE(A6775,""bn"",""en"")"),"Unsatisfactory performance")</f>
        <v>Unsatisfactory performance</v>
      </c>
    </row>
    <row r="6776" spans="1:3" ht="15.75" customHeight="1" x14ac:dyDescent="0.25">
      <c r="A6776" s="2" t="s">
        <v>6778</v>
      </c>
      <c r="B6776" s="3" t="s">
        <v>6</v>
      </c>
      <c r="C6776" s="2" t="str">
        <f ca="1">IFERROR(__xludf.DUMMYFUNCTION("GOOGLETRANSLATE(A6776,""bn"",""en"")"),"Port locations on laptops make poor peripheral connections and cable management difficult")</f>
        <v>Port locations on laptops make poor peripheral connections and cable management difficult</v>
      </c>
    </row>
    <row r="6777" spans="1:3" ht="15.75" customHeight="1" x14ac:dyDescent="0.25">
      <c r="A6777" s="2" t="s">
        <v>6779</v>
      </c>
      <c r="B6777" s="3" t="s">
        <v>4</v>
      </c>
      <c r="C6777" s="2" t="str">
        <f ca="1">IFERROR(__xludf.DUMMYFUNCTION("GOOGLETRANSLATE(A6777,""bn"",""en"")"),"The design of the device is modern and attractive")</f>
        <v>The design of the device is modern and attractive</v>
      </c>
    </row>
    <row r="6778" spans="1:3" ht="15.75" customHeight="1" x14ac:dyDescent="0.25">
      <c r="A6778" s="2" t="s">
        <v>6780</v>
      </c>
      <c r="B6778" s="3" t="s">
        <v>4</v>
      </c>
      <c r="C6778" s="2" t="str">
        <f ca="1">IFERROR(__xludf.DUMMYFUNCTION("GOOGLETRANSLATE(A6778,""bn"",""en"")"),"It amazes me how this doll has sparked my daughter's imagination as she creates stories and acts out for the doll.")</f>
        <v>It amazes me how this doll has sparked my daughter's imagination as she creates stories and acts out for the doll.</v>
      </c>
    </row>
    <row r="6779" spans="1:3" ht="15.75" customHeight="1" x14ac:dyDescent="0.25">
      <c r="A6779" s="2" t="s">
        <v>6781</v>
      </c>
      <c r="B6779" s="3" t="s">
        <v>6</v>
      </c>
      <c r="C6779" s="2" t="str">
        <f ca="1">IFERROR(__xludf.DUMMYFUNCTION("GOOGLETRANSLATE(A6779,""bn"",""en"")"),"Dishwasher racks rusted damaging delicate foods")</f>
        <v>Dishwasher racks rusted damaging delicate foods</v>
      </c>
    </row>
    <row r="6780" spans="1:3" ht="15.75" customHeight="1" x14ac:dyDescent="0.25">
      <c r="A6780" s="2" t="s">
        <v>6782</v>
      </c>
      <c r="B6780" s="3" t="s">
        <v>2</v>
      </c>
      <c r="C6780" s="2" t="str">
        <f ca="1">IFERROR(__xludf.DUMMYFUNCTION("GOOGLETRANSLATE(A6780,""bn"",""en"")"),"There are some products")</f>
        <v>There are some products</v>
      </c>
    </row>
    <row r="6781" spans="1:3" ht="15.75" customHeight="1" x14ac:dyDescent="0.25">
      <c r="A6781" s="2" t="s">
        <v>6783</v>
      </c>
      <c r="B6781" s="3" t="s">
        <v>4</v>
      </c>
      <c r="C6781" s="2" t="str">
        <f ca="1">IFERROR(__xludf.DUMMYFUNCTION("GOOGLETRANSLATE(A6781,""bn"",""en"")"),"The wall mounting system behind the cupboard is very secure")</f>
        <v>The wall mounting system behind the cupboard is very secure</v>
      </c>
    </row>
    <row r="6782" spans="1:3" ht="15.75" customHeight="1" x14ac:dyDescent="0.25">
      <c r="A6782" s="2" t="s">
        <v>6784</v>
      </c>
      <c r="B6782" s="3" t="s">
        <v>6</v>
      </c>
      <c r="C6782" s="2" t="str">
        <f ca="1">IFERROR(__xludf.DUMMYFUNCTION("GOOGLETRANSLATE(A6782,""bn"",""en"")"),"Poor light performance results in noisy and grainy photos")</f>
        <v>Poor light performance results in noisy and grainy photos</v>
      </c>
    </row>
    <row r="6783" spans="1:3" ht="15.75" customHeight="1" x14ac:dyDescent="0.25">
      <c r="A6783" s="2" t="s">
        <v>6785</v>
      </c>
      <c r="B6783" s="3" t="s">
        <v>2</v>
      </c>
      <c r="C6783" s="2" t="str">
        <f ca="1">IFERROR(__xludf.DUMMYFUNCTION("GOOGLETRANSLATE(A6783,""bn"",""en"")"),"There is no innovation in the design")</f>
        <v>There is no innovation in the design</v>
      </c>
    </row>
    <row r="6784" spans="1:3" ht="15.75" customHeight="1" x14ac:dyDescent="0.25">
      <c r="A6784" s="2" t="s">
        <v>6786</v>
      </c>
      <c r="B6784" s="3" t="s">
        <v>4</v>
      </c>
      <c r="C6784" s="2" t="str">
        <f ca="1">IFERROR(__xludf.DUMMYFUNCTION("GOOGLETRANSLATE(A6784,""bn"",""en"")"),"This pad has become an essential accessory during my periods")</f>
        <v>This pad has become an essential accessory during my periods</v>
      </c>
    </row>
    <row r="6785" spans="1:3" ht="15.75" customHeight="1" x14ac:dyDescent="0.25">
      <c r="A6785" s="2" t="s">
        <v>6787</v>
      </c>
      <c r="B6785" s="3" t="s">
        <v>4</v>
      </c>
      <c r="C6785" s="2" t="str">
        <f ca="1">IFERROR(__xludf.DUMMYFUNCTION("GOOGLETRANSLATE(A6785,""bn"",""en"")"),"Nice to work with you ")</f>
        <v xml:space="preserve">Nice to work with you </v>
      </c>
    </row>
    <row r="6786" spans="1:3" ht="15.75" customHeight="1" x14ac:dyDescent="0.25">
      <c r="A6786" s="2" t="s">
        <v>6788</v>
      </c>
      <c r="B6786" s="3" t="s">
        <v>4</v>
      </c>
      <c r="C6786" s="2" t="str">
        <f ca="1">IFERROR(__xludf.DUMMYFUNCTION("GOOGLETRANSLATE(A6786,""bn"",""en"")"),"The quality of the tea indicates that it is made from the highest quality leaves")</f>
        <v>The quality of the tea indicates that it is made from the highest quality leaves</v>
      </c>
    </row>
    <row r="6787" spans="1:3" ht="15.75" customHeight="1" x14ac:dyDescent="0.25">
      <c r="A6787" s="2" t="s">
        <v>6789</v>
      </c>
      <c r="B6787" s="3" t="s">
        <v>6</v>
      </c>
      <c r="C6787" s="2" t="str">
        <f ca="1">IFERROR(__xludf.DUMMYFUNCTION("GOOGLETRANSLATE(A6787,""bn"",""en"")"),"Despite being described as handcrafted, the jewelry shows signs of sloppy craftsmanship with visible flaws and imperfections")</f>
        <v>Despite being described as handcrafted, the jewelry shows signs of sloppy craftsmanship with visible flaws and imperfections</v>
      </c>
    </row>
    <row r="6788" spans="1:3" ht="15.75" customHeight="1" x14ac:dyDescent="0.25">
      <c r="A6788" s="2" t="s">
        <v>6790</v>
      </c>
      <c r="B6788" s="3" t="s">
        <v>2</v>
      </c>
      <c r="C6788" s="2" t="str">
        <f ca="1">IFERROR(__xludf.DUMMYFUNCTION("GOOGLETRANSLATE(A6788,""bn"",""en"")"),"Not just gifts")</f>
        <v>Not just gifts</v>
      </c>
    </row>
    <row r="6789" spans="1:3" ht="15.75" customHeight="1" x14ac:dyDescent="0.25">
      <c r="A6789" s="2" t="s">
        <v>6791</v>
      </c>
      <c r="B6789" s="3" t="s">
        <v>2</v>
      </c>
      <c r="C6789" s="2" t="str">
        <f ca="1">IFERROR(__xludf.DUMMYFUNCTION("GOOGLETRANSLATE(A6789,""bn"",""en"")"),"The fertilizer was somewhat effective but yield was not as expected")</f>
        <v>The fertilizer was somewhat effective but yield was not as expected</v>
      </c>
    </row>
    <row r="6790" spans="1:3" ht="15.75" customHeight="1" x14ac:dyDescent="0.25">
      <c r="A6790" s="2" t="s">
        <v>6792</v>
      </c>
      <c r="B6790" s="3" t="s">
        <v>4</v>
      </c>
      <c r="C6790" s="2" t="str">
        <f ca="1">IFERROR(__xludf.DUMMYFUNCTION("GOOGLETRANSLATE(A6790,""bn"",""en"")"),"Shurack is designed to hold many pairs of shoes at the same time")</f>
        <v>Shurack is designed to hold many pairs of shoes at the same time</v>
      </c>
    </row>
    <row r="6791" spans="1:3" ht="15.75" customHeight="1" x14ac:dyDescent="0.25">
      <c r="A6791" s="2" t="s">
        <v>6793</v>
      </c>
      <c r="B6791" s="3" t="s">
        <v>2</v>
      </c>
      <c r="C6791" s="2" t="str">
        <f ca="1">IFERROR(__xludf.DUMMYFUNCTION("GOOGLETRANSLATE(A6791,""bn"",""en"")"),"Sensor sensitivity is fine")</f>
        <v>Sensor sensitivity is fine</v>
      </c>
    </row>
    <row r="6792" spans="1:3" ht="15.75" customHeight="1" x14ac:dyDescent="0.25">
      <c r="A6792" s="2" t="s">
        <v>6794</v>
      </c>
      <c r="B6792" s="3" t="s">
        <v>2</v>
      </c>
      <c r="C6792" s="2" t="str">
        <f ca="1">IFERROR(__xludf.DUMMYFUNCTION("GOOGLETRANSLATE(A6792,""bn"",""en"")"),"The torch light is a bit big")</f>
        <v>The torch light is a bit big</v>
      </c>
    </row>
    <row r="6793" spans="1:3" ht="15.75" customHeight="1" x14ac:dyDescent="0.25">
      <c r="A6793" s="2" t="s">
        <v>6795</v>
      </c>
      <c r="B6793" s="3" t="s">
        <v>4</v>
      </c>
      <c r="C6793" s="2" t="str">
        <f ca="1">IFERROR(__xludf.DUMMYFUNCTION("GOOGLETRANSLATE(A6793,""bn"",""en"")")," Beneficial Supplements")</f>
        <v xml:space="preserve"> Beneficial Supplements</v>
      </c>
    </row>
    <row r="6794" spans="1:3" ht="15.75" customHeight="1" x14ac:dyDescent="0.25">
      <c r="A6794" s="2" t="s">
        <v>6796</v>
      </c>
      <c r="B6794" s="3" t="s">
        <v>2</v>
      </c>
      <c r="C6794" s="2" t="str">
        <f ca="1">IFERROR(__xludf.DUMMYFUNCTION("GOOGLETRANSLATE(A6794,""bn"",""en"")"),"The handle of the brush is comfortable but it hurts the hand a little after prolonged use")</f>
        <v>The handle of the brush is comfortable but it hurts the hand a little after prolonged use</v>
      </c>
    </row>
    <row r="6795" spans="1:3" ht="15.75" customHeight="1" x14ac:dyDescent="0.25">
      <c r="A6795" s="2" t="s">
        <v>6797</v>
      </c>
      <c r="B6795" s="3" t="s">
        <v>2</v>
      </c>
      <c r="C6795" s="2" t="str">
        <f ca="1">IFERROR(__xludf.DUMMYFUNCTION("GOOGLETRANSLATE(A6795,""bn"",""en"")"),"The charge duration is relatively short")</f>
        <v>The charge duration is relatively short</v>
      </c>
    </row>
    <row r="6796" spans="1:3" ht="15.75" customHeight="1" x14ac:dyDescent="0.25">
      <c r="A6796" s="2" t="s">
        <v>6798</v>
      </c>
      <c r="B6796" s="3" t="s">
        <v>2</v>
      </c>
      <c r="C6796" s="2" t="str">
        <f ca="1">IFERROR(__xludf.DUMMYFUNCTION("GOOGLETRANSLATE(A6796,""bn"",""en"")"),"Performance varies by room size")</f>
        <v>Performance varies by room size</v>
      </c>
    </row>
    <row r="6797" spans="1:3" ht="15.75" customHeight="1" x14ac:dyDescent="0.25">
      <c r="A6797" s="2" t="s">
        <v>6799</v>
      </c>
      <c r="B6797" s="3" t="s">
        <v>6</v>
      </c>
      <c r="C6797" s="2" t="str">
        <f ca="1">IFERROR(__xludf.DUMMYFUNCTION("GOOGLETRANSLATE(A6797,""bn"",""en"")"),"  The oil left a greasy film on my skin")</f>
        <v xml:space="preserve">  The oil left a greasy film on my skin</v>
      </c>
    </row>
    <row r="6798" spans="1:3" ht="15.75" customHeight="1" x14ac:dyDescent="0.25">
      <c r="A6798" s="2" t="s">
        <v>6800</v>
      </c>
      <c r="B6798" s="3" t="s">
        <v>4</v>
      </c>
      <c r="C6798" s="2" t="str">
        <f ca="1">IFERROR(__xludf.DUMMYFUNCTION("GOOGLETRANSLATE(A6798,""bn"",""en"")"),"The formula of the soap is very mild")</f>
        <v>The formula of the soap is very mild</v>
      </c>
    </row>
    <row r="6799" spans="1:3" ht="15.75" customHeight="1" x14ac:dyDescent="0.25">
      <c r="A6799" s="2" t="s">
        <v>6801</v>
      </c>
      <c r="B6799" s="3" t="s">
        <v>4</v>
      </c>
      <c r="C6799" s="2" t="str">
        <f ca="1">IFERROR(__xludf.DUMMYFUNCTION("GOOGLETRANSLATE(A6799,""bn"",""en"")"),"It helps to blend makeup")</f>
        <v>It helps to blend makeup</v>
      </c>
    </row>
    <row r="6800" spans="1:3" ht="15.75" customHeight="1" x14ac:dyDescent="0.25">
      <c r="A6800" s="2" t="s">
        <v>6802</v>
      </c>
      <c r="B6800" s="3" t="s">
        <v>2</v>
      </c>
      <c r="C6800" s="2" t="str">
        <f ca="1">IFERROR(__xludf.DUMMYFUNCTION("GOOGLETRANSLATE(A6800,""bn"",""en"")"),"The umbrella is medium-sized, about a centimeter in diameter when open")</f>
        <v>The umbrella is medium-sized, about a centimeter in diameter when open</v>
      </c>
    </row>
    <row r="6801" spans="1:3" ht="15.75" customHeight="1" x14ac:dyDescent="0.25">
      <c r="A6801" s="2" t="s">
        <v>6803</v>
      </c>
      <c r="B6801" s="3" t="s">
        <v>6</v>
      </c>
      <c r="C6801" s="2" t="str">
        <f ca="1">IFERROR(__xludf.DUMMYFUNCTION("GOOGLETRANSLATE(A6801,""bn"",""en"")"),"The packaging did not provide drinking instructions which led to inconsistent results")</f>
        <v>The packaging did not provide drinking instructions which led to inconsistent results</v>
      </c>
    </row>
    <row r="6802" spans="1:3" ht="15.75" customHeight="1" x14ac:dyDescent="0.25">
      <c r="A6802" s="2" t="s">
        <v>6804</v>
      </c>
      <c r="B6802" s="3" t="s">
        <v>4</v>
      </c>
      <c r="C6802" s="2" t="str">
        <f ca="1">IFERROR(__xludf.DUMMYFUNCTION("GOOGLETRANSLATE(A6802,""bn"",""en"")"),"Great product very nice")</f>
        <v>Great product very nice</v>
      </c>
    </row>
    <row r="6803" spans="1:3" ht="15.75" customHeight="1" x14ac:dyDescent="0.25">
      <c r="A6803" s="2" t="s">
        <v>6805</v>
      </c>
      <c r="B6803" s="3" t="s">
        <v>4</v>
      </c>
      <c r="C6803" s="2" t="str">
        <f ca="1">IFERROR(__xludf.DUMMYFUNCTION("GOOGLETRANSLATE(A6803,""bn"",""en"")"),"The watch is very convenient to see the time")</f>
        <v>The watch is very convenient to see the time</v>
      </c>
    </row>
    <row r="6804" spans="1:3" ht="15.75" customHeight="1" x14ac:dyDescent="0.25">
      <c r="A6804" s="2" t="s">
        <v>6806</v>
      </c>
      <c r="B6804" s="3" t="s">
        <v>4</v>
      </c>
      <c r="C6804" s="2" t="str">
        <f ca="1">IFERROR(__xludf.DUMMYFUNCTION("GOOGLETRANSLATE(A6804,""bn"",""en"")"),"very enjoyable")</f>
        <v>very enjoyable</v>
      </c>
    </row>
    <row r="6805" spans="1:3" ht="15.75" customHeight="1" x14ac:dyDescent="0.25">
      <c r="A6805" s="2" t="s">
        <v>6807</v>
      </c>
      <c r="B6805" s="3" t="s">
        <v>6</v>
      </c>
      <c r="C6805" s="2" t="str">
        <f ca="1">IFERROR(__xludf.DUMMYFUNCTION("GOOGLETRANSLATE(A6805,""bn"",""en"")")," The face unlock feature is slow and often fails to recognize the user's face")</f>
        <v xml:space="preserve"> The face unlock feature is slow and often fails to recognize the user's face</v>
      </c>
    </row>
    <row r="6806" spans="1:3" ht="15.75" customHeight="1" x14ac:dyDescent="0.25">
      <c r="A6806" s="2" t="s">
        <v>6808</v>
      </c>
      <c r="B6806" s="3" t="s">
        <v>2</v>
      </c>
      <c r="C6806" s="2" t="str">
        <f ca="1">IFERROR(__xludf.DUMMYFUNCTION("GOOGLETRANSLATE(A6806,""bn"",""en"")"),"The case may be too big for your pocket")</f>
        <v>The case may be too big for your pocket</v>
      </c>
    </row>
    <row r="6807" spans="1:3" ht="15.75" customHeight="1" x14ac:dyDescent="0.25">
      <c r="A6807" s="2" t="s">
        <v>6809</v>
      </c>
      <c r="B6807" s="3" t="s">
        <v>2</v>
      </c>
      <c r="C6807" s="2" t="str">
        <f ca="1">IFERROR(__xludf.DUMMYFUNCTION("GOOGLETRANSLATE(A6807,""bn"",""en"")"),"The handle seems long enough")</f>
        <v>The handle seems long enough</v>
      </c>
    </row>
    <row r="6808" spans="1:3" ht="15.75" customHeight="1" x14ac:dyDescent="0.25">
      <c r="A6808" s="2" t="s">
        <v>6810</v>
      </c>
      <c r="B6808" s="3" t="s">
        <v>2</v>
      </c>
      <c r="C6808" s="2" t="str">
        <f ca="1">IFERROR(__xludf.DUMMYFUNCTION("GOOGLETRANSLATE(A6808,""bn"",""en"")"),"The handle would have been a little longer")</f>
        <v>The handle would have been a little longer</v>
      </c>
    </row>
    <row r="6809" spans="1:3" ht="15.75" customHeight="1" x14ac:dyDescent="0.25">
      <c r="A6809" s="2" t="s">
        <v>6811</v>
      </c>
      <c r="B6809" s="3" t="s">
        <v>2</v>
      </c>
      <c r="C6809" s="2" t="str">
        <f ca="1">IFERROR(__xludf.DUMMYFUNCTION("GOOGLETRANSLATE(A6809,""bn"",""en"")"),"Good for the price but not perfect")</f>
        <v>Good for the price but not perfect</v>
      </c>
    </row>
    <row r="6810" spans="1:3" ht="15.75" customHeight="1" x14ac:dyDescent="0.25">
      <c r="A6810" s="2" t="s">
        <v>6812</v>
      </c>
      <c r="B6810" s="3" t="s">
        <v>6</v>
      </c>
      <c r="C6810" s="2" t="str">
        <f ca="1">IFERROR(__xludf.DUMMYFUNCTION("GOOGLETRANSLATE(A6810,""bn"",""en"")"),"The boxed macaroni and cheese was bland and over-processed with an artificial cheese taste")</f>
        <v>The boxed macaroni and cheese was bland and over-processed with an artificial cheese taste</v>
      </c>
    </row>
    <row r="6811" spans="1:3" ht="15.75" customHeight="1" x14ac:dyDescent="0.25">
      <c r="A6811" s="2" t="s">
        <v>6813</v>
      </c>
      <c r="B6811" s="3" t="s">
        <v>6</v>
      </c>
      <c r="C6811" s="2" t="str">
        <f ca="1">IFERROR(__xludf.DUMMYFUNCTION("GOOGLETRANSLATE(A6811,""bn"",""en"")")," Image stabilization is ineffective resulting in blurry photos and videos")</f>
        <v xml:space="preserve"> Image stabilization is ineffective resulting in blurry photos and videos</v>
      </c>
    </row>
    <row r="6812" spans="1:3" ht="15.75" customHeight="1" x14ac:dyDescent="0.25">
      <c r="A6812" s="2" t="s">
        <v>6814</v>
      </c>
      <c r="B6812" s="3" t="s">
        <v>4</v>
      </c>
      <c r="C6812" s="2" t="str">
        <f ca="1">IFERROR(__xludf.DUMMYFUNCTION("GOOGLETRANSLATE(A6812,""bn"",""en"")"),"I'm enjoying my favorite podcasts all over again using these speakers")</f>
        <v>I'm enjoying my favorite podcasts all over again using these speakers</v>
      </c>
    </row>
    <row r="6813" spans="1:3" ht="15.75" customHeight="1" x14ac:dyDescent="0.25">
      <c r="A6813" s="2" t="s">
        <v>6815</v>
      </c>
      <c r="B6813" s="3" t="s">
        <v>6</v>
      </c>
      <c r="C6813" s="2" t="str">
        <f ca="1">IFERROR(__xludf.DUMMYFUNCTION("GOOGLETRANSLATE(A6813,""bn"",""en"")"),"Color does not match what is shown online")</f>
        <v>Color does not match what is shown online</v>
      </c>
    </row>
    <row r="6814" spans="1:3" ht="15.75" customHeight="1" x14ac:dyDescent="0.25">
      <c r="A6814" s="2" t="s">
        <v>6816</v>
      </c>
      <c r="B6814" s="3" t="s">
        <v>6</v>
      </c>
      <c r="C6814" s="2" t="str">
        <f ca="1">IFERROR(__xludf.DUMMYFUNCTION("GOOGLETRANSLATE(A6814,""bn"",""en"")"),"Poor quality materials deteriorate quickly")</f>
        <v>Poor quality materials deteriorate quickly</v>
      </c>
    </row>
    <row r="6815" spans="1:3" ht="15.75" customHeight="1" x14ac:dyDescent="0.25">
      <c r="A6815" s="2" t="s">
        <v>6817</v>
      </c>
      <c r="B6815" s="3" t="s">
        <v>2</v>
      </c>
      <c r="C6815" s="2" t="str">
        <f ca="1">IFERROR(__xludf.DUMMYFUNCTION("GOOGLETRANSLATE(A6815,""bn"",""en"")"),"It feels heavy")</f>
        <v>It feels heavy</v>
      </c>
    </row>
    <row r="6816" spans="1:3" ht="15.75" customHeight="1" x14ac:dyDescent="0.25">
      <c r="A6816" s="2" t="s">
        <v>6818</v>
      </c>
      <c r="B6816" s="3" t="s">
        <v>4</v>
      </c>
      <c r="C6816" s="2" t="str">
        <f ca="1">IFERROR(__xludf.DUMMYFUNCTION("GOOGLETRANSLATE(A6816,""bn"",""en"")"),"Quality is good value I am very happy")</f>
        <v>Quality is good value I am very happy</v>
      </c>
    </row>
    <row r="6817" spans="1:3" ht="15.75" customHeight="1" x14ac:dyDescent="0.25">
      <c r="A6817" s="2" t="s">
        <v>6819</v>
      </c>
      <c r="B6817" s="3" t="s">
        <v>2</v>
      </c>
      <c r="C6817" s="2" t="str">
        <f ca="1">IFERROR(__xludf.DUMMYFUNCTION("GOOGLETRANSLATE(A6817,""bn"",""en"")"),"It has a professional look")</f>
        <v>It has a professional look</v>
      </c>
    </row>
    <row r="6818" spans="1:3" ht="15.75" customHeight="1" x14ac:dyDescent="0.25">
      <c r="A6818" s="2" t="s">
        <v>6820</v>
      </c>
      <c r="B6818" s="3" t="s">
        <v>2</v>
      </c>
      <c r="C6818" s="2" t="str">
        <f ca="1">IFERROR(__xludf.DUMMYFUNCTION("GOOGLETRANSLATE(A6818,""bn"",""en"")"),"Fresh lemon is used but seems a bit acidic")</f>
        <v>Fresh lemon is used but seems a bit acidic</v>
      </c>
    </row>
    <row r="6819" spans="1:3" ht="15.75" customHeight="1" x14ac:dyDescent="0.25">
      <c r="A6819" s="2" t="s">
        <v>6821</v>
      </c>
      <c r="B6819" s="3" t="s">
        <v>6</v>
      </c>
      <c r="C6819" s="2" t="str">
        <f ca="1">IFERROR(__xludf.DUMMYFUNCTION("GOOGLETRANSLATE(A6819,""bn"",""en"")"),"Color contrast looks cheap")</f>
        <v>Color contrast looks cheap</v>
      </c>
    </row>
    <row r="6820" spans="1:3" ht="15.75" customHeight="1" x14ac:dyDescent="0.25">
      <c r="A6820" s="2" t="s">
        <v>6822</v>
      </c>
      <c r="B6820" s="3" t="s">
        <v>6</v>
      </c>
      <c r="C6820" s="2" t="str">
        <f ca="1">IFERROR(__xludf.DUMMYFUNCTION("GOOGLETRANSLATE(A6820,""bn"",""en"")"),"The transparency of the fabric compromises modesty and modesty")</f>
        <v>The transparency of the fabric compromises modesty and modesty</v>
      </c>
    </row>
    <row r="6821" spans="1:3" ht="15.75" customHeight="1" x14ac:dyDescent="0.25">
      <c r="A6821" s="2" t="s">
        <v>6823</v>
      </c>
      <c r="B6821" s="3" t="s">
        <v>4</v>
      </c>
      <c r="C6821" s="2" t="str">
        <f ca="1">IFERROR(__xludf.DUMMYFUNCTION("GOOGLETRANSLATE(A6821,""bn"",""en"")"),"The boy exercises regularly every day")</f>
        <v>The boy exercises regularly every day</v>
      </c>
    </row>
    <row r="6822" spans="1:3" ht="15.75" customHeight="1" x14ac:dyDescent="0.25">
      <c r="A6822" s="2" t="s">
        <v>6824</v>
      </c>
      <c r="B6822" s="3" t="s">
        <v>6</v>
      </c>
      <c r="C6822" s="2" t="str">
        <f ca="1">IFERROR(__xludf.DUMMYFUNCTION("GOOGLETRANSLATE(A6822,""bn"",""en"")"),"The Asus ROG Strix ZE Gaming WiFi motherboard looked promising")</f>
        <v>The Asus ROG Strix ZE Gaming WiFi motherboard looked promising</v>
      </c>
    </row>
    <row r="6823" spans="1:3" ht="15.75" customHeight="1" x14ac:dyDescent="0.25">
      <c r="A6823" s="2" t="s">
        <v>6825</v>
      </c>
      <c r="B6823" s="3" t="s">
        <v>6</v>
      </c>
      <c r="C6823" s="2" t="str">
        <f ca="1">IFERROR(__xludf.DUMMYFUNCTION("GOOGLETRANSLATE(A6823,""bn"",""en"")")," Cooking presets are limited and do not cover a wide range of foods")</f>
        <v xml:space="preserve"> Cooking presets are limited and do not cover a wide range of foods</v>
      </c>
    </row>
    <row r="6824" spans="1:3" ht="15.75" customHeight="1" x14ac:dyDescent="0.25">
      <c r="A6824" s="2" t="s">
        <v>6826</v>
      </c>
      <c r="B6824" s="3" t="s">
        <v>4</v>
      </c>
      <c r="C6824" s="2" t="str">
        <f ca="1">IFERROR(__xludf.DUMMYFUNCTION("GOOGLETRANSLATE(A6824,""bn"",""en"")"),"Additional hardware is provided for each piece")</f>
        <v>Additional hardware is provided for each piece</v>
      </c>
    </row>
    <row r="6825" spans="1:3" ht="15.75" customHeight="1" x14ac:dyDescent="0.25">
      <c r="A6825" s="2" t="s">
        <v>6827</v>
      </c>
      <c r="B6825" s="3" t="s">
        <v>2</v>
      </c>
      <c r="C6825" s="2" t="str">
        <f ca="1">IFERROR(__xludf.DUMMYFUNCTION("GOOGLETRANSLATE(A6825,""bn"",""en"")"),"The soup mix is ​​simple")</f>
        <v>The soup mix is ​​simple</v>
      </c>
    </row>
    <row r="6826" spans="1:3" ht="15.75" customHeight="1" x14ac:dyDescent="0.25">
      <c r="A6826" s="2" t="s">
        <v>6828</v>
      </c>
      <c r="B6826" s="3" t="s">
        <v>6</v>
      </c>
      <c r="C6826" s="2" t="str">
        <f ca="1">IFERROR(__xludf.DUMMYFUNCTION("GOOGLETRANSLATE(A6826,""bn"",""en"")"),"Eyeliner pencils drag on the eyelid making it challenging to create a smooth line")</f>
        <v>Eyeliner pencils drag on the eyelid making it challenging to create a smooth line</v>
      </c>
    </row>
    <row r="6827" spans="1:3" ht="15.75" customHeight="1" x14ac:dyDescent="0.25">
      <c r="A6827" s="2" t="s">
        <v>6829</v>
      </c>
      <c r="B6827" s="3" t="s">
        <v>6</v>
      </c>
      <c r="C6827" s="2" t="str">
        <f ca="1">IFERROR(__xludf.DUMMYFUNCTION("GOOGLETRANSLATE(A6827,""bn"",""en"")"),"The moving parts of the toy break easily making it immobile")</f>
        <v>The moving parts of the toy break easily making it immobile</v>
      </c>
    </row>
    <row r="6828" spans="1:3" ht="15.75" customHeight="1" x14ac:dyDescent="0.25">
      <c r="A6828" s="2" t="s">
        <v>6830</v>
      </c>
      <c r="B6828" s="3" t="s">
        <v>6</v>
      </c>
      <c r="C6828" s="2" t="str">
        <f ca="1">IFERROR(__xludf.DUMMYFUNCTION("GOOGLETRANSLATE(A6828,""bn"",""en"")"),"The handle falls off after minimal use making it useless")</f>
        <v>The handle falls off after minimal use making it useless</v>
      </c>
    </row>
    <row r="6829" spans="1:3" ht="15.75" customHeight="1" x14ac:dyDescent="0.25">
      <c r="A6829" s="2" t="s">
        <v>6831</v>
      </c>
      <c r="B6829" s="3" t="s">
        <v>4</v>
      </c>
      <c r="C6829" s="2" t="str">
        <f ca="1">IFERROR(__xludf.DUMMYFUNCTION("GOOGLETRANSLATE(A6829,""bn"",""en"")"),"Even if you see it every day, it never gets old")</f>
        <v>Even if you see it every day, it never gets old</v>
      </c>
    </row>
    <row r="6830" spans="1:3" ht="15.75" customHeight="1" x14ac:dyDescent="0.25">
      <c r="A6830" s="2" t="s">
        <v>6832</v>
      </c>
      <c r="B6830" s="3" t="s">
        <v>6</v>
      </c>
      <c r="C6830" s="2" t="str">
        <f ca="1">IFERROR(__xludf.DUMMYFUNCTION("GOOGLETRANSLATE(A6830,""bn"",""en"")"),"Solar powered path lights do not illuminate dark paths")</f>
        <v>Solar powered path lights do not illuminate dark paths</v>
      </c>
    </row>
    <row r="6831" spans="1:3" ht="15.75" customHeight="1" x14ac:dyDescent="0.25">
      <c r="A6831" s="2" t="s">
        <v>6833</v>
      </c>
      <c r="B6831" s="3" t="s">
        <v>6</v>
      </c>
      <c r="C6831" s="2" t="str">
        <f ca="1">IFERROR(__xludf.DUMMYFUNCTION("GOOGLETRANSLATE(A6831,""bn"",""en"")"),"The thinness of the fabric is alarmingly similar to tissue paper")</f>
        <v>The thinness of the fabric is alarmingly similar to tissue paper</v>
      </c>
    </row>
    <row r="6832" spans="1:3" ht="15.75" customHeight="1" x14ac:dyDescent="0.25">
      <c r="A6832" s="2" t="s">
        <v>6834</v>
      </c>
      <c r="B6832" s="3" t="s">
        <v>4</v>
      </c>
      <c r="C6832" s="2" t="str">
        <f ca="1">IFERROR(__xludf.DUMMYFUNCTION("GOOGLETRANSLATE(A6832,""bn"",""en"")"),"Multiplex boot screen is fast and its response is very good. If I were to rate it I would give it you can definitely take it.")</f>
        <v>Multiplex boot screen is fast and its response is very good. If I were to rate it I would give it you can definitely take it.</v>
      </c>
    </row>
    <row r="6833" spans="1:3" ht="15.75" customHeight="1" x14ac:dyDescent="0.25">
      <c r="A6833" s="2" t="s">
        <v>6835</v>
      </c>
      <c r="B6833" s="3" t="s">
        <v>2</v>
      </c>
      <c r="C6833" s="2" t="str">
        <f ca="1">IFERROR(__xludf.DUMMYFUNCTION("GOOGLETRANSLATE(A6833,""bn"",""en"")"),"Dimmer works but app is slow")</f>
        <v>Dimmer works but app is slow</v>
      </c>
    </row>
    <row r="6834" spans="1:3" ht="15.75" customHeight="1" x14ac:dyDescent="0.25">
      <c r="A6834" s="2" t="s">
        <v>6836</v>
      </c>
      <c r="B6834" s="3" t="s">
        <v>2</v>
      </c>
      <c r="C6834" s="2" t="str">
        <f ca="1">IFERROR(__xludf.DUMMYFUNCTION("GOOGLETRANSLATE(A6834,""bn"",""en"")"),"Weight is OK but not seasonally usable")</f>
        <v>Weight is OK but not seasonally usable</v>
      </c>
    </row>
    <row r="6835" spans="1:3" ht="15.75" customHeight="1" x14ac:dyDescent="0.25">
      <c r="A6835" s="2" t="s">
        <v>6837</v>
      </c>
      <c r="B6835" s="3" t="s">
        <v>4</v>
      </c>
      <c r="C6835" s="2" t="str">
        <f ca="1">IFERROR(__xludf.DUMMYFUNCTION("GOOGLETRANSLATE(A6835,""bn"",""en"")"),"Brushing teeth is simple and effective")</f>
        <v>Brushing teeth is simple and effective</v>
      </c>
    </row>
    <row r="6836" spans="1:3" ht="15.75" customHeight="1" x14ac:dyDescent="0.25">
      <c r="A6836" s="2" t="s">
        <v>6838</v>
      </c>
      <c r="B6836" s="3" t="s">
        <v>2</v>
      </c>
      <c r="C6836" s="2" t="str">
        <f ca="1">IFERROR(__xludf.DUMMYFUNCTION("GOOGLETRANSLATE(A6836,""bn"",""en"")"),"It is of good quality and quantity but has some flaws")</f>
        <v>It is of good quality and quantity but has some flaws</v>
      </c>
    </row>
    <row r="6837" spans="1:3" ht="15.75" customHeight="1" x14ac:dyDescent="0.25">
      <c r="A6837" s="2" t="s">
        <v>6839</v>
      </c>
      <c r="B6837" s="3" t="s">
        <v>6</v>
      </c>
      <c r="C6837" s="2" t="str">
        <f ca="1">IFERROR(__xludf.DUMMYFUNCTION("GOOGLETRANSLATE(A6837,""bn"",""en"")"),"The painting set did not include enough brushes for different techniques")</f>
        <v>The painting set did not include enough brushes for different techniques</v>
      </c>
    </row>
    <row r="6838" spans="1:3" ht="15.75" customHeight="1" x14ac:dyDescent="0.25">
      <c r="A6838" s="2" t="s">
        <v>6840</v>
      </c>
      <c r="B6838" s="3" t="s">
        <v>6</v>
      </c>
      <c r="C6838" s="2" t="str">
        <f ca="1">IFERROR(__xludf.DUMMYFUNCTION("GOOGLETRANSLATE(A6838,""bn"",""en"")"),"Car GPS navigation systems are unreliable leading to wrong destinations")</f>
        <v>Car GPS navigation systems are unreliable leading to wrong destinations</v>
      </c>
    </row>
    <row r="6839" spans="1:3" ht="15.75" customHeight="1" x14ac:dyDescent="0.25">
      <c r="A6839" s="2" t="s">
        <v>6841</v>
      </c>
      <c r="B6839" s="3" t="s">
        <v>4</v>
      </c>
      <c r="C6839" s="2" t="str">
        <f ca="1">IFERROR(__xludf.DUMMYFUNCTION("GOOGLETRANSLATE(A6839,""bn"",""en"")"),"This pencil is perfect for writing and can be used by everyone from students to professionals")</f>
        <v>This pencil is perfect for writing and can be used by everyone from students to professionals</v>
      </c>
    </row>
    <row r="6840" spans="1:3" ht="15.75" customHeight="1" x14ac:dyDescent="0.25">
      <c r="A6840" s="2" t="s">
        <v>6842</v>
      </c>
      <c r="B6840" s="3" t="s">
        <v>6</v>
      </c>
      <c r="C6840" s="2" t="str">
        <f ca="1">IFERROR(__xludf.DUMMYFUNCTION("GOOGLETRANSLATE(A6840,""bn"",""en"")"),"Drawers are difficult to open smoothly requiring extra force and causing frustration")</f>
        <v>Drawers are difficult to open smoothly requiring extra force and causing frustration</v>
      </c>
    </row>
    <row r="6841" spans="1:3" ht="15.75" customHeight="1" x14ac:dyDescent="0.25">
      <c r="A6841" s="2" t="s">
        <v>6843</v>
      </c>
      <c r="B6841" s="3" t="s">
        <v>4</v>
      </c>
      <c r="C6841" s="2" t="str">
        <f ca="1">IFERROR(__xludf.DUMMYFUNCTION("GOOGLETRANSLATE(A6841,""bn"",""en"")"),"The child plays sports regularly every day")</f>
        <v>The child plays sports regularly every day</v>
      </c>
    </row>
    <row r="6842" spans="1:3" ht="15.75" customHeight="1" x14ac:dyDescent="0.25">
      <c r="A6842" s="2" t="s">
        <v>6844</v>
      </c>
      <c r="B6842" s="3" t="s">
        <v>2</v>
      </c>
      <c r="C6842" s="2" t="str">
        <f ca="1">IFERROR(__xludf.DUMMYFUNCTION("GOOGLETRANSLATE(A6842,""bn"",""en"")"),"Can be shaken but sounds")</f>
        <v>Can be shaken but sounds</v>
      </c>
    </row>
    <row r="6843" spans="1:3" ht="15.75" customHeight="1" x14ac:dyDescent="0.25">
      <c r="A6843" s="2" t="s">
        <v>6845</v>
      </c>
      <c r="B6843" s="3" t="s">
        <v>6</v>
      </c>
      <c r="C6843" s="2" t="str">
        <f ca="1">IFERROR(__xludf.DUMMYFUNCTION("GOOGLETRANSLATE(A6843,""bn"",""en"")"),"Eyeshadow palettes lack pigment requiring multiple layers for visible color")</f>
        <v>Eyeshadow palettes lack pigment requiring multiple layers for visible color</v>
      </c>
    </row>
    <row r="6844" spans="1:3" ht="15.75" customHeight="1" x14ac:dyDescent="0.25">
      <c r="A6844" s="2" t="s">
        <v>6846</v>
      </c>
      <c r="B6844" s="3" t="s">
        <v>6</v>
      </c>
      <c r="C6844" s="2" t="str">
        <f ca="1">IFERROR(__xludf.DUMMYFUNCTION("GOOGLETRANSLATE(A6844,""bn"",""en"")"),"The glass is slightly more scratch prone")</f>
        <v>The glass is slightly more scratch prone</v>
      </c>
    </row>
    <row r="6845" spans="1:3" ht="15.75" customHeight="1" x14ac:dyDescent="0.25">
      <c r="A6845" s="2" t="s">
        <v>6847</v>
      </c>
      <c r="B6845" s="3" t="s">
        <v>6</v>
      </c>
      <c r="C6845" s="2" t="str">
        <f ca="1">IFERROR(__xludf.DUMMYFUNCTION("GOOGLETRANSLATE(A6845,""bn"",""en"")"),"Inflatable mattresses deflate overnight making sleeping uncomfortable")</f>
        <v>Inflatable mattresses deflate overnight making sleeping uncomfortable</v>
      </c>
    </row>
    <row r="6846" spans="1:3" ht="15.75" customHeight="1" x14ac:dyDescent="0.25">
      <c r="A6846" s="2" t="s">
        <v>6848</v>
      </c>
      <c r="B6846" s="3" t="s">
        <v>6</v>
      </c>
      <c r="C6846" s="2" t="str">
        <f ca="1">IFERROR(__xludf.DUMMYFUNCTION("GOOGLETRANSLATE(A6846,""bn"",""en"")"),"The painting set was missing essential tools like an easel")</f>
        <v>The painting set was missing essential tools like an easel</v>
      </c>
    </row>
    <row r="6847" spans="1:3" ht="15.75" customHeight="1" x14ac:dyDescent="0.25">
      <c r="A6847" s="2" t="s">
        <v>6849</v>
      </c>
      <c r="B6847" s="3" t="s">
        <v>2</v>
      </c>
      <c r="C6847" s="2" t="str">
        <f ca="1">IFERROR(__xludf.DUMMYFUNCTION("GOOGLETRANSLATE(A6847,""bn"",""en"")"),"Color is bright but stitching is not good")</f>
        <v>Color is bright but stitching is not good</v>
      </c>
    </row>
    <row r="6848" spans="1:3" ht="15.75" customHeight="1" x14ac:dyDescent="0.25">
      <c r="A6848" s="2" t="s">
        <v>6850</v>
      </c>
      <c r="B6848" s="3" t="s">
        <v>2</v>
      </c>
      <c r="C6848" s="2" t="str">
        <f ca="1">IFERROR(__xludf.DUMMYFUNCTION("GOOGLETRANSLATE(A6848,""bn"",""en"")"),"The digital flower freshness meter measures freshness but does not work on all flowers")</f>
        <v>The digital flower freshness meter measures freshness but does not work on all flowers</v>
      </c>
    </row>
    <row r="6849" spans="1:3" ht="15.75" customHeight="1" x14ac:dyDescent="0.25">
      <c r="A6849" s="2" t="s">
        <v>6851</v>
      </c>
      <c r="B6849" s="3" t="s">
        <v>6</v>
      </c>
      <c r="C6849" s="2" t="str">
        <f ca="1">IFERROR(__xludf.DUMMYFUNCTION("GOOGLETRANSLATE(A6849,""bn"",""en"")"),"Lack of purchasing stability is unfortunate")</f>
        <v>Lack of purchasing stability is unfortunate</v>
      </c>
    </row>
    <row r="6850" spans="1:3" ht="15.75" customHeight="1" x14ac:dyDescent="0.25">
      <c r="A6850" s="2" t="s">
        <v>6852</v>
      </c>
      <c r="B6850" s="3" t="s">
        <v>4</v>
      </c>
      <c r="C6850" s="2" t="str">
        <f ca="1">IFERROR(__xludf.DUMMYFUNCTION("GOOGLETRANSLATE(A6850,""bn"",""en"")"),"My new bookcase and plastic flowers are really nice")</f>
        <v>My new bookcase and plastic flowers are really nice</v>
      </c>
    </row>
    <row r="6851" spans="1:3" ht="15.75" customHeight="1" x14ac:dyDescent="0.25">
      <c r="A6851" s="2" t="s">
        <v>6853</v>
      </c>
      <c r="B6851" s="3" t="s">
        <v>2</v>
      </c>
      <c r="C6851" s="2" t="str">
        <f ca="1">IFERROR(__xludf.DUMMYFUNCTION("GOOGLETRANSLATE(A6851,""bn"",""en"")"),"Can be used daily")</f>
        <v>Can be used daily</v>
      </c>
    </row>
    <row r="6852" spans="1:3" ht="15.75" customHeight="1" x14ac:dyDescent="0.25">
      <c r="A6852" s="2" t="s">
        <v>6854</v>
      </c>
      <c r="B6852" s="3" t="s">
        <v>6</v>
      </c>
      <c r="C6852" s="2" t="str">
        <f ca="1">IFERROR(__xludf.DUMMYFUNCTION("GOOGLETRANSLATE(A6852,""bn"",""en"")"),"The painting set did not include enough mixing medium")</f>
        <v>The painting set did not include enough mixing medium</v>
      </c>
    </row>
    <row r="6853" spans="1:3" ht="15.75" customHeight="1" x14ac:dyDescent="0.25">
      <c r="A6853" s="2" t="s">
        <v>6855</v>
      </c>
      <c r="B6853" s="3" t="s">
        <v>6</v>
      </c>
      <c r="C6853" s="2" t="str">
        <f ca="1">IFERROR(__xludf.DUMMYFUNCTION("GOOGLETRANSLATE(A6853,""bn"",""en"")"),"The power button on the power bank is sometimes unresponsive making it difficult to turn it on or off")</f>
        <v>The power button on the power bank is sometimes unresponsive making it difficult to turn it on or off</v>
      </c>
    </row>
    <row r="6854" spans="1:3" ht="15.75" customHeight="1" x14ac:dyDescent="0.25">
      <c r="A6854" s="2" t="s">
        <v>6856</v>
      </c>
      <c r="B6854" s="3" t="s">
        <v>4</v>
      </c>
      <c r="C6854" s="2" t="str">
        <f ca="1">IFERROR(__xludf.DUMMYFUNCTION("GOOGLETRANSLATE(A6854,""bn"",""en"")"),"Customer service is very good, all questions are answered, support is available very quickly")</f>
        <v>Customer service is very good, all questions are answered, support is available very quickly</v>
      </c>
    </row>
    <row r="6855" spans="1:3" ht="15.75" customHeight="1" x14ac:dyDescent="0.25">
      <c r="A6855" s="2" t="s">
        <v>6857</v>
      </c>
      <c r="B6855" s="3" t="s">
        <v>2</v>
      </c>
      <c r="C6855" s="2" t="str">
        <f ca="1">IFERROR(__xludf.DUMMYFUNCTION("GOOGLETRANSLATE(A6855,""bn"",""en"")"),"Open container found not sure if tampered with")</f>
        <v>Open container found not sure if tampered with</v>
      </c>
    </row>
    <row r="6856" spans="1:3" ht="15.75" customHeight="1" x14ac:dyDescent="0.25">
      <c r="A6856" s="2" t="s">
        <v>6858</v>
      </c>
      <c r="B6856" s="3" t="s">
        <v>2</v>
      </c>
      <c r="C6856" s="2" t="str">
        <f ca="1">IFERROR(__xludf.DUMMYFUNCTION("GOOGLETRANSLATE(A6856,""bn"",""en"")"),"It is battery powered but the battery drains quickly")</f>
        <v>It is battery powered but the battery drains quickly</v>
      </c>
    </row>
    <row r="6857" spans="1:3" ht="15.75" customHeight="1" x14ac:dyDescent="0.25">
      <c r="A6857" s="2" t="s">
        <v>6859</v>
      </c>
      <c r="B6857" s="3" t="s">
        <v>4</v>
      </c>
      <c r="C6857" s="2" t="str">
        <f ca="1">IFERROR(__xludf.DUMMYFUNCTION("GOOGLETRANSLATE(A6857,""bn"",""en"")"),"Very dependable just works great")</f>
        <v>Very dependable just works great</v>
      </c>
    </row>
    <row r="6858" spans="1:3" ht="15.75" customHeight="1" x14ac:dyDescent="0.25">
      <c r="A6858" s="2" t="s">
        <v>6860</v>
      </c>
      <c r="B6858" s="3" t="s">
        <v>2</v>
      </c>
      <c r="C6858" s="2" t="str">
        <f ca="1">IFERROR(__xludf.DUMMYFUNCTION("GOOGLETRANSLATE(A6858,""bn"",""en"")"),"The foundations are designed with crossbeams")</f>
        <v>The foundations are designed with crossbeams</v>
      </c>
    </row>
    <row r="6859" spans="1:3" ht="15.75" customHeight="1" x14ac:dyDescent="0.25">
      <c r="A6859" s="2" t="s">
        <v>6861</v>
      </c>
      <c r="B6859" s="3" t="s">
        <v>2</v>
      </c>
      <c r="C6859" s="2" t="str">
        <f ca="1">IFERROR(__xludf.DUMMYFUNCTION("GOOGLETRANSLATE(A6859,""bn"",""en"")"),"The room looks spacious but not overly spacious")</f>
        <v>The room looks spacious but not overly spacious</v>
      </c>
    </row>
    <row r="6860" spans="1:3" ht="15.75" customHeight="1" x14ac:dyDescent="0.25">
      <c r="A6860" s="2" t="s">
        <v>6862</v>
      </c>
      <c r="B6860" s="3" t="s">
        <v>2</v>
      </c>
      <c r="C6860" s="2" t="str">
        <f ca="1">IFERROR(__xludf.DUMMYFUNCTION("GOOGLETRANSLATE(A6860,""bn"",""en"")"),"This dinner set is fairly functional and nothing special")</f>
        <v>This dinner set is fairly functional and nothing special</v>
      </c>
    </row>
    <row r="6861" spans="1:3" ht="15.75" customHeight="1" x14ac:dyDescent="0.25">
      <c r="A6861" s="2" t="s">
        <v>6863</v>
      </c>
      <c r="B6861" s="3" t="s">
        <v>6</v>
      </c>
      <c r="C6861" s="2" t="str">
        <f ca="1">IFERROR(__xludf.DUMMYFUNCTION("GOOGLETRANSLATE(A6861,""bn"",""en"")")," The wheels are poorly aligned causing it to move sideways when towed")</f>
        <v xml:space="preserve"> The wheels are poorly aligned causing it to move sideways when towed</v>
      </c>
    </row>
    <row r="6862" spans="1:3" ht="15.75" customHeight="1" x14ac:dyDescent="0.25">
      <c r="A6862" s="2" t="s">
        <v>6864</v>
      </c>
      <c r="B6862" s="3" t="s">
        <v>2</v>
      </c>
      <c r="C6862" s="2" t="str">
        <f ca="1">IFERROR(__xludf.DUMMYFUNCTION("GOOGLETRANSLATE(A6862,""bn"",""en"")"),"The price is pretty fair")</f>
        <v>The price is pretty fair</v>
      </c>
    </row>
    <row r="6863" spans="1:3" ht="15.75" customHeight="1" x14ac:dyDescent="0.25">
      <c r="A6863" s="2" t="s">
        <v>6865</v>
      </c>
      <c r="B6863" s="3" t="s">
        <v>4</v>
      </c>
      <c r="C6863" s="2" t="str">
        <f ca="1">IFERROR(__xludf.DUMMYFUNCTION("GOOGLETRANSLATE(A6863,""bn"",""en"")"),"This body wash increases skin firmness")</f>
        <v>This body wash increases skin firmness</v>
      </c>
    </row>
    <row r="6864" spans="1:3" ht="15.75" customHeight="1" x14ac:dyDescent="0.25">
      <c r="A6864" s="2" t="s">
        <v>6866</v>
      </c>
      <c r="B6864" s="3" t="s">
        <v>2</v>
      </c>
      <c r="C6864" s="2" t="str">
        <f ca="1">IFERROR(__xludf.DUMMYFUNCTION("GOOGLETRANSLATE(A6864,""bn"",""en"")"),"Pool floats are in good shape but discolored")</f>
        <v>Pool floats are in good shape but discolored</v>
      </c>
    </row>
    <row r="6865" spans="1:3" ht="15.75" customHeight="1" x14ac:dyDescent="0.25">
      <c r="A6865" s="2" t="s">
        <v>6867</v>
      </c>
      <c r="B6865" s="3" t="s">
        <v>4</v>
      </c>
      <c r="C6865" s="2" t="str">
        <f ca="1">IFERROR(__xludf.DUMMYFUNCTION("GOOGLETRANSLATE(A6865,""bn"",""en"")"),"Makeup brushes are long lasting")</f>
        <v>Makeup brushes are long lasting</v>
      </c>
    </row>
    <row r="6866" spans="1:3" ht="15.75" customHeight="1" x14ac:dyDescent="0.25">
      <c r="A6866" s="2" t="s">
        <v>6868</v>
      </c>
      <c r="B6866" s="3" t="s">
        <v>4</v>
      </c>
      <c r="C6866" s="2" t="str">
        <f ca="1">IFERROR(__xludf.DUMMYFUNCTION("GOOGLETRANSLATE(A6866,""bn"",""en"")"),"In sleep mode the ACT slowly raises the temperature so it doesn't disturb my sleep")</f>
        <v>In sleep mode the ACT slowly raises the temperature so it doesn't disturb my sleep</v>
      </c>
    </row>
    <row r="6867" spans="1:3" ht="15.75" customHeight="1" x14ac:dyDescent="0.25">
      <c r="A6867" s="2" t="s">
        <v>6869</v>
      </c>
      <c r="B6867" s="3" t="s">
        <v>2</v>
      </c>
      <c r="C6867" s="2" t="str">
        <f ca="1">IFERROR(__xludf.DUMMYFUNCTION("GOOGLETRANSLATE(A6867,""bn"",""en"")"),"Yields have increased slightly but the cost of fertilizer is a concern")</f>
        <v>Yields have increased slightly but the cost of fertilizer is a concern</v>
      </c>
    </row>
    <row r="6868" spans="1:3" ht="15.75" customHeight="1" x14ac:dyDescent="0.25">
      <c r="A6868" s="2" t="s">
        <v>6870</v>
      </c>
      <c r="B6868" s="3" t="s">
        <v>6</v>
      </c>
      <c r="C6868" s="2" t="str">
        <f ca="1">IFERROR(__xludf.DUMMYFUNCTION("GOOGLETRANSLATE(A6868,""bn"",""en"")")," The display panel fades over time making the settings difficult to read")</f>
        <v xml:space="preserve"> The display panel fades over time making the settings difficult to read</v>
      </c>
    </row>
    <row r="6869" spans="1:3" ht="15.75" customHeight="1" x14ac:dyDescent="0.25">
      <c r="A6869" s="2" t="s">
        <v>6871</v>
      </c>
      <c r="B6869" s="3" t="s">
        <v>4</v>
      </c>
      <c r="C6869" s="2" t="str">
        <f ca="1">IFERROR(__xludf.DUMMYFUNCTION("GOOGLETRANSLATE(A6869,""bn"",""en"")"),"I really liked the product original which was better than I thought I would take it again next time")</f>
        <v>I really liked the product original which was better than I thought I would take it again next time</v>
      </c>
    </row>
    <row r="6870" spans="1:3" ht="15.75" customHeight="1" x14ac:dyDescent="0.25">
      <c r="A6870" s="2" t="s">
        <v>6872</v>
      </c>
      <c r="B6870" s="3" t="s">
        <v>2</v>
      </c>
      <c r="C6870" s="2" t="str">
        <f ca="1">IFERROR(__xludf.DUMMYFUNCTION("GOOGLETRANSLATE(A6870,""bn"",""en"")"),"Should be rubbed with light hands")</f>
        <v>Should be rubbed with light hands</v>
      </c>
    </row>
    <row r="6871" spans="1:3" ht="15.75" customHeight="1" x14ac:dyDescent="0.25">
      <c r="A6871" s="2" t="s">
        <v>6873</v>
      </c>
      <c r="B6871" s="3" t="s">
        <v>6</v>
      </c>
      <c r="C6871" s="2" t="str">
        <f ca="1">IFERROR(__xludf.DUMMYFUNCTION("GOOGLETRANSLATE(A6871,""bn"",""en"")"),"The moving parts of the toy were stiff and difficult to handle")</f>
        <v>The moving parts of the toy were stiff and difficult to handle</v>
      </c>
    </row>
    <row r="6872" spans="1:3" ht="15.75" customHeight="1" x14ac:dyDescent="0.25">
      <c r="A6872" s="2" t="s">
        <v>6874</v>
      </c>
      <c r="B6872" s="3" t="s">
        <v>6</v>
      </c>
      <c r="C6872" s="2" t="str">
        <f ca="1">IFERROR(__xludf.DUMMYFUNCTION("GOOGLETRANSLATE(A6872,""bn"",""en"")"),"The water flow of the solar powered fountain pump does not produce a very weak fountain effect")</f>
        <v>The water flow of the solar powered fountain pump does not produce a very weak fountain effect</v>
      </c>
    </row>
    <row r="6873" spans="1:3" ht="15.75" customHeight="1" x14ac:dyDescent="0.25">
      <c r="A6873" s="2" t="s">
        <v>6875</v>
      </c>
      <c r="B6873" s="3" t="s">
        <v>4</v>
      </c>
      <c r="C6873" s="2" t="str">
        <f ca="1">IFERROR(__xludf.DUMMYFUNCTION("GOOGLETRANSLATE(A6873,""bn"",""en"")"),"A Mouse That's Worth Every Penny The Logitech MX Master S is very nice")</f>
        <v>A Mouse That's Worth Every Penny The Logitech MX Master S is very nice</v>
      </c>
    </row>
    <row r="6874" spans="1:3" ht="15.75" customHeight="1" x14ac:dyDescent="0.25">
      <c r="A6874" s="2" t="s">
        <v>6876</v>
      </c>
      <c r="B6874" s="3" t="s">
        <v>4</v>
      </c>
      <c r="C6874" s="2" t="str">
        <f ca="1">IFERROR(__xludf.DUMMYFUNCTION("GOOGLETRANSLATE(A6874,""bn"",""en"")"),"The sofa cushions are so comfortable that you don't want to get up")</f>
        <v>The sofa cushions are so comfortable that you don't want to get up</v>
      </c>
    </row>
    <row r="6875" spans="1:3" ht="15.75" customHeight="1" x14ac:dyDescent="0.25">
      <c r="A6875" s="2" t="s">
        <v>6877</v>
      </c>
      <c r="B6875" s="3" t="s">
        <v>2</v>
      </c>
      <c r="C6875" s="2" t="str">
        <f ca="1">IFERROR(__xludf.DUMMYFUNCTION("GOOGLETRANSLATE(A6875,""bn"",""en"")"),"Affordable and effective may not meet all needs")</f>
        <v>Affordable and effective may not meet all needs</v>
      </c>
    </row>
    <row r="6876" spans="1:3" ht="15.75" customHeight="1" x14ac:dyDescent="0.25">
      <c r="A6876" s="2" t="s">
        <v>6878</v>
      </c>
      <c r="B6876" s="3" t="s">
        <v>6</v>
      </c>
      <c r="C6876" s="2" t="str">
        <f ca="1">IFERROR(__xludf.DUMMYFUNCTION("GOOGLETRANSLATE(A6876,""bn"",""en"")"),"The grind was uneven resulting in uneven extraction")</f>
        <v>The grind was uneven resulting in uneven extraction</v>
      </c>
    </row>
    <row r="6877" spans="1:3" ht="15.75" customHeight="1" x14ac:dyDescent="0.25">
      <c r="A6877" s="2" t="s">
        <v>6879</v>
      </c>
      <c r="B6877" s="3" t="s">
        <v>2</v>
      </c>
      <c r="C6877" s="2" t="str">
        <f ca="1">IFERROR(__xludf.DUMMYFUNCTION("GOOGLETRANSLATE(A6877,""bn"",""en"")"),"No discomfort was felt during use")</f>
        <v>No discomfort was felt during use</v>
      </c>
    </row>
    <row r="6878" spans="1:3" ht="15.75" customHeight="1" x14ac:dyDescent="0.25">
      <c r="A6878" s="2" t="s">
        <v>6880</v>
      </c>
      <c r="B6878" s="3" t="s">
        <v>6</v>
      </c>
      <c r="C6878" s="2" t="str">
        <f ca="1">IFERROR(__xludf.DUMMYFUNCTION("GOOGLETRANSLATE(A6878,""bn"",""en"")"),"Boxed pudding mix produced a gelatinous pudding with an artificial flavor that lacked the creaminess of homemade.")</f>
        <v>Boxed pudding mix produced a gelatinous pudding with an artificial flavor that lacked the creaminess of homemade.</v>
      </c>
    </row>
    <row r="6879" spans="1:3" ht="15.75" customHeight="1" x14ac:dyDescent="0.25">
      <c r="A6879" s="2" t="s">
        <v>6881</v>
      </c>
      <c r="B6879" s="3" t="s">
        <v>2</v>
      </c>
      <c r="C6879" s="2" t="str">
        <f ca="1">IFERROR(__xludf.DUMMYFUNCTION("GOOGLETRANSLATE(A6879,""bn"",""en"")"),"The design is nothing new or interesting in general")</f>
        <v>The design is nothing new or interesting in general</v>
      </c>
    </row>
    <row r="6880" spans="1:3" ht="15.75" customHeight="1" x14ac:dyDescent="0.25">
      <c r="A6880" s="2" t="s">
        <v>6882</v>
      </c>
      <c r="B6880" s="3" t="s">
        <v>6</v>
      </c>
      <c r="C6880" s="2" t="str">
        <f ca="1">IFERROR(__xludf.DUMMYFUNCTION("GOOGLETRANSLATE(A6880,""bn"",""en"")"),"Solar powered outdoor thermometer displays incorrect temperature")</f>
        <v>Solar powered outdoor thermometer displays incorrect temperature</v>
      </c>
    </row>
    <row r="6881" spans="1:3" ht="15.75" customHeight="1" x14ac:dyDescent="0.25">
      <c r="A6881" s="2" t="s">
        <v>6883</v>
      </c>
      <c r="B6881" s="3" t="s">
        <v>6</v>
      </c>
      <c r="C6881" s="2" t="str">
        <f ca="1">IFERROR(__xludf.DUMMYFUNCTION("GOOGLETRANSLATE(A6881,""bn"",""en"")"),"The playdo felt a bit stiff before opening")</f>
        <v>The playdo felt a bit stiff before opening</v>
      </c>
    </row>
    <row r="6882" spans="1:3" ht="15.75" customHeight="1" x14ac:dyDescent="0.25">
      <c r="A6882" s="2" t="s">
        <v>6884</v>
      </c>
      <c r="B6882" s="3" t="s">
        <v>4</v>
      </c>
      <c r="C6882" s="2" t="str">
        <f ca="1">IFERROR(__xludf.DUMMYFUNCTION("GOOGLETRANSLATE(A6882,""bn"",""en"")"),"Sketchpad quality is good")</f>
        <v>Sketchpad quality is good</v>
      </c>
    </row>
    <row r="6883" spans="1:3" ht="15.75" customHeight="1" x14ac:dyDescent="0.25">
      <c r="A6883" s="2" t="s">
        <v>6885</v>
      </c>
      <c r="B6883" s="3" t="s">
        <v>2</v>
      </c>
      <c r="C6883" s="2" t="str">
        <f ca="1">IFERROR(__xludf.DUMMYFUNCTION("GOOGLETRANSLATE(A6883,""bn"",""en"")"),"has a limited number of color options")</f>
        <v>has a limited number of color options</v>
      </c>
    </row>
    <row r="6884" spans="1:3" ht="15.75" customHeight="1" x14ac:dyDescent="0.25">
      <c r="A6884" s="2" t="s">
        <v>6886</v>
      </c>
      <c r="B6884" s="3" t="s">
        <v>2</v>
      </c>
      <c r="C6884" s="2" t="str">
        <f ca="1">IFERROR(__xludf.DUMMYFUNCTION("GOOGLETRANSLATE(A6884,""bn"",""en"")"),"A little inconvenient but manageable")</f>
        <v>A little inconvenient but manageable</v>
      </c>
    </row>
    <row r="6885" spans="1:3" ht="15.75" customHeight="1" x14ac:dyDescent="0.25">
      <c r="A6885" s="2" t="s">
        <v>6887</v>
      </c>
      <c r="B6885" s="3" t="s">
        <v>2</v>
      </c>
      <c r="C6885" s="2" t="str">
        <f ca="1">IFERROR(__xludf.DUMMYFUNCTION("GOOGLETRANSLATE(A6885,""bn"",""en"")"),"The lid works but is a little difficult to open")</f>
        <v>The lid works but is a little difficult to open</v>
      </c>
    </row>
    <row r="6886" spans="1:3" ht="15.75" customHeight="1" x14ac:dyDescent="0.25">
      <c r="A6886" s="2" t="s">
        <v>6888</v>
      </c>
      <c r="B6886" s="3" t="s">
        <v>4</v>
      </c>
      <c r="C6886" s="2" t="str">
        <f ca="1">IFERROR(__xludf.DUMMYFUNCTION("GOOGLETRANSLATE(A6886,""bn"",""en"")"),"The carpet fits very nicely on the floor of the room")</f>
        <v>The carpet fits very nicely on the floor of the room</v>
      </c>
    </row>
    <row r="6887" spans="1:3" ht="15.75" customHeight="1" x14ac:dyDescent="0.25">
      <c r="A6887" s="2" t="s">
        <v>6889</v>
      </c>
      <c r="B6887" s="3" t="s">
        <v>2</v>
      </c>
      <c r="C6887" s="2" t="str">
        <f ca="1">IFERROR(__xludf.DUMMYFUNCTION("GOOGLETRANSLATE(A6887,""bn"",""en"")"),"A bit too cold but drink quality is good")</f>
        <v>A bit too cold but drink quality is good</v>
      </c>
    </row>
    <row r="6888" spans="1:3" ht="15.75" customHeight="1" x14ac:dyDescent="0.25">
      <c r="A6888" s="2" t="s">
        <v>6890</v>
      </c>
      <c r="B6888" s="3" t="s">
        <v>4</v>
      </c>
      <c r="C6888" s="2" t="str">
        <f ca="1">IFERROR(__xludf.DUMMYFUNCTION("GOOGLETRANSLATE(A6888,""bn"",""en"")"),"The day passes very conveniently with the fan")</f>
        <v>The day passes very conveniently with the fan</v>
      </c>
    </row>
    <row r="6889" spans="1:3" ht="15.75" customHeight="1" x14ac:dyDescent="0.25">
      <c r="A6889" s="2" t="s">
        <v>6891</v>
      </c>
      <c r="B6889" s="3" t="s">
        <v>2</v>
      </c>
      <c r="C6889" s="2" t="str">
        <f ca="1">IFERROR(__xludf.DUMMYFUNCTION("GOOGLETRANSLATE(A6889,""bn"",""en"")"),"Packaging is simple plastic wrap")</f>
        <v>Packaging is simple plastic wrap</v>
      </c>
    </row>
    <row r="6890" spans="1:3" ht="15.75" customHeight="1" x14ac:dyDescent="0.25">
      <c r="A6890" s="2" t="s">
        <v>6892</v>
      </c>
      <c r="B6890" s="3" t="s">
        <v>4</v>
      </c>
      <c r="C6890" s="2" t="str">
        <f ca="1">IFERROR(__xludf.DUMMYFUNCTION("GOOGLETRANSLATE(A6890,""bn"",""en"")"),"The practical benefits are extraordinary")</f>
        <v>The practical benefits are extraordinary</v>
      </c>
    </row>
    <row r="6891" spans="1:3" ht="15.75" customHeight="1" x14ac:dyDescent="0.25">
      <c r="A6891" s="2" t="s">
        <v>6893</v>
      </c>
      <c r="B6891" s="3" t="s">
        <v>6</v>
      </c>
      <c r="C6891" s="2" t="str">
        <f ca="1">IFERROR(__xludf.DUMMYFUNCTION("GOOGLETRANSLATE(A6891,""bn"",""en"")"),"doesn't work well")</f>
        <v>doesn't work well</v>
      </c>
    </row>
    <row r="6892" spans="1:3" ht="15.75" customHeight="1" x14ac:dyDescent="0.25">
      <c r="A6892" s="2" t="s">
        <v>6894</v>
      </c>
      <c r="B6892" s="3" t="s">
        <v>2</v>
      </c>
      <c r="C6892" s="2" t="str">
        <f ca="1">IFERROR(__xludf.DUMMYFUNCTION("GOOGLETRANSLATE(A6892,""bn"",""en"")"),"The massage song works but the battery drains quickly")</f>
        <v>The massage song works but the battery drains quickly</v>
      </c>
    </row>
    <row r="6893" spans="1:3" ht="15.75" customHeight="1" x14ac:dyDescent="0.25">
      <c r="A6893" s="2" t="s">
        <v>6895</v>
      </c>
      <c r="B6893" s="3" t="s">
        <v>6</v>
      </c>
      <c r="C6893" s="2" t="str">
        <f ca="1">IFERROR(__xludf.DUMMYFUNCTION("GOOGLETRANSLATE(A6893,""bn"",""en"")"),"Self-cleaning litter boxes do not scoop waste properly and odors remain")</f>
        <v>Self-cleaning litter boxes do not scoop waste properly and odors remain</v>
      </c>
    </row>
    <row r="6894" spans="1:3" ht="15.75" customHeight="1" x14ac:dyDescent="0.25">
      <c r="A6894" s="2" t="s">
        <v>6896</v>
      </c>
      <c r="B6894" s="3" t="s">
        <v>4</v>
      </c>
      <c r="C6894" s="2" t="str">
        <f ca="1">IFERROR(__xludf.DUMMYFUNCTION("GOOGLETRANSLATE(A6894,""bn"",""en"")"),"The soap keeps the skin pores clean")</f>
        <v>The soap keeps the skin pores clean</v>
      </c>
    </row>
    <row r="6895" spans="1:3" ht="15.75" customHeight="1" x14ac:dyDescent="0.25">
      <c r="A6895" s="2" t="s">
        <v>6897</v>
      </c>
      <c r="B6895" s="3" t="s">
        <v>6</v>
      </c>
      <c r="C6895" s="2" t="str">
        <f ca="1">IFERROR(__xludf.DUMMYFUNCTION("GOOGLETRANSLATE(A6895,""bn"",""en"")"),"Electric scooter batteries die quickly in short range")</f>
        <v>Electric scooter batteries die quickly in short range</v>
      </c>
    </row>
    <row r="6896" spans="1:3" ht="15.75" customHeight="1" x14ac:dyDescent="0.25">
      <c r="A6896" s="2" t="s">
        <v>6898</v>
      </c>
      <c r="B6896" s="3" t="s">
        <v>2</v>
      </c>
      <c r="C6896" s="2" t="str">
        <f ca="1">IFERROR(__xludf.DUMMYFUNCTION("GOOGLETRANSLATE(A6896,""bn"",""en"")"),"The vacuum sealer packs the food but the bag is hard to find")</f>
        <v>The vacuum sealer packs the food but the bag is hard to find</v>
      </c>
    </row>
    <row r="6897" spans="1:3" ht="15.75" customHeight="1" x14ac:dyDescent="0.25">
      <c r="A6897" s="2" t="s">
        <v>6899</v>
      </c>
      <c r="B6897" s="3" t="s">
        <v>2</v>
      </c>
      <c r="C6897" s="2" t="str">
        <f ca="1">IFERROR(__xludf.DUMMYFUNCTION("GOOGLETRANSLATE(A6897,""bn"",""en"")"),"Usable for children but does not taste good")</f>
        <v>Usable for children but does not taste good</v>
      </c>
    </row>
    <row r="6898" spans="1:3" ht="15.75" customHeight="1" x14ac:dyDescent="0.25">
      <c r="A6898" s="2" t="s">
        <v>6900</v>
      </c>
      <c r="B6898" s="3" t="s">
        <v>2</v>
      </c>
      <c r="C6898" s="2" t="str">
        <f ca="1">IFERROR(__xludf.DUMMYFUNCTION("GOOGLETRANSLATE(A6898,""bn"",""en"")"),"The general design is nothing special")</f>
        <v>The general design is nothing special</v>
      </c>
    </row>
    <row r="6899" spans="1:3" ht="15.75" customHeight="1" x14ac:dyDescent="0.25">
      <c r="A6899" s="2" t="s">
        <v>6901</v>
      </c>
      <c r="B6899" s="3" t="s">
        <v>6</v>
      </c>
      <c r="C6899" s="2" t="str">
        <f ca="1">IFERROR(__xludf.DUMMYFUNCTION("GOOGLETRANSLATE(A6899,""bn"",""en"")"),"The smart light switch's installation instructions are vague and difficult to set up")</f>
        <v>The smart light switch's installation instructions are vague and difficult to set up</v>
      </c>
    </row>
    <row r="6900" spans="1:3" ht="15.75" customHeight="1" x14ac:dyDescent="0.25">
      <c r="A6900" s="2" t="s">
        <v>6902</v>
      </c>
      <c r="B6900" s="3" t="s">
        <v>4</v>
      </c>
      <c r="C6900" s="2" t="str">
        <f ca="1">IFERROR(__xludf.DUMMYFUNCTION("GOOGLETRANSLATE(A6900,""bn"",""en"")"),"This body wash improves skin tone")</f>
        <v>This body wash improves skin tone</v>
      </c>
    </row>
    <row r="6901" spans="1:3" ht="15.75" customHeight="1" x14ac:dyDescent="0.25">
      <c r="A6901" s="2" t="s">
        <v>6903</v>
      </c>
      <c r="B6901" s="3" t="s">
        <v>2</v>
      </c>
      <c r="C6901" s="2" t="str">
        <f ca="1">IFERROR(__xludf.DUMMYFUNCTION("GOOGLETRANSLATE(A6901,""bn"",""en"")"),"Love products are not perfect, with some nice imperfections")</f>
        <v>Love products are not perfect, with some nice imperfections</v>
      </c>
    </row>
    <row r="6902" spans="1:3" ht="15.75" customHeight="1" x14ac:dyDescent="0.25">
      <c r="A6902" s="2" t="s">
        <v>6904</v>
      </c>
      <c r="B6902" s="3" t="s">
        <v>4</v>
      </c>
      <c r="C6902" s="2" t="str">
        <f ca="1">IFERROR(__xludf.DUMMYFUNCTION("GOOGLETRANSLATE(A6902,""bn"",""en"")"),"The shampoo gives the hair a new life")</f>
        <v>The shampoo gives the hair a new life</v>
      </c>
    </row>
    <row r="6903" spans="1:3" ht="15.75" customHeight="1" x14ac:dyDescent="0.25">
      <c r="A6903" s="2" t="s">
        <v>6905</v>
      </c>
      <c r="B6903" s="3" t="s">
        <v>2</v>
      </c>
      <c r="C6903" s="2" t="str">
        <f ca="1">IFERROR(__xludf.DUMMYFUNCTION("GOOGLETRANSLATE(A6903,""bn"",""en"")"),"The taste is quite ordinary but the packaging is beautiful")</f>
        <v>The taste is quite ordinary but the packaging is beautiful</v>
      </c>
    </row>
    <row r="6904" spans="1:3" ht="15.75" customHeight="1" x14ac:dyDescent="0.25">
      <c r="A6904" s="2" t="s">
        <v>6906</v>
      </c>
      <c r="B6904" s="3" t="s">
        <v>4</v>
      </c>
      <c r="C6904" s="2" t="str">
        <f ca="1">IFERROR(__xludf.DUMMYFUNCTION("GOOGLETRANSLATE(A6904,""bn"",""en"")"),"This mixer is very useful for kitchen")</f>
        <v>This mixer is very useful for kitchen</v>
      </c>
    </row>
    <row r="6905" spans="1:3" ht="15.75" customHeight="1" x14ac:dyDescent="0.25">
      <c r="A6905" s="2" t="s">
        <v>6907</v>
      </c>
      <c r="B6905" s="3" t="s">
        <v>6</v>
      </c>
      <c r="C6905" s="2" t="str">
        <f ca="1">IFERROR(__xludf.DUMMYFUNCTION("GOOGLETRANSLATE(A6905,""bn"",""en"")"),"The product had sharp edges that posed a safety hazard")</f>
        <v>The product had sharp edges that posed a safety hazard</v>
      </c>
    </row>
    <row r="6906" spans="1:3" ht="15.75" customHeight="1" x14ac:dyDescent="0.25">
      <c r="A6906" s="2" t="s">
        <v>6908</v>
      </c>
      <c r="B6906" s="3" t="s">
        <v>2</v>
      </c>
      <c r="C6906" s="2" t="str">
        <f ca="1">IFERROR(__xludf.DUMMYFUNCTION("GOOGLETRANSLATE(A6906,""bn"",""en"")"),"Works for bracelets but won't hold up to heavy wear")</f>
        <v>Works for bracelets but won't hold up to heavy wear</v>
      </c>
    </row>
    <row r="6907" spans="1:3" ht="15.75" customHeight="1" x14ac:dyDescent="0.25">
      <c r="A6907" s="2" t="s">
        <v>6909</v>
      </c>
      <c r="B6907" s="3" t="s">
        <v>4</v>
      </c>
      <c r="C6907" s="2" t="str">
        <f ca="1">IFERROR(__xludf.DUMMYFUNCTION("GOOGLETRANSLATE(A6907,""bn"",""en"")"),"The RAM management of the mobile is excellent")</f>
        <v>The RAM management of the mobile is excellent</v>
      </c>
    </row>
    <row r="6908" spans="1:3" ht="15.75" customHeight="1" x14ac:dyDescent="0.25">
      <c r="A6908" s="2" t="s">
        <v>6910</v>
      </c>
      <c r="B6908" s="3" t="s">
        <v>4</v>
      </c>
      <c r="C6908" s="2" t="str">
        <f ca="1">IFERROR(__xludf.DUMMYFUNCTION("GOOGLETRANSLATE(A6908,""bn"",""en"")"),"It is very durable")</f>
        <v>It is very durable</v>
      </c>
    </row>
    <row r="6909" spans="1:3" ht="15.75" customHeight="1" x14ac:dyDescent="0.25">
      <c r="A6909" s="2" t="s">
        <v>6911</v>
      </c>
      <c r="B6909" s="3" t="s">
        <v>6</v>
      </c>
      <c r="C6909" s="2" t="str">
        <f ca="1">IFERROR(__xludf.DUMMYFUNCTION("GOOGLETRANSLATE(A6909,""bn"",""en"")"),"Solar powered phone chargers are not weatherproof and damaged by rain")</f>
        <v>Solar powered phone chargers are not weatherproof and damaged by rain</v>
      </c>
    </row>
    <row r="6910" spans="1:3" ht="15.75" customHeight="1" x14ac:dyDescent="0.25">
      <c r="A6910" s="2" t="s">
        <v>6912</v>
      </c>
      <c r="B6910" s="3" t="s">
        <v>4</v>
      </c>
      <c r="C6910" s="2" t="str">
        <f ca="1">IFERROR(__xludf.DUMMYFUNCTION("GOOGLETRANSLATE(A6910,""bn"",""en"")"),"Car mats are durable and easy to keep clean")</f>
        <v>Car mats are durable and easy to keep clean</v>
      </c>
    </row>
    <row r="6911" spans="1:3" ht="15.75" customHeight="1" x14ac:dyDescent="0.25">
      <c r="A6911" s="2" t="s">
        <v>6913</v>
      </c>
      <c r="B6911" s="3" t="s">
        <v>4</v>
      </c>
      <c r="C6911" s="2" t="str">
        <f ca="1">IFERROR(__xludf.DUMMYFUNCTION("GOOGLETRANSLATE(A6911,""bn"",""en"")"),"Our school playground is always clean")</f>
        <v>Our school playground is always clean</v>
      </c>
    </row>
    <row r="6912" spans="1:3" ht="15.75" customHeight="1" x14ac:dyDescent="0.25">
      <c r="A6912" s="2" t="s">
        <v>6914</v>
      </c>
      <c r="B6912" s="3" t="s">
        <v>4</v>
      </c>
      <c r="C6912" s="2" t="str">
        <f ca="1">IFERROR(__xludf.DUMMYFUNCTION("GOOGLETRANSLATE(A6912,""bn"",""en"")"),"The fan provides information about the situation quite easily")</f>
        <v>The fan provides information about the situation quite easily</v>
      </c>
    </row>
    <row r="6913" spans="1:3" ht="15.75" customHeight="1" x14ac:dyDescent="0.25">
      <c r="A6913" s="2" t="s">
        <v>6915</v>
      </c>
      <c r="B6913" s="3" t="s">
        <v>4</v>
      </c>
      <c r="C6913" s="2" t="str">
        <f ca="1">IFERROR(__xludf.DUMMYFUNCTION("GOOGLETRANSLATE(A6913,""bn"",""en"")"),"The pillowcase is very soft and comfortable")</f>
        <v>The pillowcase is very soft and comfortable</v>
      </c>
    </row>
    <row r="6914" spans="1:3" ht="15.75" customHeight="1" x14ac:dyDescent="0.25">
      <c r="A6914" s="2" t="s">
        <v>6916</v>
      </c>
      <c r="B6914" s="3" t="s">
        <v>2</v>
      </c>
      <c r="C6914" s="2" t="str">
        <f ca="1">IFERROR(__xludf.DUMMYFUNCTION("GOOGLETRANSLATE(A6914,""bn"",""en"")"),"You might like it I like it a lot")</f>
        <v>You might like it I like it a lot</v>
      </c>
    </row>
    <row r="6915" spans="1:3" ht="15.75" customHeight="1" x14ac:dyDescent="0.25">
      <c r="A6915" s="2" t="s">
        <v>6917</v>
      </c>
      <c r="B6915" s="3" t="s">
        <v>2</v>
      </c>
      <c r="C6915" s="2" t="str">
        <f ca="1">IFERROR(__xludf.DUMMYFUNCTION("GOOGLETRANSLATE(A6915,""bn"",""en"")"),"Performance should improve slightly")</f>
        <v>Performance should improve slightly</v>
      </c>
    </row>
    <row r="6916" spans="1:3" ht="15.75" customHeight="1" x14ac:dyDescent="0.25">
      <c r="A6916" s="2" t="s">
        <v>6918</v>
      </c>
      <c r="B6916" s="3" t="s">
        <v>2</v>
      </c>
      <c r="C6916" s="2" t="str">
        <f ca="1">IFERROR(__xludf.DUMMYFUNCTION("GOOGLETRANSLATE(A6916,""bn"",""en"")"),"Still stable after months of use")</f>
        <v>Still stable after months of use</v>
      </c>
    </row>
    <row r="6917" spans="1:3" ht="15.75" customHeight="1" x14ac:dyDescent="0.25">
      <c r="A6917" s="2" t="s">
        <v>6919</v>
      </c>
      <c r="B6917" s="3" t="s">
        <v>6</v>
      </c>
      <c r="C6917" s="2" t="str">
        <f ca="1">IFERROR(__xludf.DUMMYFUNCTION("GOOGLETRANSLATE(A6917,""bn"",""en"")"),"Limited durability means frequent replacement is required")</f>
        <v>Limited durability means frequent replacement is required</v>
      </c>
    </row>
    <row r="6918" spans="1:3" ht="15.75" customHeight="1" x14ac:dyDescent="0.25">
      <c r="A6918" s="2" t="s">
        <v>6920</v>
      </c>
      <c r="B6918" s="3" t="s">
        <v>6</v>
      </c>
      <c r="C6918" s="2" t="str">
        <f ca="1">IFERROR(__xludf.DUMMYFUNCTION("GOOGLETRANSLATE(A6918,""bn"",""en"")"),"The user interface of the product was confusing and difficult to navigate")</f>
        <v>The user interface of the product was confusing and difficult to navigate</v>
      </c>
    </row>
    <row r="6919" spans="1:3" ht="15.75" customHeight="1" x14ac:dyDescent="0.25">
      <c r="A6919" s="2" t="s">
        <v>6921</v>
      </c>
      <c r="B6919" s="3" t="s">
        <v>2</v>
      </c>
      <c r="C6919" s="2" t="str">
        <f ca="1">IFERROR(__xludf.DUMMYFUNCTION("GOOGLETRANSLATE(A6919,""bn"",""en"")"),"Can be used in the kitchen but melts at high temperatures")</f>
        <v>Can be used in the kitchen but melts at high temperatures</v>
      </c>
    </row>
    <row r="6920" spans="1:3" ht="15.75" customHeight="1" x14ac:dyDescent="0.25">
      <c r="A6920" s="2" t="s">
        <v>6922</v>
      </c>
      <c r="B6920" s="3" t="s">
        <v>4</v>
      </c>
      <c r="C6920" s="2" t="str">
        <f ca="1">IFERROR(__xludf.DUMMYFUNCTION("GOOGLETRANSLATE(A6920,""bn"",""en"")"),"Each product in the kit has no side effects on the skin")</f>
        <v>Each product in the kit has no side effects on the skin</v>
      </c>
    </row>
    <row r="6921" spans="1:3" ht="15.75" customHeight="1" x14ac:dyDescent="0.25">
      <c r="A6921" s="2" t="s">
        <v>6923</v>
      </c>
      <c r="B6921" s="3" t="s">
        <v>6</v>
      </c>
      <c r="C6921" s="2" t="str">
        <f ca="1">IFERROR(__xludf.DUMMYFUNCTION("GOOGLETRANSLATE(A6921,""bn"",""en"")"),"  The butter was difficult to spread and left a greasy film")</f>
        <v xml:space="preserve">  The butter was difficult to spread and left a greasy film</v>
      </c>
    </row>
    <row r="6922" spans="1:3" ht="15.75" customHeight="1" x14ac:dyDescent="0.25">
      <c r="A6922" s="2" t="s">
        <v>6924</v>
      </c>
      <c r="B6922" s="3" t="s">
        <v>4</v>
      </c>
      <c r="C6922" s="2" t="str">
        <f ca="1">IFERROR(__xludf.DUMMYFUNCTION("GOOGLETRANSLATE(A6922,""bn"",""en"")"),"The design of the new watch is very stylish and beautiful")</f>
        <v>The design of the new watch is very stylish and beautiful</v>
      </c>
    </row>
    <row r="6923" spans="1:3" ht="15.75" customHeight="1" x14ac:dyDescent="0.25">
      <c r="A6923" s="2" t="s">
        <v>6925</v>
      </c>
      <c r="B6923" s="3" t="s">
        <v>2</v>
      </c>
      <c r="C6923" s="2" t="str">
        <f ca="1">IFERROR(__xludf.DUMMYFUNCTION("GOOGLETRANSLATE(A6923,""bn"",""en"")"),"The smart tire pressure gauge measures pressure but the app takes a while to load")</f>
        <v>The smart tire pressure gauge measures pressure but the app takes a while to load</v>
      </c>
    </row>
    <row r="6924" spans="1:3" ht="15.75" customHeight="1" x14ac:dyDescent="0.25">
      <c r="A6924" s="2" t="s">
        <v>6926</v>
      </c>
      <c r="B6924" s="3" t="s">
        <v>6</v>
      </c>
      <c r="C6924" s="2" t="str">
        <f ca="1">IFERROR(__xludf.DUMMYFUNCTION("GOOGLETRANSLATE(A6924,""bn"",""en"")"),"Uncomfortable handle design causes discomfort")</f>
        <v>Uncomfortable handle design causes discomfort</v>
      </c>
    </row>
    <row r="6925" spans="1:3" ht="15.75" customHeight="1" x14ac:dyDescent="0.25">
      <c r="A6925" s="2" t="s">
        <v>6927</v>
      </c>
      <c r="B6925" s="3" t="s">
        <v>4</v>
      </c>
      <c r="C6925" s="2" t="str">
        <f ca="1">IFERROR(__xludf.DUMMYFUNCTION("GOOGLETRANSLATE(A6925,""bn"",""en"")"),"The cover design of the book is very attractive")</f>
        <v>The cover design of the book is very attractive</v>
      </c>
    </row>
    <row r="6926" spans="1:3" ht="15.75" customHeight="1" x14ac:dyDescent="0.25">
      <c r="A6926" s="2" t="s">
        <v>6928</v>
      </c>
      <c r="B6926" s="3" t="s">
        <v>2</v>
      </c>
      <c r="C6926" s="2" t="str">
        <f ca="1">IFERROR(__xludf.DUMMYFUNCTION("GOOGLETRANSLATE(A6926,""bn"",""en"")"),"The product is intended for cleaning floors")</f>
        <v>The product is intended for cleaning floors</v>
      </c>
    </row>
    <row r="6927" spans="1:3" ht="15.75" customHeight="1" x14ac:dyDescent="0.25">
      <c r="A6927" s="2" t="s">
        <v>6929</v>
      </c>
      <c r="B6927" s="3" t="s">
        <v>2</v>
      </c>
      <c r="C6927" s="2" t="str">
        <f ca="1">IFERROR(__xludf.DUMMYFUNCTION("GOOGLETRANSLATE(A6927,""bn"",""en"")"),"The color is neutral and has no particular attraction")</f>
        <v>The color is neutral and has no particular attraction</v>
      </c>
    </row>
    <row r="6928" spans="1:3" ht="15.75" customHeight="1" x14ac:dyDescent="0.25">
      <c r="A6928" s="2" t="s">
        <v>6930</v>
      </c>
      <c r="B6928" s="3" t="s">
        <v>6</v>
      </c>
      <c r="C6928" s="2" t="str">
        <f ca="1">IFERROR(__xludf.DUMMYFUNCTION("GOOGLETRANSLATE(A6928,""bn"",""en"")"),"The jewelry chain snapped unexpectedly leaving me devastated with the loss of a cherished pendant")</f>
        <v>The jewelry chain snapped unexpectedly leaving me devastated with the loss of a cherished pendant</v>
      </c>
    </row>
    <row r="6929" spans="1:3" ht="15.75" customHeight="1" x14ac:dyDescent="0.25">
      <c r="A6929" s="2" t="s">
        <v>6931</v>
      </c>
      <c r="B6929" s="3" t="s">
        <v>6</v>
      </c>
      <c r="C6929" s="2" t="str">
        <f ca="1">IFERROR(__xludf.DUMMYFUNCTION("GOOGLETRANSLATE(A6929,""bn"",""en"")"),"  The spray had a strong scent that gave me a headache")</f>
        <v xml:space="preserve">  The spray had a strong scent that gave me a headache</v>
      </c>
    </row>
    <row r="6930" spans="1:3" ht="15.75" customHeight="1" x14ac:dyDescent="0.25">
      <c r="A6930" s="2" t="s">
        <v>6932</v>
      </c>
      <c r="B6930" s="3" t="s">
        <v>4</v>
      </c>
      <c r="C6930" s="2" t="str">
        <f ca="1">IFERROR(__xludf.DUMMYFUNCTION("GOOGLETRANSLATE(A6930,""bn"",""en"")"),"This combination completely transformed my reading angle")</f>
        <v>This combination completely transformed my reading angle</v>
      </c>
    </row>
    <row r="6931" spans="1:3" ht="15.75" customHeight="1" x14ac:dyDescent="0.25">
      <c r="A6931" s="2" t="s">
        <v>6933</v>
      </c>
      <c r="B6931" s="3" t="s">
        <v>4</v>
      </c>
      <c r="C6931" s="2" t="str">
        <f ca="1">IFERROR(__xludf.DUMMYFUNCTION("GOOGLETRANSLATE(A6931,""bn"",""en"")"),"Great value works as advertised")</f>
        <v>Great value works as advertised</v>
      </c>
    </row>
    <row r="6932" spans="1:3" ht="15.75" customHeight="1" x14ac:dyDescent="0.25">
      <c r="A6932" s="2" t="s">
        <v>6934</v>
      </c>
      <c r="B6932" s="3" t="s">
        <v>2</v>
      </c>
      <c r="C6932" s="2" t="str">
        <f ca="1">IFERROR(__xludf.DUMMYFUNCTION("GOOGLETRANSLATE(A6932,""bn"",""en"")"),"The cups sit properly, but they can easily tip over")</f>
        <v>The cups sit properly, but they can easily tip over</v>
      </c>
    </row>
    <row r="6933" spans="1:3" ht="15.75" customHeight="1" x14ac:dyDescent="0.25">
      <c r="A6933" s="2" t="s">
        <v>6935</v>
      </c>
      <c r="B6933" s="3" t="s">
        <v>6</v>
      </c>
      <c r="C6933" s="2" t="str">
        <f ca="1">IFERROR(__xludf.DUMMYFUNCTION("GOOGLETRANSLATE(A6933,""bn"",""en"")"),"The tray was flimsy and unable to support the weight of the saucers and cups")</f>
        <v>The tray was flimsy and unable to support the weight of the saucers and cups</v>
      </c>
    </row>
    <row r="6934" spans="1:3" ht="15.75" customHeight="1" x14ac:dyDescent="0.25">
      <c r="A6934" s="2" t="s">
        <v>6936</v>
      </c>
      <c r="B6934" s="3" t="s">
        <v>2</v>
      </c>
      <c r="C6934" s="2" t="str">
        <f ca="1">IFERROR(__xludf.DUMMYFUNCTION("GOOGLETRANSLATE(A6934,""bn"",""en"")"),"The desk lamp works but the light seems a little dim")</f>
        <v>The desk lamp works but the light seems a little dim</v>
      </c>
    </row>
    <row r="6935" spans="1:3" ht="15.75" customHeight="1" x14ac:dyDescent="0.25">
      <c r="A6935" s="2" t="s">
        <v>6937</v>
      </c>
      <c r="B6935" s="3" t="s">
        <v>4</v>
      </c>
      <c r="C6935" s="2" t="str">
        <f ca="1">IFERROR(__xludf.DUMMYFUNCTION("GOOGLETRANSLATE(A6935,""bn"",""en"")"),"The storage capacity of the mobile is quite high")</f>
        <v>The storage capacity of the mobile is quite high</v>
      </c>
    </row>
    <row r="6936" spans="1:3" ht="15.75" customHeight="1" x14ac:dyDescent="0.25">
      <c r="A6936" s="2" t="s">
        <v>6938</v>
      </c>
      <c r="B6936" s="3" t="s">
        <v>2</v>
      </c>
      <c r="C6936" s="2" t="str">
        <f ca="1">IFERROR(__xludf.DUMMYFUNCTION("GOOGLETRANSLATE(A6936,""bn"",""en"")"),"The plates are sturdy but a bit difficult to use")</f>
        <v>The plates are sturdy but a bit difficult to use</v>
      </c>
    </row>
    <row r="6937" spans="1:3" ht="15.75" customHeight="1" x14ac:dyDescent="0.25">
      <c r="A6937" s="2" t="s">
        <v>6939</v>
      </c>
      <c r="B6937" s="3" t="s">
        <v>4</v>
      </c>
      <c r="C6937" s="2" t="str">
        <f ca="1">IFERROR(__xludf.DUMMYFUNCTION("GOOGLETRANSLATE(A6937,""bn"",""en"")"),"This body wash enhances the natural beauty of the skin")</f>
        <v>This body wash enhances the natural beauty of the skin</v>
      </c>
    </row>
    <row r="6938" spans="1:3" ht="15.75" customHeight="1" x14ac:dyDescent="0.25">
      <c r="A6938" s="2" t="s">
        <v>6940</v>
      </c>
      <c r="B6938" s="3" t="s">
        <v>6</v>
      </c>
      <c r="C6938" s="2" t="str">
        <f ca="1">IFERROR(__xludf.DUMMYFUNCTION("GOOGLETRANSLATE(A6938,""bn"",""en"")"),"Lack of overwhelming presentation polish")</f>
        <v>Lack of overwhelming presentation polish</v>
      </c>
    </row>
    <row r="6939" spans="1:3" ht="15.75" customHeight="1" x14ac:dyDescent="0.25">
      <c r="A6939" s="2" t="s">
        <v>6941</v>
      </c>
      <c r="B6939" s="3" t="s">
        <v>4</v>
      </c>
      <c r="C6939" s="2" t="str">
        <f ca="1">IFERROR(__xludf.DUMMYFUNCTION("GOOGLETRANSLATE(A6939,""bn"",""en"")"),"Comfort cannot be beat")</f>
        <v>Comfort cannot be beat</v>
      </c>
    </row>
    <row r="6940" spans="1:3" ht="15.75" customHeight="1" x14ac:dyDescent="0.25">
      <c r="A6940" s="2" t="s">
        <v>6942</v>
      </c>
      <c r="B6940" s="3" t="s">
        <v>6</v>
      </c>
      <c r="C6940" s="2" t="str">
        <f ca="1">IFERROR(__xludf.DUMMYFUNCTION("GOOGLETRANSLATE(A6940,""bn"",""en"")")," The built-in speakers emit a buzzing sound especially at high volumes")</f>
        <v xml:space="preserve"> The built-in speakers emit a buzzing sound especially at high volumes</v>
      </c>
    </row>
    <row r="6941" spans="1:3" ht="15.75" customHeight="1" x14ac:dyDescent="0.25">
      <c r="A6941" s="2" t="s">
        <v>6943</v>
      </c>
      <c r="B6941" s="3" t="s">
        <v>6</v>
      </c>
      <c r="C6941" s="2" t="str">
        <f ca="1">IFERROR(__xludf.DUMMYFUNCTION("GOOGLETRANSLATE(A6941,""bn"",""en"")"),"Concealer settles into fine lines and pores within minutes of application")</f>
        <v>Concealer settles into fine lines and pores within minutes of application</v>
      </c>
    </row>
    <row r="6942" spans="1:3" ht="15.75" customHeight="1" x14ac:dyDescent="0.25">
      <c r="A6942" s="2" t="s">
        <v>6944</v>
      </c>
      <c r="B6942" s="3" t="s">
        <v>4</v>
      </c>
      <c r="C6942" s="2" t="str">
        <f ca="1">IFERROR(__xludf.DUMMYFUNCTION("GOOGLETRANSLATE(A6942,""bn"",""en"")"),"The size of the pencil is perfect, it is very comfortable to hold and write")</f>
        <v>The size of the pencil is perfect, it is very comfortable to hold and write</v>
      </c>
    </row>
    <row r="6943" spans="1:3" ht="15.75" customHeight="1" x14ac:dyDescent="0.25">
      <c r="A6943" s="2" t="s">
        <v>6945</v>
      </c>
      <c r="B6943" s="3" t="s">
        <v>6</v>
      </c>
      <c r="C6943" s="2" t="str">
        <f ca="1">IFERROR(__xludf.DUMMYFUNCTION("GOOGLETRANSLATE(A6943,""bn"",""en"")"),"Gaming consoles often freeze during gameplay ruining the experience")</f>
        <v>Gaming consoles often freeze during gameplay ruining the experience</v>
      </c>
    </row>
    <row r="6944" spans="1:3" ht="15.75" customHeight="1" x14ac:dyDescent="0.25">
      <c r="A6944" s="2" t="s">
        <v>6946</v>
      </c>
      <c r="B6944" s="3" t="s">
        <v>4</v>
      </c>
      <c r="C6944" s="2" t="str">
        <f ca="1">IFERROR(__xludf.DUMMYFUNCTION("GOOGLETRANSLATE(A6944,""bn"",""en"")"),"The plot of the story is very interesting")</f>
        <v>The plot of the story is very interesting</v>
      </c>
    </row>
    <row r="6945" spans="1:3" ht="15.75" customHeight="1" x14ac:dyDescent="0.25">
      <c r="A6945" s="2" t="s">
        <v>6947</v>
      </c>
      <c r="B6945" s="3" t="s">
        <v>6</v>
      </c>
      <c r="C6945" s="2" t="str">
        <f ca="1">IFERROR(__xludf.DUMMYFUNCTION("GOOGLETRANSLATE(A6945,""bn"",""en"")"),"Facial mists contain alcohol, which dries out the skin and causes tightness and discomfort")</f>
        <v>Facial mists contain alcohol, which dries out the skin and causes tightness and discomfort</v>
      </c>
    </row>
    <row r="6946" spans="1:3" ht="15.75" customHeight="1" x14ac:dyDescent="0.25">
      <c r="A6946" s="2" t="s">
        <v>6948</v>
      </c>
      <c r="B6946" s="3" t="s">
        <v>2</v>
      </c>
      <c r="C6946" s="2" t="str">
        <f ca="1">IFERROR(__xludf.DUMMYFUNCTION("GOOGLETRANSLATE(A6946,""bn"",""en"")"),"Security cameras are good but reliability is questionable")</f>
        <v>Security cameras are good but reliability is questionable</v>
      </c>
    </row>
    <row r="6947" spans="1:3" ht="15.75" customHeight="1" x14ac:dyDescent="0.25">
      <c r="A6947" s="2" t="s">
        <v>6949</v>
      </c>
      <c r="B6947" s="3" t="s">
        <v>4</v>
      </c>
      <c r="C6947" s="2" t="str">
        <f ca="1">IFERROR(__xludf.DUMMYFUNCTION("GOOGLETRANSLATE(A6947,""bn"",""en"")"),"It reduces makeup wastage")</f>
        <v>It reduces makeup wastage</v>
      </c>
    </row>
    <row r="6948" spans="1:3" ht="15.75" customHeight="1" x14ac:dyDescent="0.25">
      <c r="A6948" s="2" t="s">
        <v>6950</v>
      </c>
      <c r="B6948" s="3" t="s">
        <v>6</v>
      </c>
      <c r="C6948" s="2" t="str">
        <f ca="1">IFERROR(__xludf.DUMMYFUNCTION("GOOGLETRANSLATE(A6948,""bn"",""en"")"),"Brushes were difficult to clean to retain pigment")</f>
        <v>Brushes were difficult to clean to retain pigment</v>
      </c>
    </row>
    <row r="6949" spans="1:3" ht="15.75" customHeight="1" x14ac:dyDescent="0.25">
      <c r="A6949" s="2" t="s">
        <v>6951</v>
      </c>
      <c r="B6949" s="3" t="s">
        <v>2</v>
      </c>
      <c r="C6949" s="2" t="str">
        <f ca="1">IFERROR(__xludf.DUMMYFUNCTION("GOOGLETRANSLATE(A6949,""bn"",""en"")"),"A bit disappointing could have been better")</f>
        <v>A bit disappointing could have been better</v>
      </c>
    </row>
    <row r="6950" spans="1:3" ht="15.75" customHeight="1" x14ac:dyDescent="0.25">
      <c r="A6950" s="2" t="s">
        <v>6952</v>
      </c>
      <c r="B6950" s="3" t="s">
        <v>2</v>
      </c>
      <c r="C6950" s="2" t="str">
        <f ca="1">IFERROR(__xludf.DUMMYFUNCTION("GOOGLETRANSLATE(A6950,""bn"",""en"")"),"Good for the land but the yield did not increase much")</f>
        <v>Good for the land but the yield did not increase much</v>
      </c>
    </row>
    <row r="6951" spans="1:3" ht="15.75" customHeight="1" x14ac:dyDescent="0.25">
      <c r="A6951" s="2" t="s">
        <v>6953</v>
      </c>
      <c r="B6951" s="3" t="s">
        <v>6</v>
      </c>
      <c r="C6951" s="2" t="str">
        <f ca="1">IFERROR(__xludf.DUMMYFUNCTION("GOOGLETRANSLATE(A6951,""bn"",""en"")"),"High-tech accessories boast of state-of-the-art features but quickly become obsolete as new models hit the market.")</f>
        <v>High-tech accessories boast of state-of-the-art features but quickly become obsolete as new models hit the market.</v>
      </c>
    </row>
    <row r="6952" spans="1:3" ht="15.75" customHeight="1" x14ac:dyDescent="0.25">
      <c r="A6952" s="2" t="s">
        <v>6954</v>
      </c>
      <c r="B6952" s="3" t="s">
        <v>6</v>
      </c>
      <c r="C6952" s="2" t="str">
        <f ca="1">IFERROR(__xludf.DUMMYFUNCTION("GOOGLETRANSLATE(A6952,""bn"",""en"")"),"The interior light flickers at times making it difficult to see inside")</f>
        <v>The interior light flickers at times making it difficult to see inside</v>
      </c>
    </row>
    <row r="6953" spans="1:3" ht="15.75" customHeight="1" x14ac:dyDescent="0.25">
      <c r="A6953" s="2" t="s">
        <v>6955</v>
      </c>
      <c r="B6953" s="3" t="s">
        <v>2</v>
      </c>
      <c r="C6953" s="2" t="str">
        <f ca="1">IFERROR(__xludf.DUMMYFUNCTION("GOOGLETRANSLATE(A6953,""bn"",""en"")"),"Yes it will work in English but may have compatibility issues")</f>
        <v>Yes it will work in English but may have compatibility issues</v>
      </c>
    </row>
    <row r="6954" spans="1:3" ht="15.75" customHeight="1" x14ac:dyDescent="0.25">
      <c r="A6954" s="2" t="s">
        <v>6956</v>
      </c>
      <c r="B6954" s="3" t="s">
        <v>4</v>
      </c>
      <c r="C6954" s="2" t="str">
        <f ca="1">IFERROR(__xludf.DUMMYFUNCTION("GOOGLETRANSLATE(A6954,""bn"",""en"")"),"Very easy to clean")</f>
        <v>Very easy to clean</v>
      </c>
    </row>
    <row r="6955" spans="1:3" ht="15.75" customHeight="1" x14ac:dyDescent="0.25">
      <c r="A6955" s="2" t="s">
        <v>6957</v>
      </c>
      <c r="B6955" s="3" t="s">
        <v>6</v>
      </c>
      <c r="C6955" s="2" t="str">
        <f ca="1">IFERROR(__xludf.DUMMYFUNCTION("GOOGLETRANSLATE(A6955,""bn"",""en"")"),"Camera lens cap is difficult to remove which causes delay in capturing moments")</f>
        <v>Camera lens cap is difficult to remove which causes delay in capturing moments</v>
      </c>
    </row>
    <row r="6956" spans="1:3" ht="15.75" customHeight="1" x14ac:dyDescent="0.25">
      <c r="A6956" s="2" t="s">
        <v>6958</v>
      </c>
      <c r="B6956" s="3" t="s">
        <v>6</v>
      </c>
      <c r="C6956" s="2" t="str">
        <f ca="1">IFERROR(__xludf.DUMMYFUNCTION("GOOGLETRANSLATE(A6956,""bn"",""en"")"),"The closure mechanism is very stiff making it difficult to open and close")</f>
        <v>The closure mechanism is very stiff making it difficult to open and close</v>
      </c>
    </row>
    <row r="6957" spans="1:3" ht="15.75" customHeight="1" x14ac:dyDescent="0.25">
      <c r="A6957" s="2" t="s">
        <v>6959</v>
      </c>
      <c r="B6957" s="3" t="s">
        <v>2</v>
      </c>
      <c r="C6957" s="2" t="str">
        <f ca="1">IFERROR(__xludf.DUMMYFUNCTION("GOOGLETRANSLATE(A6957,""bn"",""en"")"),"The product is good but some users have experienced problems")</f>
        <v>The product is good but some users have experienced problems</v>
      </c>
    </row>
    <row r="6958" spans="1:3" ht="15.75" customHeight="1" x14ac:dyDescent="0.25">
      <c r="A6958" s="2" t="s">
        <v>6960</v>
      </c>
      <c r="B6958" s="3" t="s">
        <v>2</v>
      </c>
      <c r="C6958" s="2" t="str">
        <f ca="1">IFERROR(__xludf.DUMMYFUNCTION("GOOGLETRANSLATE(A6958,""bn"",""en"")"),"The smart plug controls the device but the setup process is complicated")</f>
        <v>The smart plug controls the device but the setup process is complicated</v>
      </c>
    </row>
    <row r="6959" spans="1:3" ht="15.75" customHeight="1" x14ac:dyDescent="0.25">
      <c r="A6959" s="2" t="s">
        <v>6961</v>
      </c>
      <c r="B6959" s="3" t="s">
        <v>2</v>
      </c>
      <c r="C6959" s="2" t="str">
        <f ca="1">IFERROR(__xludf.DUMMYFUNCTION("GOOGLETRANSLATE(A6959,""bn"",""en"")"),"The toaster works very quickly but takes a while to burn the bread ")</f>
        <v xml:space="preserve">The toaster works very quickly but takes a while to burn the bread </v>
      </c>
    </row>
    <row r="6960" spans="1:3" ht="15.75" customHeight="1" x14ac:dyDescent="0.25">
      <c r="A6960" s="2" t="s">
        <v>6962</v>
      </c>
      <c r="B6960" s="3" t="s">
        <v>2</v>
      </c>
      <c r="C6960" s="2" t="str">
        <f ca="1">IFERROR(__xludf.DUMMYFUNCTION("GOOGLETRANSLATE(A6960,""bn"",""en"")"),"Caution should be exercised during use")</f>
        <v>Caution should be exercised during use</v>
      </c>
    </row>
    <row r="6961" spans="1:3" ht="15.75" customHeight="1" x14ac:dyDescent="0.25">
      <c r="A6961" s="2" t="s">
        <v>6963</v>
      </c>
      <c r="B6961" s="3" t="s">
        <v>2</v>
      </c>
      <c r="C6961" s="2" t="str">
        <f ca="1">IFERROR(__xludf.DUMMYFUNCTION("GOOGLETRANSLATE(A6961,""bn"",""en"")"),"A moka pot produces medium strength coffee")</f>
        <v>A moka pot produces medium strength coffee</v>
      </c>
    </row>
    <row r="6962" spans="1:3" ht="15.75" customHeight="1" x14ac:dyDescent="0.25">
      <c r="A6962" s="2" t="s">
        <v>6964</v>
      </c>
      <c r="B6962" s="3" t="s">
        <v>4</v>
      </c>
      <c r="C6962" s="2" t="str">
        <f ca="1">IFERROR(__xludf.DUMMYFUNCTION("GOOGLETRANSLATE(A6962,""bn"",""en"")"),"Works great just what was needed")</f>
        <v>Works great just what was needed</v>
      </c>
    </row>
    <row r="6963" spans="1:3" ht="15.75" customHeight="1" x14ac:dyDescent="0.25">
      <c r="A6963" s="2" t="s">
        <v>6965</v>
      </c>
      <c r="B6963" s="3" t="s">
        <v>2</v>
      </c>
      <c r="C6963" s="2" t="str">
        <f ca="1">IFERROR(__xludf.DUMMYFUNCTION("GOOGLETRANSLATE(A6963,""bn"",""en"")"),"The electronic text magnifier makes the text bigger but the screen is smaller")</f>
        <v>The electronic text magnifier makes the text bigger but the screen is smaller</v>
      </c>
    </row>
    <row r="6964" spans="1:3" ht="15.75" customHeight="1" x14ac:dyDescent="0.25">
      <c r="A6964" s="2" t="s">
        <v>6966</v>
      </c>
      <c r="B6964" s="3" t="s">
        <v>6</v>
      </c>
      <c r="C6964" s="2" t="str">
        <f ca="1">IFERROR(__xludf.DUMMYFUNCTION("GOOGLETRANSLATE(A6964,""bn"",""en"")"),"The packaged waffles were soggy and lacked crispness with artificial flavors")</f>
        <v>The packaged waffles were soggy and lacked crispness with artificial flavors</v>
      </c>
    </row>
    <row r="6965" spans="1:3" ht="15.75" customHeight="1" x14ac:dyDescent="0.25">
      <c r="A6965" s="2" t="s">
        <v>6967</v>
      </c>
      <c r="B6965" s="3" t="s">
        <v>2</v>
      </c>
      <c r="C6965" s="2" t="str">
        <f ca="1">IFERROR(__xludf.DUMMYFUNCTION("GOOGLETRANSLATE(A6965,""bn"",""en"")"),"The two can be used together for added protection")</f>
        <v>The two can be used together for added protection</v>
      </c>
    </row>
    <row r="6966" spans="1:3" ht="15.75" customHeight="1" x14ac:dyDescent="0.25">
      <c r="A6966" s="2" t="s">
        <v>6968</v>
      </c>
      <c r="B6966" s="3" t="s">
        <v>4</v>
      </c>
      <c r="C6966" s="2" t="str">
        <f ca="1">IFERROR(__xludf.DUMMYFUNCTION("GOOGLETRANSLATE(A6966,""bn"",""en"")"),"The book influenced me a lot")</f>
        <v>The book influenced me a lot</v>
      </c>
    </row>
    <row r="6967" spans="1:3" ht="15.75" customHeight="1" x14ac:dyDescent="0.25">
      <c r="A6967" s="2" t="s">
        <v>6969</v>
      </c>
      <c r="B6967" s="3" t="s">
        <v>2</v>
      </c>
      <c r="C6967" s="2" t="str">
        <f ca="1">IFERROR(__xludf.DUMMYFUNCTION("GOOGLETRANSLATE(A6967,""bn"",""en"")"),"It can be used daily")</f>
        <v>It can be used daily</v>
      </c>
    </row>
    <row r="6968" spans="1:3" ht="15.75" customHeight="1" x14ac:dyDescent="0.25">
      <c r="A6968" s="2" t="s">
        <v>6970</v>
      </c>
      <c r="B6968" s="3" t="s">
        <v>2</v>
      </c>
      <c r="C6968" s="2" t="str">
        <f ca="1">IFERROR(__xludf.DUMMYFUNCTION("GOOGLETRANSLATE(A6968,""bn"",""en"")"),"The foldable sunshade blocks the sun but blows away in the wind")</f>
        <v>The foldable sunshade blocks the sun but blows away in the wind</v>
      </c>
    </row>
    <row r="6969" spans="1:3" ht="15.75" customHeight="1" x14ac:dyDescent="0.25">
      <c r="A6969" s="2" t="s">
        <v>6971</v>
      </c>
      <c r="B6969" s="3" t="s">
        <v>4</v>
      </c>
      <c r="C6969" s="2" t="str">
        <f ca="1">IFERROR(__xludf.DUMMYFUNCTION("GOOGLETRANSLATE(A6969,""bn"",""en"")"),"The dining table is the perfect size for dining with the whole family")</f>
        <v>The dining table is the perfect size for dining with the whole family</v>
      </c>
    </row>
    <row r="6970" spans="1:3" ht="15.75" customHeight="1" x14ac:dyDescent="0.25">
      <c r="A6970" s="2" t="s">
        <v>6972</v>
      </c>
      <c r="B6970" s="3" t="s">
        <v>6</v>
      </c>
      <c r="C6970" s="2" t="str">
        <f ca="1">IFERROR(__xludf.DUMMYFUNCTION("GOOGLETRANSLATE(A6970,""bn"",""en"")"),"Food is often overcooked or undercooked despite following directions")</f>
        <v>Food is often overcooked or undercooked despite following directions</v>
      </c>
    </row>
    <row r="6971" spans="1:3" ht="15.75" customHeight="1" x14ac:dyDescent="0.25">
      <c r="A6971" s="2" t="s">
        <v>6973</v>
      </c>
      <c r="B6971" s="3" t="s">
        <v>4</v>
      </c>
      <c r="C6971" s="2" t="str">
        <f ca="1">IFERROR(__xludf.DUMMYFUNCTION("GOOGLETRANSLATE(A6971,""bn"",""en"")"),"The sound of car music system is very clear")</f>
        <v>The sound of car music system is very clear</v>
      </c>
    </row>
    <row r="6972" spans="1:3" ht="15.75" customHeight="1" x14ac:dyDescent="0.25">
      <c r="A6972" s="2" t="s">
        <v>6974</v>
      </c>
      <c r="B6972" s="3" t="s">
        <v>6</v>
      </c>
      <c r="C6972" s="2" t="str">
        <f ca="1">IFERROR(__xludf.DUMMYFUNCTION("GOOGLETRANSLATE(A6972,""bn"",""en"")"),"The antifreeze serum couldn't control the frizz and left my hair looking greasy")</f>
        <v>The antifreeze serum couldn't control the frizz and left my hair looking greasy</v>
      </c>
    </row>
    <row r="6973" spans="1:3" ht="15.75" customHeight="1" x14ac:dyDescent="0.25">
      <c r="A6973" s="2" t="s">
        <v>6975</v>
      </c>
      <c r="B6973" s="3" t="s">
        <v>4</v>
      </c>
      <c r="C6973" s="2" t="str">
        <f ca="1">IFERROR(__xludf.DUMMYFUNCTION("GOOGLETRANSLATE(A6973,""bn"",""en"")"),"As I am having fun eating it, its quality is also amazing")</f>
        <v>As I am having fun eating it, its quality is also amazing</v>
      </c>
    </row>
    <row r="6974" spans="1:3" ht="15.75" customHeight="1" x14ac:dyDescent="0.25">
      <c r="A6974" s="2" t="s">
        <v>6976</v>
      </c>
      <c r="B6974" s="3" t="s">
        <v>4</v>
      </c>
      <c r="C6974" s="2" t="str">
        <f ca="1">IFERROR(__xludf.DUMMYFUNCTION("GOOGLETRANSLATE(A6974,""bn"",""en"")"),"This body wash increases the collagen production of the skin")</f>
        <v>This body wash increases the collagen production of the skin</v>
      </c>
    </row>
    <row r="6975" spans="1:3" ht="15.75" customHeight="1" x14ac:dyDescent="0.25">
      <c r="A6975" s="2" t="s">
        <v>6977</v>
      </c>
      <c r="B6975" s="3" t="s">
        <v>4</v>
      </c>
      <c r="C6975" s="2" t="str">
        <f ca="1">IFERROR(__xludf.DUMMYFUNCTION("GOOGLETRANSLATE(A6975,""bn"",""en"")"),"Excellent laptop is highly recommended")</f>
        <v>Excellent laptop is highly recommended</v>
      </c>
    </row>
    <row r="6976" spans="1:3" ht="15.75" customHeight="1" x14ac:dyDescent="0.25">
      <c r="A6976" s="2" t="s">
        <v>6978</v>
      </c>
      <c r="B6976" s="3" t="s">
        <v>6</v>
      </c>
      <c r="C6976" s="2" t="str">
        <f ca="1">IFERROR(__xludf.DUMMYFUNCTION("GOOGLETRANSLATE(A6976,""bn"",""en"")"),"The unattractive design makes it an eyesore in the kitchen")</f>
        <v>The unattractive design makes it an eyesore in the kitchen</v>
      </c>
    </row>
    <row r="6977" spans="1:3" ht="15.75" customHeight="1" x14ac:dyDescent="0.25">
      <c r="A6977" s="2" t="s">
        <v>6979</v>
      </c>
      <c r="B6977" s="3" t="s">
        <v>2</v>
      </c>
      <c r="C6977" s="2" t="str">
        <f ca="1">IFERROR(__xludf.DUMMYFUNCTION("GOOGLETRANSLATE(A6977,""bn"",""en"")"),"Very tasty but the taste is a bit too cold")</f>
        <v>Very tasty but the taste is a bit too cold</v>
      </c>
    </row>
    <row r="6978" spans="1:3" ht="15.75" customHeight="1" x14ac:dyDescent="0.25">
      <c r="A6978" s="2" t="s">
        <v>6980</v>
      </c>
      <c r="B6978" s="3" t="s">
        <v>2</v>
      </c>
      <c r="C6978" s="2" t="str">
        <f ca="1">IFERROR(__xludf.DUMMYFUNCTION("GOOGLETRANSLATE(A6978,""bn"",""en"")"),"Effective in maintaining good dental health but may cause slight discomfort in some cases")</f>
        <v>Effective in maintaining good dental health but may cause slight discomfort in some cases</v>
      </c>
    </row>
    <row r="6979" spans="1:3" ht="15.75" customHeight="1" x14ac:dyDescent="0.25">
      <c r="A6979" s="2" t="s">
        <v>6981</v>
      </c>
      <c r="B6979" s="3" t="s">
        <v>6</v>
      </c>
      <c r="C6979" s="2" t="str">
        <f ca="1">IFERROR(__xludf.DUMMYFUNCTION("GOOGLETRANSLATE(A6979,""bn"",""en"")"),"  The scrub contains harsh exfoliants that cause redness and irritation especially on sensitive skin")</f>
        <v xml:space="preserve">  The scrub contains harsh exfoliants that cause redness and irritation especially on sensitive skin</v>
      </c>
    </row>
    <row r="6980" spans="1:3" ht="15.75" customHeight="1" x14ac:dyDescent="0.25">
      <c r="A6980" s="2" t="s">
        <v>6982</v>
      </c>
      <c r="B6980" s="3" t="s">
        <v>4</v>
      </c>
      <c r="C6980" s="2" t="str">
        <f ca="1">IFERROR(__xludf.DUMMYFUNCTION("GOOGLETRANSLATE(A6980,""bn"",""en"")"),"I feel more beautiful wearing these earrings")</f>
        <v>I feel more beautiful wearing these earrings</v>
      </c>
    </row>
    <row r="6981" spans="1:3" ht="15.75" customHeight="1" x14ac:dyDescent="0.25">
      <c r="A6981" s="2" t="s">
        <v>6983</v>
      </c>
      <c r="B6981" s="3" t="s">
        <v>4</v>
      </c>
      <c r="C6981" s="2" t="str">
        <f ca="1">IFERROR(__xludf.DUMMYFUNCTION("GOOGLETRANSLATE(A6981,""bn"",""en"")"),"The smell is mild and relaxing")</f>
        <v>The smell is mild and relaxing</v>
      </c>
    </row>
    <row r="6982" spans="1:3" ht="15.75" customHeight="1" x14ac:dyDescent="0.25">
      <c r="A6982" s="2" t="s">
        <v>6984</v>
      </c>
      <c r="B6982" s="3" t="s">
        <v>2</v>
      </c>
      <c r="C6982" s="2" t="str">
        <f ca="1">IFERROR(__xludf.DUMMYFUNCTION("GOOGLETRANSLATE(A6982,""bn"",""en"")"),"Yields were OK but the price-quality ratio of fertilizer should improve")</f>
        <v>Yields were OK but the price-quality ratio of fertilizer should improve</v>
      </c>
    </row>
    <row r="6983" spans="1:3" ht="15.75" customHeight="1" x14ac:dyDescent="0.25">
      <c r="A6983" s="2" t="s">
        <v>6985</v>
      </c>
      <c r="B6983" s="3" t="s">
        <v>2</v>
      </c>
      <c r="C6983" s="2" t="str">
        <f ca="1">IFERROR(__xludf.DUMMYFUNCTION("GOOGLETRANSLATE(A6983,""bn"",""en"")"),"The quality matches the price but it is not a premium product")</f>
        <v>The quality matches the price but it is not a premium product</v>
      </c>
    </row>
    <row r="6984" spans="1:3" ht="15.75" customHeight="1" x14ac:dyDescent="0.25">
      <c r="A6984" s="2" t="s">
        <v>6986</v>
      </c>
      <c r="B6984" s="3" t="s">
        <v>6</v>
      </c>
      <c r="C6984" s="2" t="str">
        <f ca="1">IFERROR(__xludf.DUMMYFUNCTION("GOOGLETRANSLATE(A6984,""bn"",""en"")"),"The material of the yoga mat is slippery causing me to lose balance while doing poses")</f>
        <v>The material of the yoga mat is slippery causing me to lose balance while doing poses</v>
      </c>
    </row>
    <row r="6985" spans="1:3" ht="15.75" customHeight="1" x14ac:dyDescent="0.25">
      <c r="A6985" s="2" t="s">
        <v>6987</v>
      </c>
      <c r="B6985" s="3" t="s">
        <v>2</v>
      </c>
      <c r="C6985" s="2" t="str">
        <f ca="1">IFERROR(__xludf.DUMMYFUNCTION("GOOGLETRANSLATE(A6985,""bn"",""en"")"),"Its silicon caps are not replaceable but the sound quality is very good")</f>
        <v>Its silicon caps are not replaceable but the sound quality is very good</v>
      </c>
    </row>
    <row r="6986" spans="1:3" ht="15.75" customHeight="1" x14ac:dyDescent="0.25">
      <c r="A6986" s="2" t="s">
        <v>6988</v>
      </c>
      <c r="B6986" s="3" t="s">
        <v>2</v>
      </c>
      <c r="C6986" s="2" t="str">
        <f ca="1">IFERROR(__xludf.DUMMYFUNCTION("GOOGLETRANSLATE(A6986,""bn"",""en"")"),"The size suits my needs but a bigger one would have been useful")</f>
        <v>The size suits my needs but a bigger one would have been useful</v>
      </c>
    </row>
    <row r="6987" spans="1:3" ht="15.75" customHeight="1" x14ac:dyDescent="0.25">
      <c r="A6987" s="2" t="s">
        <v>6989</v>
      </c>
      <c r="B6987" s="3" t="s">
        <v>2</v>
      </c>
      <c r="C6987" s="2" t="str">
        <f ca="1">IFERROR(__xludf.DUMMYFUNCTION("GOOGLETRANSLATE(A6987,""bn"",""en"")"),"Perfect fit but a bit tight")</f>
        <v>Perfect fit but a bit tight</v>
      </c>
    </row>
    <row r="6988" spans="1:3" ht="15.75" customHeight="1" x14ac:dyDescent="0.25">
      <c r="A6988" s="2" t="s">
        <v>6990</v>
      </c>
      <c r="B6988" s="3" t="s">
        <v>4</v>
      </c>
      <c r="C6988" s="2" t="str">
        <f ca="1">IFERROR(__xludf.DUMMYFUNCTION("GOOGLETRANSLATE(A6988,""bn"",""en"")"),"The sound quality is very good for a low price ")</f>
        <v xml:space="preserve">The sound quality is very good for a low price </v>
      </c>
    </row>
    <row r="6989" spans="1:3" ht="15.75" customHeight="1" x14ac:dyDescent="0.25">
      <c r="A6989" s="2" t="s">
        <v>6991</v>
      </c>
      <c r="B6989" s="3" t="s">
        <v>2</v>
      </c>
      <c r="C6989" s="2" t="str">
        <f ca="1">IFERROR(__xludf.DUMMYFUNCTION("GOOGLETRANSLATE(A6989,""bn"",""en"")"),"The bracelet kit however was missing some pieces")</f>
        <v>The bracelet kit however was missing some pieces</v>
      </c>
    </row>
    <row r="6990" spans="1:3" ht="15.75" customHeight="1" x14ac:dyDescent="0.25">
      <c r="A6990" s="2" t="s">
        <v>6992</v>
      </c>
      <c r="B6990" s="3" t="s">
        <v>2</v>
      </c>
      <c r="C6990" s="2" t="str">
        <f ca="1">IFERROR(__xludf.DUMMYFUNCTION("GOOGLETRANSLATE(A6990,""bn"",""en"")"),"Different emotions are shown but simplified")</f>
        <v>Different emotions are shown but simplified</v>
      </c>
    </row>
    <row r="6991" spans="1:3" ht="15.75" customHeight="1" x14ac:dyDescent="0.25">
      <c r="A6991" s="2" t="s">
        <v>6993</v>
      </c>
      <c r="B6991" s="3" t="s">
        <v>4</v>
      </c>
      <c r="C6991" s="2" t="str">
        <f ca="1">IFERROR(__xludf.DUMMYFUNCTION("GOOGLETRANSLATE(A6991,""bn"",""en"")"),"The stitching of the chadar is very strong and perfect")</f>
        <v>The stitching of the chadar is very strong and perfect</v>
      </c>
    </row>
    <row r="6992" spans="1:3" ht="15.75" customHeight="1" x14ac:dyDescent="0.25">
      <c r="A6992" s="2" t="s">
        <v>6994</v>
      </c>
      <c r="B6992" s="3" t="s">
        <v>6</v>
      </c>
      <c r="C6992" s="2" t="str">
        <f ca="1">IFERROR(__xludf.DUMMYFUNCTION("GOOGLETRANSLATE(A6992,""bn"",""en"")"),"Frequent ironing is necessary to maintain a neat appearance")</f>
        <v>Frequent ironing is necessary to maintain a neat appearance</v>
      </c>
    </row>
    <row r="6993" spans="1:3" ht="15.75" customHeight="1" x14ac:dyDescent="0.25">
      <c r="A6993" s="2" t="s">
        <v>6995</v>
      </c>
      <c r="B6993" s="3" t="s">
        <v>4</v>
      </c>
      <c r="C6993" s="2" t="str">
        <f ca="1">IFERROR(__xludf.DUMMYFUNCTION("GOOGLETRANSLATE(A6993,""bn"",""en"")"),"House guests can also be entertained with it")</f>
        <v>House guests can also be entertained with it</v>
      </c>
    </row>
    <row r="6994" spans="1:3" ht="15.75" customHeight="1" x14ac:dyDescent="0.25">
      <c r="A6994" s="2" t="s">
        <v>6996</v>
      </c>
      <c r="B6994" s="3" t="s">
        <v>4</v>
      </c>
      <c r="C6994" s="2" t="str">
        <f ca="1">IFERROR(__xludf.DUMMYFUNCTION("GOOGLETRANSLATE(A6994,""bn"",""en"")"),"Widely recommended by doctors ")</f>
        <v xml:space="preserve">Widely recommended by doctors </v>
      </c>
    </row>
    <row r="6995" spans="1:3" ht="15.75" customHeight="1" x14ac:dyDescent="0.25">
      <c r="A6995" s="2" t="s">
        <v>6997</v>
      </c>
      <c r="B6995" s="3" t="s">
        <v>4</v>
      </c>
      <c r="C6995" s="2" t="str">
        <f ca="1">IFERROR(__xludf.DUMMYFUNCTION("GOOGLETRANSLATE(A6995,""bn"",""en"")"),"Makeup brushes enhance creativity")</f>
        <v>Makeup brushes enhance creativity</v>
      </c>
    </row>
    <row r="6996" spans="1:3" ht="15.75" customHeight="1" x14ac:dyDescent="0.25">
      <c r="A6996" s="2" t="s">
        <v>6998</v>
      </c>
      <c r="B6996" s="3" t="s">
        <v>2</v>
      </c>
      <c r="C6996" s="2" t="str">
        <f ca="1">IFERROR(__xludf.DUMMYFUNCTION("GOOGLETRANSLATE(A6996,""bn"",""en"")"),"The color is neutral with no special attraction")</f>
        <v>The color is neutral with no special attraction</v>
      </c>
    </row>
    <row r="6997" spans="1:3" ht="15.75" customHeight="1" x14ac:dyDescent="0.25">
      <c r="A6997" s="2" t="s">
        <v>6999</v>
      </c>
      <c r="B6997" s="3" t="s">
        <v>6</v>
      </c>
      <c r="C6997" s="2" t="str">
        <f ca="1">IFERROR(__xludf.DUMMYFUNCTION("GOOGLETRANSLATE(A6997,""bn"",""en"")"),"Disappointed by poor craftsmanship")</f>
        <v>Disappointed by poor craftsmanship</v>
      </c>
    </row>
    <row r="6998" spans="1:3" ht="15.75" customHeight="1" x14ac:dyDescent="0.25">
      <c r="A6998" s="2" t="s">
        <v>7000</v>
      </c>
      <c r="B6998" s="3" t="s">
        <v>2</v>
      </c>
      <c r="C6998" s="2" t="str">
        <f ca="1">IFERROR(__xludf.DUMMYFUNCTION("GOOGLETRANSLATE(A6998,""bn"",""en"")"),"The product has a price that may or may not be considered appropriate by different people")</f>
        <v>The product has a price that may or may not be considered appropriate by different people</v>
      </c>
    </row>
    <row r="6999" spans="1:3" ht="15.75" customHeight="1" x14ac:dyDescent="0.25">
      <c r="A6999" s="2" t="s">
        <v>7001</v>
      </c>
      <c r="B6999" s="3" t="s">
        <v>2</v>
      </c>
      <c r="C6999" s="2" t="str">
        <f ca="1">IFERROR(__xludf.DUMMYFUNCTION("GOOGLETRANSLATE(A6999,""bn"",""en"")"),"Smaller than expected and may not fit all earrings correctly")</f>
        <v>Smaller than expected and may not fit all earrings correctly</v>
      </c>
    </row>
    <row r="7000" spans="1:3" ht="15.75" customHeight="1" x14ac:dyDescent="0.25">
      <c r="A7000" s="2" t="s">
        <v>7002</v>
      </c>
      <c r="B7000" s="3" t="s">
        <v>4</v>
      </c>
      <c r="C7000" s="2" t="str">
        <f ca="1">IFERROR(__xludf.DUMMYFUNCTION("GOOGLETRANSLATE(A7000,""bn"",""en"")"),"Clear bright screen battery life is excellent")</f>
        <v>Clear bright screen battery life is excellent</v>
      </c>
    </row>
    <row r="7001" spans="1:3" ht="15.75" customHeight="1" x14ac:dyDescent="0.25">
      <c r="A7001" s="2" t="s">
        <v>7003</v>
      </c>
      <c r="B7001" s="3" t="s">
        <v>4</v>
      </c>
      <c r="C7001" s="2" t="str">
        <f ca="1">IFERROR(__xludf.DUMMYFUNCTION("GOOGLETRANSLATE(A7001,""bn"",""en"")"),"This collection of rings is made in amazing and modern style")</f>
        <v>This collection of rings is made in amazing and modern style</v>
      </c>
    </row>
    <row r="7002" spans="1:3" ht="15.75" customHeight="1" x14ac:dyDescent="0.25">
      <c r="A7002" s="2" t="s">
        <v>7004</v>
      </c>
      <c r="B7002" s="3" t="s">
        <v>2</v>
      </c>
      <c r="C7002" s="2" t="str">
        <f ca="1">IFERROR(__xludf.DUMMYFUNCTION("GOOGLETRANSLATE(A7002,""bn"",""en"")"),"Love them but not too much")</f>
        <v>Love them but not too much</v>
      </c>
    </row>
    <row r="7003" spans="1:3" ht="15.75" customHeight="1" x14ac:dyDescent="0.25">
      <c r="A7003" s="2" t="s">
        <v>7005</v>
      </c>
      <c r="B7003" s="3" t="s">
        <v>2</v>
      </c>
      <c r="C7003" s="2" t="str">
        <f ca="1">IFERROR(__xludf.DUMMYFUNCTION("GOOGLETRANSLATE(A7003,""bn"",""en"")"),"The nail size looks bigger")</f>
        <v>The nail size looks bigger</v>
      </c>
    </row>
    <row r="7004" spans="1:3" ht="15.75" customHeight="1" x14ac:dyDescent="0.25">
      <c r="A7004" s="2" t="s">
        <v>7006</v>
      </c>
      <c r="B7004" s="3" t="s">
        <v>2</v>
      </c>
      <c r="C7004" s="2" t="str">
        <f ca="1">IFERROR(__xludf.DUMMYFUNCTION("GOOGLETRANSLATE(A7004,""bn"",""en"")"),"The phone holder holds the phone but vibrates in the car")</f>
        <v>The phone holder holds the phone but vibrates in the car</v>
      </c>
    </row>
    <row r="7005" spans="1:3" ht="15.75" customHeight="1" x14ac:dyDescent="0.25">
      <c r="A7005" s="2" t="s">
        <v>7007</v>
      </c>
      <c r="B7005" s="3" t="s">
        <v>6</v>
      </c>
      <c r="C7005" s="2" t="str">
        <f ca="1">IFERROR(__xludf.DUMMYFUNCTION("GOOGLETRANSLATE(A7005,""bn"",""en"")"),"Fall short in quality and longevity")</f>
        <v>Fall short in quality and longevity</v>
      </c>
    </row>
    <row r="7006" spans="1:3" ht="15.75" customHeight="1" x14ac:dyDescent="0.25">
      <c r="A7006" s="2" t="s">
        <v>7008</v>
      </c>
      <c r="B7006" s="3" t="s">
        <v>4</v>
      </c>
      <c r="C7006" s="2" t="str">
        <f ca="1">IFERROR(__xludf.DUMMYFUNCTION("GOOGLETRANSLATE(A7006,""bn"",""en"")"),"This body wash helps reduce skin wrinkles")</f>
        <v>This body wash helps reduce skin wrinkles</v>
      </c>
    </row>
    <row r="7007" spans="1:3" ht="15.75" customHeight="1" x14ac:dyDescent="0.25">
      <c r="A7007" s="2" t="s">
        <v>7009</v>
      </c>
      <c r="B7007" s="3" t="s">
        <v>6</v>
      </c>
      <c r="C7007" s="2" t="str">
        <f ca="1">IFERROR(__xludf.DUMMYFUNCTION("GOOGLETRANSLATE(A7007,""bn"",""en"")"),"SteelSeries Apex Pro TKL keys feel cheap and not worth the hype")</f>
        <v>SteelSeries Apex Pro TKL keys feel cheap and not worth the hype</v>
      </c>
    </row>
    <row r="7008" spans="1:3" ht="15.75" customHeight="1" x14ac:dyDescent="0.25">
      <c r="A7008" s="2" t="s">
        <v>7010</v>
      </c>
      <c r="B7008" s="3" t="s">
        <v>6</v>
      </c>
      <c r="C7008" s="2" t="str">
        <f ca="1">IFERROR(__xludf.DUMMYFUNCTION("GOOGLETRANSLATE(A7008,""bn"",""en"")"),"The hair mask didn't hydrate my hair as promised and left it feeling dry and brittle")</f>
        <v>The hair mask didn't hydrate my hair as promised and left it feeling dry and brittle</v>
      </c>
    </row>
    <row r="7009" spans="1:3" ht="15.75" customHeight="1" x14ac:dyDescent="0.25">
      <c r="A7009" s="2" t="s">
        <v>7011</v>
      </c>
      <c r="B7009" s="3" t="s">
        <v>2</v>
      </c>
      <c r="C7009" s="2" t="str">
        <f ca="1">IFERROR(__xludf.DUMMYFUNCTION("GOOGLETRANSLATE(A7009,""bn"",""en"")"),"The waterproof ereader can be used in water but the screen is glossy")</f>
        <v>The waterproof ereader can be used in water but the screen is glossy</v>
      </c>
    </row>
    <row r="7010" spans="1:3" ht="15.75" customHeight="1" x14ac:dyDescent="0.25">
      <c r="A7010" s="2" t="s">
        <v>7012</v>
      </c>
      <c r="B7010" s="3" t="s">
        <v>4</v>
      </c>
      <c r="C7010" s="2" t="str">
        <f ca="1">IFERROR(__xludf.DUMMYFUNCTION("GOOGLETRANSLATE(A7010,""bn"",""en"")"),"The Talk Works Selfie Stick worked so well that I bought a second one")</f>
        <v>The Talk Works Selfie Stick worked so well that I bought a second one</v>
      </c>
    </row>
    <row r="7011" spans="1:3" ht="15.75" customHeight="1" x14ac:dyDescent="0.25">
      <c r="A7011" s="2" t="s">
        <v>7013</v>
      </c>
      <c r="B7011" s="3" t="s">
        <v>2</v>
      </c>
      <c r="C7011" s="2" t="str">
        <f ca="1">IFERROR(__xludf.DUMMYFUNCTION("GOOGLETRANSLATE(A7011,""bn"",""en"")"),"The price is not high but the quality is good")</f>
        <v>The price is not high but the quality is good</v>
      </c>
    </row>
    <row r="7012" spans="1:3" ht="15.75" customHeight="1" x14ac:dyDescent="0.25">
      <c r="A7012" s="2" t="s">
        <v>7014</v>
      </c>
      <c r="B7012" s="3" t="s">
        <v>2</v>
      </c>
      <c r="C7012" s="2" t="str">
        <f ca="1">IFERROR(__xludf.DUMMYFUNCTION("GOOGLETRANSLATE(A7012,""bn"",""en"")"),"Brush showers are blue and white in color")</f>
        <v>Brush showers are blue and white in color</v>
      </c>
    </row>
    <row r="7013" spans="1:3" ht="15.75" customHeight="1" x14ac:dyDescent="0.25">
      <c r="A7013" s="2" t="s">
        <v>7015</v>
      </c>
      <c r="B7013" s="3" t="s">
        <v>4</v>
      </c>
      <c r="C7013" s="2" t="str">
        <f ca="1">IFERROR(__xludf.DUMMYFUNCTION("GOOGLETRANSLATE(A7013,""bn"",""en"")"),"I like the color as expected")</f>
        <v>I like the color as expected</v>
      </c>
    </row>
    <row r="7014" spans="1:3" ht="15.75" customHeight="1" x14ac:dyDescent="0.25">
      <c r="A7014" s="2" t="s">
        <v>7016</v>
      </c>
      <c r="B7014" s="3" t="s">
        <v>2</v>
      </c>
      <c r="C7014" s="2" t="str">
        <f ca="1">IFERROR(__xludf.DUMMYFUNCTION("GOOGLETRANSLATE(A7014,""bn"",""en"")"),"Overuse may cause skin irritation")</f>
        <v>Overuse may cause skin irritation</v>
      </c>
    </row>
    <row r="7015" spans="1:3" ht="15.75" customHeight="1" x14ac:dyDescent="0.25">
      <c r="A7015" s="2" t="s">
        <v>7017</v>
      </c>
      <c r="B7015" s="3" t="s">
        <v>4</v>
      </c>
      <c r="C7015" s="2" t="str">
        <f ca="1">IFERROR(__xludf.DUMMYFUNCTION("GOOGLETRANSLATE(A7015,""bn"",""en"")"),"Even if it starts raining in the morning while going to office, no worries, I am completely dry as soon as I open the umbrella")</f>
        <v>Even if it starts raining in the morning while going to office, no worries, I am completely dry as soon as I open the umbrella</v>
      </c>
    </row>
    <row r="7016" spans="1:3" ht="15.75" customHeight="1" x14ac:dyDescent="0.25">
      <c r="A7016" s="2" t="s">
        <v>7018</v>
      </c>
      <c r="B7016" s="3" t="s">
        <v>4</v>
      </c>
      <c r="C7016" s="2" t="str">
        <f ca="1">IFERROR(__xludf.DUMMYFUNCTION("GOOGLETRANSLATE(A7016,""bn"",""en"")"),"The design of the shelf is very user friendly")</f>
        <v>The design of the shelf is very user friendly</v>
      </c>
    </row>
    <row r="7017" spans="1:3" ht="15.75" customHeight="1" x14ac:dyDescent="0.25">
      <c r="A7017" s="2" t="s">
        <v>7019</v>
      </c>
      <c r="B7017" s="3" t="s">
        <v>2</v>
      </c>
      <c r="C7017" s="2" t="str">
        <f ca="1">IFERROR(__xludf.DUMMYFUNCTION("GOOGLETRANSLATE(A7017,""bn"",""en"")"),"May be better to read the product description before complaining")</f>
        <v>May be better to read the product description before complaining</v>
      </c>
    </row>
    <row r="7018" spans="1:3" ht="15.75" customHeight="1" x14ac:dyDescent="0.25">
      <c r="A7018" s="2" t="s">
        <v>7020</v>
      </c>
      <c r="B7018" s="3" t="s">
        <v>6</v>
      </c>
      <c r="C7018" s="2" t="str">
        <f ca="1">IFERROR(__xludf.DUMMYFUNCTION("GOOGLETRANSLATE(A7018,""bn"",""en"")"),"  The gel dries out my skin and makes it flaky")</f>
        <v xml:space="preserve">  The gel dries out my skin and makes it flaky</v>
      </c>
    </row>
    <row r="7019" spans="1:3" ht="15.75" customHeight="1" x14ac:dyDescent="0.25">
      <c r="A7019" s="2" t="s">
        <v>7021</v>
      </c>
      <c r="B7019" s="3" t="s">
        <v>2</v>
      </c>
      <c r="C7019" s="2" t="str">
        <f ca="1">IFERROR(__xludf.DUMMYFUNCTION("GOOGLETRANSLATE(A7019,""bn"",""en"")"),"The yarn length of the bag is average")</f>
        <v>The yarn length of the bag is average</v>
      </c>
    </row>
    <row r="7020" spans="1:3" ht="15.75" customHeight="1" x14ac:dyDescent="0.25">
      <c r="A7020" s="2" t="s">
        <v>7022</v>
      </c>
      <c r="B7020" s="3" t="s">
        <v>2</v>
      </c>
      <c r="C7020" s="2" t="str">
        <f ca="1">IFERROR(__xludf.DUMMYFUNCTION("GOOGLETRANSLATE(A7020,""bn"",""en"")"),"Crop yields have increased slightly but not as much as before")</f>
        <v>Crop yields have increased slightly but not as much as before</v>
      </c>
    </row>
    <row r="7021" spans="1:3" ht="15.75" customHeight="1" x14ac:dyDescent="0.25">
      <c r="A7021" s="2" t="s">
        <v>7023</v>
      </c>
      <c r="B7021" s="3" t="s">
        <v>6</v>
      </c>
      <c r="C7021" s="2" t="str">
        <f ca="1">IFERROR(__xludf.DUMMYFUNCTION("GOOGLETRANSLATE(A7021,""bn"",""en"")"),"Warm water resulting from uneven heating")</f>
        <v>Warm water resulting from uneven heating</v>
      </c>
    </row>
    <row r="7022" spans="1:3" ht="15.75" customHeight="1" x14ac:dyDescent="0.25">
      <c r="A7022" s="2" t="s">
        <v>7024</v>
      </c>
      <c r="B7022" s="3" t="s">
        <v>6</v>
      </c>
      <c r="C7022" s="2" t="str">
        <f ca="1">IFERROR(__xludf.DUMMYFUNCTION("GOOGLETRANSLATE(A7022,""bn"",""en"")"),"Confusing packaging came without protection")</f>
        <v>Confusing packaging came without protection</v>
      </c>
    </row>
    <row r="7023" spans="1:3" ht="15.75" customHeight="1" x14ac:dyDescent="0.25">
      <c r="A7023" s="2" t="s">
        <v>7025</v>
      </c>
      <c r="B7023" s="3" t="s">
        <v>2</v>
      </c>
      <c r="C7023" s="2" t="str">
        <f ca="1">IFERROR(__xludf.DUMMYFUNCTION("GOOGLETRANSLATE(A7023,""bn"",""en"")"),"Noise is reduced when working with the mop")</f>
        <v>Noise is reduced when working with the mop</v>
      </c>
    </row>
    <row r="7024" spans="1:3" ht="15.75" customHeight="1" x14ac:dyDescent="0.25">
      <c r="A7024" s="2" t="s">
        <v>7026</v>
      </c>
      <c r="B7024" s="3" t="s">
        <v>6</v>
      </c>
      <c r="C7024" s="2" t="str">
        <f ca="1">IFERROR(__xludf.DUMMYFUNCTION("GOOGLETRANSLATE(A7024,""bn"",""en"")"),"The item's portability is compromised by its bulky design")</f>
        <v>The item's portability is compromised by its bulky design</v>
      </c>
    </row>
    <row r="7025" spans="1:3" ht="15.75" customHeight="1" x14ac:dyDescent="0.25">
      <c r="A7025" s="2" t="s">
        <v>7027</v>
      </c>
      <c r="B7025" s="3" t="s">
        <v>6</v>
      </c>
      <c r="C7025" s="2" t="str">
        <f ca="1">IFERROR(__xludf.DUMMYFUNCTION("GOOGLETRANSLATE(A7025,""bn"",""en"")"),"Product performance was inconsistent across units")</f>
        <v>Product performance was inconsistent across units</v>
      </c>
    </row>
    <row r="7026" spans="1:3" ht="15.75" customHeight="1" x14ac:dyDescent="0.25">
      <c r="A7026" s="2" t="s">
        <v>7028</v>
      </c>
      <c r="B7026" s="3" t="s">
        <v>2</v>
      </c>
      <c r="C7026" s="2" t="str">
        <f ca="1">IFERROR(__xludf.DUMMYFUNCTION("GOOGLETRANSLATE(A7026,""bn"",""en"")"),"After a good start, some problems arose")</f>
        <v>After a good start, some problems arose</v>
      </c>
    </row>
    <row r="7027" spans="1:3" ht="15.75" customHeight="1" x14ac:dyDescent="0.25">
      <c r="A7027" s="2" t="s">
        <v>7029</v>
      </c>
      <c r="B7027" s="3" t="s">
        <v>6</v>
      </c>
      <c r="C7027" s="2" t="str">
        <f ca="1">IFERROR(__xludf.DUMMYFUNCTION("GOOGLETRANSLATE(A7027,""bn"",""en"")"),"The frozen seafood had a fishy odor and rubbery texture indicating poor quality")</f>
        <v>The frozen seafood had a fishy odor and rubbery texture indicating poor quality</v>
      </c>
    </row>
    <row r="7028" spans="1:3" ht="15.75" customHeight="1" x14ac:dyDescent="0.25">
      <c r="A7028" s="2" t="s">
        <v>7030</v>
      </c>
      <c r="B7028" s="3" t="s">
        <v>6</v>
      </c>
      <c r="C7028" s="2" t="str">
        <f ca="1">IFERROR(__xludf.DUMMYFUNCTION("GOOGLETRANSLATE(A7028,""bn"",""en"")"),"The baby sound machine's volume control is erratic resulting in sudden loud noises")</f>
        <v>The baby sound machine's volume control is erratic resulting in sudden loud noises</v>
      </c>
    </row>
    <row r="7029" spans="1:3" ht="15.75" customHeight="1" x14ac:dyDescent="0.25">
      <c r="A7029" s="2" t="s">
        <v>7031</v>
      </c>
      <c r="B7029" s="3" t="s">
        <v>4</v>
      </c>
      <c r="C7029" s="2" t="str">
        <f ca="1">IFERROR(__xludf.DUMMYFUNCTION("GOOGLETRANSLATE(A7029,""bn"",""en"")"),"This glass is very beautiful to look at and durable to use")</f>
        <v>This glass is very beautiful to look at and durable to use</v>
      </c>
    </row>
    <row r="7030" spans="1:3" ht="15.75" customHeight="1" x14ac:dyDescent="0.25">
      <c r="A7030" s="2" t="s">
        <v>7032</v>
      </c>
      <c r="B7030" s="3" t="s">
        <v>4</v>
      </c>
      <c r="C7030" s="2" t="str">
        <f ca="1">IFERROR(__xludf.DUMMYFUNCTION("GOOGLETRANSLATE(A7030,""bn"",""en"")"),"This is my new favorite biscuit")</f>
        <v>This is my new favorite biscuit</v>
      </c>
    </row>
    <row r="7031" spans="1:3" ht="15.75" customHeight="1" x14ac:dyDescent="0.25">
      <c r="A7031" s="2" t="s">
        <v>7033</v>
      </c>
      <c r="B7031" s="3" t="s">
        <v>6</v>
      </c>
      <c r="C7031" s="2" t="str">
        <f ca="1">IFERROR(__xludf.DUMMYFUNCTION("GOOGLETRANSLATE(A7031,""bn"",""en"")"),"Just doesn't meet my needs")</f>
        <v>Just doesn't meet my needs</v>
      </c>
    </row>
    <row r="7032" spans="1:3" ht="15.75" customHeight="1" x14ac:dyDescent="0.25">
      <c r="A7032" s="2" t="s">
        <v>7034</v>
      </c>
      <c r="B7032" s="3" t="s">
        <v>2</v>
      </c>
      <c r="C7032" s="2" t="str">
        <f ca="1">IFERROR(__xludf.DUMMYFUNCTION("GOOGLETRANSLATE(A7032,""bn"",""en"")"),"Packaging is in normal cardboard box")</f>
        <v>Packaging is in normal cardboard box</v>
      </c>
    </row>
    <row r="7033" spans="1:3" ht="15.75" customHeight="1" x14ac:dyDescent="0.25">
      <c r="A7033" s="2" t="s">
        <v>7035</v>
      </c>
      <c r="B7033" s="3" t="s">
        <v>6</v>
      </c>
      <c r="C7033" s="2" t="str">
        <f ca="1">IFERROR(__xludf.DUMMYFUNCTION("GOOGLETRANSLATE(A7033,""bn"",""en"")"),"Bicycle gears frequently slip making it difficult to maintain speed")</f>
        <v>Bicycle gears frequently slip making it difficult to maintain speed</v>
      </c>
    </row>
    <row r="7034" spans="1:3" ht="15.75" customHeight="1" x14ac:dyDescent="0.25">
      <c r="A7034" s="2" t="s">
        <v>7036</v>
      </c>
      <c r="B7034" s="3" t="s">
        <v>4</v>
      </c>
      <c r="C7034" s="2" t="str">
        <f ca="1">IFERROR(__xludf.DUMMYFUNCTION("GOOGLETRANSLATE(A7034,""bn"",""en"")"),"This body wash is suitable for all skin types")</f>
        <v>This body wash is suitable for all skin types</v>
      </c>
    </row>
    <row r="7035" spans="1:3" ht="15.75" customHeight="1" x14ac:dyDescent="0.25">
      <c r="A7035" s="2" t="s">
        <v>7037</v>
      </c>
      <c r="B7035" s="3" t="s">
        <v>4</v>
      </c>
      <c r="C7035" s="2" t="str">
        <f ca="1">IFERROR(__xludf.DUMMYFUNCTION("GOOGLETRANSLATE(A7035,""bn"",""en"")"),"The beauty soap brings back the natural glow of the skin")</f>
        <v>The beauty soap brings back the natural glow of the skin</v>
      </c>
    </row>
    <row r="7036" spans="1:3" ht="15.75" customHeight="1" x14ac:dyDescent="0.25">
      <c r="A7036" s="2" t="s">
        <v>7038</v>
      </c>
      <c r="B7036" s="3" t="s">
        <v>6</v>
      </c>
      <c r="C7036" s="2" t="str">
        <f ca="1">IFERROR(__xludf.DUMMYFUNCTION("GOOGLETRANSLATE(A7036,""bn"",""en"")"),"There is uncertainty as to what kind of things are given by sitting on the wall")</f>
        <v>There is uncertainty as to what kind of things are given by sitting on the wall</v>
      </c>
    </row>
    <row r="7037" spans="1:3" ht="15.75" customHeight="1" x14ac:dyDescent="0.25">
      <c r="A7037" s="2" t="s">
        <v>7039</v>
      </c>
      <c r="B7037" s="3" t="s">
        <v>4</v>
      </c>
      <c r="C7037" s="2" t="str">
        <f ca="1">IFERROR(__xludf.DUMMYFUNCTION("GOOGLETRANSLATE(A7037,""bn"",""en"")"),"I am very pleased with this comforter")</f>
        <v>I am very pleased with this comforter</v>
      </c>
    </row>
    <row r="7038" spans="1:3" ht="15.75" customHeight="1" x14ac:dyDescent="0.25">
      <c r="A7038" s="2" t="s">
        <v>7040</v>
      </c>
      <c r="B7038" s="3" t="s">
        <v>6</v>
      </c>
      <c r="C7038" s="2" t="str">
        <f ca="1">IFERROR(__xludf.DUMMYFUNCTION("GOOGLETRANSLATE(A7038,""bn"",""en"")"),"The power bank capacity indicator is not accurate showing full charge when the battery is only partially charged")</f>
        <v>The power bank capacity indicator is not accurate showing full charge when the battery is only partially charged</v>
      </c>
    </row>
    <row r="7039" spans="1:3" ht="15.75" customHeight="1" x14ac:dyDescent="0.25">
      <c r="A7039" s="2" t="s">
        <v>7041</v>
      </c>
      <c r="B7039" s="3" t="s">
        <v>2</v>
      </c>
      <c r="C7039" s="2" t="str">
        <f ca="1">IFERROR(__xludf.DUMMYFUNCTION("GOOGLETRANSLATE(A7039,""bn"",""en"")"),"Friends noticed but did not react particularly")</f>
        <v>Friends noticed but did not react particularly</v>
      </c>
    </row>
    <row r="7040" spans="1:3" ht="15.75" customHeight="1" x14ac:dyDescent="0.25">
      <c r="A7040" s="2" t="s">
        <v>7042</v>
      </c>
      <c r="B7040" s="3" t="s">
        <v>6</v>
      </c>
      <c r="C7040" s="2" t="str">
        <f ca="1">IFERROR(__xludf.DUMMYFUNCTION("GOOGLETRANSLATE(A7040,""bn"",""en"")"),"The speaker produces distorted sound at high volumes and lacks clarity and depth")</f>
        <v>The speaker produces distorted sound at high volumes and lacks clarity and depth</v>
      </c>
    </row>
    <row r="7041" spans="1:3" ht="15.75" customHeight="1" x14ac:dyDescent="0.25">
      <c r="A7041" s="2" t="s">
        <v>7043</v>
      </c>
      <c r="B7041" s="3" t="s">
        <v>6</v>
      </c>
      <c r="C7041" s="2" t="str">
        <f ca="1">IFERROR(__xludf.DUMMYFUNCTION("GOOGLETRANSLATE(A7041,""bn"",""en"")"),"Burns and stings after applying acne spot treatments cause more harm than good")</f>
        <v>Burns and stings after applying acne spot treatments cause more harm than good</v>
      </c>
    </row>
    <row r="7042" spans="1:3" ht="15.75" customHeight="1" x14ac:dyDescent="0.25">
      <c r="A7042" s="2" t="s">
        <v>7044</v>
      </c>
      <c r="B7042" s="3" t="s">
        <v>4</v>
      </c>
      <c r="C7042" s="2" t="str">
        <f ca="1">IFERROR(__xludf.DUMMYFUNCTION("GOOGLETRANSLATE(A7042,""bn"",""en"")"),"Exactly what I wanted")</f>
        <v>Exactly what I wanted</v>
      </c>
    </row>
    <row r="7043" spans="1:3" ht="15.75" customHeight="1" x14ac:dyDescent="0.25">
      <c r="A7043" s="2" t="s">
        <v>7045</v>
      </c>
      <c r="B7043" s="3" t="s">
        <v>2</v>
      </c>
      <c r="C7043" s="2" t="str">
        <f ca="1">IFERROR(__xludf.DUMMYFUNCTION("GOOGLETRANSLATE(A7043,""bn"",""en"")"),"Perfect size beads with some irregular shapes")</f>
        <v>Perfect size beads with some irregular shapes</v>
      </c>
    </row>
    <row r="7044" spans="1:3" ht="15.75" customHeight="1" x14ac:dyDescent="0.25">
      <c r="A7044" s="2" t="s">
        <v>7046</v>
      </c>
      <c r="B7044" s="3" t="s">
        <v>4</v>
      </c>
      <c r="C7044" s="2" t="str">
        <f ca="1">IFERROR(__xludf.DUMMYFUNCTION("GOOGLETRANSLATE(A7044,""bn"",""en"")"),"Delivery was quick and very nice")</f>
        <v>Delivery was quick and very nice</v>
      </c>
    </row>
    <row r="7045" spans="1:3" ht="15.75" customHeight="1" x14ac:dyDescent="0.25">
      <c r="A7045" s="2" t="s">
        <v>7047</v>
      </c>
      <c r="B7045" s="3" t="s">
        <v>4</v>
      </c>
      <c r="C7045" s="2" t="str">
        <f ca="1">IFERROR(__xludf.DUMMYFUNCTION("GOOGLETRANSLATE(A7045,""bn"",""en"")"),"The quality of the bracelet is very good and stylish")</f>
        <v>The quality of the bracelet is very good and stylish</v>
      </c>
    </row>
    <row r="7046" spans="1:3" ht="15.75" customHeight="1" x14ac:dyDescent="0.25">
      <c r="A7046" s="2" t="s">
        <v>7048</v>
      </c>
      <c r="B7046" s="3" t="s">
        <v>4</v>
      </c>
      <c r="C7046" s="2" t="str">
        <f ca="1">IFERROR(__xludf.DUMMYFUNCTION("GOOGLETRANSLATE(A7046,""bn"",""en"")"),"Easy to match with other home decor")</f>
        <v>Easy to match with other home decor</v>
      </c>
    </row>
    <row r="7047" spans="1:3" ht="15.75" customHeight="1" x14ac:dyDescent="0.25">
      <c r="A7047" s="2" t="s">
        <v>7049</v>
      </c>
      <c r="B7047" s="3" t="s">
        <v>2</v>
      </c>
      <c r="C7047" s="2" t="str">
        <f ca="1">IFERROR(__xludf.DUMMYFUNCTION("GOOGLETRANSLATE(A7047,""bn"",""en"")"),"Portable projectors show images but the resolution is low")</f>
        <v>Portable projectors show images but the resolution is low</v>
      </c>
    </row>
    <row r="7048" spans="1:3" ht="15.75" customHeight="1" x14ac:dyDescent="0.25">
      <c r="A7048" s="2" t="s">
        <v>7050</v>
      </c>
      <c r="B7048" s="3" t="s">
        <v>4</v>
      </c>
      <c r="C7048" s="2" t="str">
        <f ca="1">IFERROR(__xludf.DUMMYFUNCTION("GOOGLETRANSLATE(A7048,""bn"",""en"")"),"The battery lasts all day no matter how you run the phone")</f>
        <v>The battery lasts all day no matter how you run the phone</v>
      </c>
    </row>
    <row r="7049" spans="1:3" ht="15.75" customHeight="1" x14ac:dyDescent="0.25">
      <c r="A7049" s="2" t="s">
        <v>7051</v>
      </c>
      <c r="B7049" s="3" t="s">
        <v>6</v>
      </c>
      <c r="C7049" s="2" t="str">
        <f ca="1">IFERROR(__xludf.DUMMYFUNCTION("GOOGLETRANSLATE(A7049,""bn"",""en"")"),"The poor quality of the fabric manifests itself as weak and lacking in great ability")</f>
        <v>The poor quality of the fabric manifests itself as weak and lacking in great ability</v>
      </c>
    </row>
    <row r="7050" spans="1:3" ht="15.75" customHeight="1" x14ac:dyDescent="0.25">
      <c r="A7050" s="2" t="s">
        <v>7052</v>
      </c>
      <c r="B7050" s="3" t="s">
        <v>6</v>
      </c>
      <c r="C7050" s="2" t="str">
        <f ca="1">IFERROR(__xludf.DUMMYFUNCTION("GOOGLETRANSLATE(A7050,""bn"",""en"")"),"Got one with a weird smell that was extremely offputting")</f>
        <v>Got one with a weird smell that was extremely offputting</v>
      </c>
    </row>
    <row r="7051" spans="1:3" ht="15.75" customHeight="1" x14ac:dyDescent="0.25">
      <c r="A7051" s="2" t="s">
        <v>7053</v>
      </c>
      <c r="B7051" s="3" t="s">
        <v>2</v>
      </c>
      <c r="C7051" s="2" t="str">
        <f ca="1">IFERROR(__xludf.DUMMYFUNCTION("GOOGLETRANSLATE(A7051,""bn"",""en"")"),"Has luxury touches but is not overly expensive")</f>
        <v>Has luxury touches but is not overly expensive</v>
      </c>
    </row>
    <row r="7052" spans="1:3" ht="15.75" customHeight="1" x14ac:dyDescent="0.25">
      <c r="A7052" s="2" t="s">
        <v>7054</v>
      </c>
      <c r="B7052" s="3" t="s">
        <v>4</v>
      </c>
      <c r="C7052" s="2" t="str">
        <f ca="1">IFERROR(__xludf.DUMMYFUNCTION("GOOGLETRANSLATE(A7052,""bn"",""en"")"),"It ensures evenness of makeup")</f>
        <v>It ensures evenness of makeup</v>
      </c>
    </row>
    <row r="7053" spans="1:3" ht="15.75" customHeight="1" x14ac:dyDescent="0.25">
      <c r="A7053" s="2" t="s">
        <v>7055</v>
      </c>
      <c r="B7053" s="3" t="s">
        <v>4</v>
      </c>
      <c r="C7053" s="2" t="str">
        <f ca="1">IFERROR(__xludf.DUMMYFUNCTION("GOOGLETRANSLATE(A7053,""bn"",""en"")"),"The girl has excelled in her exams")</f>
        <v>The girl has excelled in her exams</v>
      </c>
    </row>
    <row r="7054" spans="1:3" ht="15.75" customHeight="1" x14ac:dyDescent="0.25">
      <c r="A7054" s="2" t="s">
        <v>7056</v>
      </c>
      <c r="B7054" s="3" t="s">
        <v>6</v>
      </c>
      <c r="C7054" s="2" t="str">
        <f ca="1">IFERROR(__xludf.DUMMYFUNCTION("GOOGLETRANSLATE(A7054,""bn"",""en"")"),"not great")</f>
        <v>not great</v>
      </c>
    </row>
    <row r="7055" spans="1:3" ht="15.75" customHeight="1" x14ac:dyDescent="0.25">
      <c r="A7055" s="2" t="s">
        <v>7057</v>
      </c>
      <c r="B7055" s="3" t="s">
        <v>6</v>
      </c>
      <c r="C7055" s="2" t="str">
        <f ca="1">IFERROR(__xludf.DUMMYFUNCTION("GOOGLETRANSLATE(A7055,""bn"",""en"")"),"The packaging was misleading exaggerating the product features")</f>
        <v>The packaging was misleading exaggerating the product features</v>
      </c>
    </row>
    <row r="7056" spans="1:3" ht="15.75" customHeight="1" x14ac:dyDescent="0.25">
      <c r="A7056" s="2" t="s">
        <v>7058</v>
      </c>
      <c r="B7056" s="3" t="s">
        <v>6</v>
      </c>
      <c r="C7056" s="2" t="str">
        <f ca="1">IFERROR(__xludf.DUMMYFUNCTION("GOOGLETRANSLATE(A7056,""bn"",""en"")"),"The appearance of the item was different from the picture confusing the buyers")</f>
        <v>The appearance of the item was different from the picture confusing the buyers</v>
      </c>
    </row>
    <row r="7057" spans="1:3" ht="15.75" customHeight="1" x14ac:dyDescent="0.25">
      <c r="A7057" s="2" t="s">
        <v>7059</v>
      </c>
      <c r="B7057" s="3" t="s">
        <v>2</v>
      </c>
      <c r="C7057" s="2" t="str">
        <f ca="1">IFERROR(__xludf.DUMMYFUNCTION("GOOGLETRANSLATE(A7057,""bn"",""en"")"),"The author's language is fluent but the story lacks innovation")</f>
        <v>The author's language is fluent but the story lacks innovation</v>
      </c>
    </row>
    <row r="7058" spans="1:3" ht="15.75" customHeight="1" x14ac:dyDescent="0.25">
      <c r="A7058" s="2" t="s">
        <v>7060</v>
      </c>
      <c r="B7058" s="3" t="s">
        <v>6</v>
      </c>
      <c r="C7058" s="2" t="str">
        <f ca="1">IFERROR(__xludf.DUMMYFUNCTION("GOOGLETRANSLATE(A7058,""bn"",""en"")"),"The canvas material had a strong smell of chemicals")</f>
        <v>The canvas material had a strong smell of chemicals</v>
      </c>
    </row>
    <row r="7059" spans="1:3" ht="15.75" customHeight="1" x14ac:dyDescent="0.25">
      <c r="A7059" s="2" t="s">
        <v>7061</v>
      </c>
      <c r="B7059" s="3" t="s">
        <v>2</v>
      </c>
      <c r="C7059" s="2" t="str">
        <f ca="1">IFERROR(__xludf.DUMMYFUNCTION("GOOGLETRANSLATE(A7059,""bn"",""en"")"),"Usable but I was hoping for more")</f>
        <v>Usable but I was hoping for more</v>
      </c>
    </row>
    <row r="7060" spans="1:3" ht="15.75" customHeight="1" x14ac:dyDescent="0.25">
      <c r="A7060" s="2" t="s">
        <v>7062</v>
      </c>
      <c r="B7060" s="3" t="s">
        <v>4</v>
      </c>
      <c r="C7060" s="2" t="str">
        <f ca="1">IFERROR(__xludf.DUMMYFUNCTION("GOOGLETRANSLATE(A7060,""bn"",""en"")"),"Cleans the toothbrush head smoothly")</f>
        <v>Cleans the toothbrush head smoothly</v>
      </c>
    </row>
    <row r="7061" spans="1:3" ht="15.75" customHeight="1" x14ac:dyDescent="0.25">
      <c r="A7061" s="2" t="s">
        <v>7063</v>
      </c>
      <c r="B7061" s="3" t="s">
        <v>4</v>
      </c>
      <c r="C7061" s="2" t="str">
        <f ca="1">IFERROR(__xludf.DUMMYFUNCTION("GOOGLETRANSLATE(A7061,""bn"",""en"")"),"The design of the indoor unit is very slim and it fits nicely on the wall of my room")</f>
        <v>The design of the indoor unit is very slim and it fits nicely on the wall of my room</v>
      </c>
    </row>
    <row r="7062" spans="1:3" ht="15.75" customHeight="1" x14ac:dyDescent="0.25">
      <c r="A7062" s="2" t="s">
        <v>7064</v>
      </c>
      <c r="B7062" s="3" t="s">
        <v>2</v>
      </c>
      <c r="C7062" s="2" t="str">
        <f ca="1">IFERROR(__xludf.DUMMYFUNCTION("GOOGLETRANSLATE(A7062,""bn"",""en"")"),"The price is okay but nothing extraordinary")</f>
        <v>The price is okay but nothing extraordinary</v>
      </c>
    </row>
    <row r="7063" spans="1:3" ht="15.75" customHeight="1" x14ac:dyDescent="0.25">
      <c r="A7063" s="2" t="s">
        <v>7065</v>
      </c>
      <c r="B7063" s="3" t="s">
        <v>6</v>
      </c>
      <c r="C7063" s="2" t="str">
        <f ca="1">IFERROR(__xludf.DUMMYFUNCTION("GOOGLETRANSLATE(A7063,""bn"",""en"")"),"Dealing with constant crashes and freezes is frustrating")</f>
        <v>Dealing with constant crashes and freezes is frustrating</v>
      </c>
    </row>
    <row r="7064" spans="1:3" ht="15.75" customHeight="1" x14ac:dyDescent="0.25">
      <c r="A7064" s="2" t="s">
        <v>7066</v>
      </c>
      <c r="B7064" s="3" t="s">
        <v>2</v>
      </c>
      <c r="C7064" s="2" t="str">
        <f ca="1">IFERROR(__xludf.DUMMYFUNCTION("GOOGLETRANSLATE(A7064,""bn"",""en"")"),"The price of the toothpaste is moderate")</f>
        <v>The price of the toothpaste is moderate</v>
      </c>
    </row>
    <row r="7065" spans="1:3" ht="15.75" customHeight="1" x14ac:dyDescent="0.25">
      <c r="A7065" s="2" t="s">
        <v>7067</v>
      </c>
      <c r="B7065" s="3" t="s">
        <v>4</v>
      </c>
      <c r="C7065" s="2" t="str">
        <f ca="1">IFERROR(__xludf.DUMMYFUNCTION("GOOGLETRANSLATE(A7065,""bn"",""en"")"),"The shoe cleaning brush is very useful")</f>
        <v>The shoe cleaning brush is very useful</v>
      </c>
    </row>
    <row r="7066" spans="1:3" ht="15.75" customHeight="1" x14ac:dyDescent="0.25">
      <c r="A7066" s="2" t="s">
        <v>7068</v>
      </c>
      <c r="B7066" s="3" t="s">
        <v>4</v>
      </c>
      <c r="C7066" s="2" t="str">
        <f ca="1">IFERROR(__xludf.DUMMYFUNCTION("GOOGLETRANSLATE(A7066,""bn"",""en"")"),"Range of operation is good")</f>
        <v>Range of operation is good</v>
      </c>
    </row>
    <row r="7067" spans="1:3" ht="15.75" customHeight="1" x14ac:dyDescent="0.25">
      <c r="A7067" s="2" t="s">
        <v>7069</v>
      </c>
      <c r="B7067" s="3" t="s">
        <v>6</v>
      </c>
      <c r="C7067" s="2" t="str">
        <f ca="1">IFERROR(__xludf.DUMMYFUNCTION("GOOGLETRANSLATE(A7067,""bn"",""en"")"),"Sad purchase unstable construction")</f>
        <v>Sad purchase unstable construction</v>
      </c>
    </row>
    <row r="7068" spans="1:3" ht="15.75" customHeight="1" x14ac:dyDescent="0.25">
      <c r="A7068" s="2" t="s">
        <v>7070</v>
      </c>
      <c r="B7068" s="3" t="s">
        <v>6</v>
      </c>
      <c r="C7068" s="2" t="str">
        <f ca="1">IFERROR(__xludf.DUMMYFUNCTION("GOOGLETRANSLATE(A7068,""bn"",""en"")"),"Disappointing gift damaged by dirt")</f>
        <v>Disappointing gift damaged by dirt</v>
      </c>
    </row>
    <row r="7069" spans="1:3" ht="15.75" customHeight="1" x14ac:dyDescent="0.25">
      <c r="A7069" s="2" t="s">
        <v>7071</v>
      </c>
      <c r="B7069" s="3" t="s">
        <v>2</v>
      </c>
      <c r="C7069" s="2" t="str">
        <f ca="1">IFERROR(__xludf.DUMMYFUNCTION("GOOGLETRANSLATE(A7069,""bn"",""en"")"),"After warming up, the noise decreases")</f>
        <v>After warming up, the noise decreases</v>
      </c>
    </row>
    <row r="7070" spans="1:3" ht="15.75" customHeight="1" x14ac:dyDescent="0.25">
      <c r="A7070" s="2" t="s">
        <v>7072</v>
      </c>
      <c r="B7070" s="3" t="s">
        <v>2</v>
      </c>
      <c r="C7070" s="2" t="str">
        <f ca="1">IFERROR(__xludf.DUMMYFUNCTION("GOOGLETRANSLATE(A7070,""bn"",""en"")"),"Two layers are to be applied")</f>
        <v>Two layers are to be applied</v>
      </c>
    </row>
    <row r="7071" spans="1:3" ht="15.75" customHeight="1" x14ac:dyDescent="0.25">
      <c r="A7071" s="2" t="s">
        <v>7073</v>
      </c>
      <c r="B7071" s="3" t="s">
        <v>6</v>
      </c>
      <c r="C7071" s="2" t="str">
        <f ca="1">IFERROR(__xludf.DUMMYFUNCTION("GOOGLETRANSLATE(A7071,""bn"",""en"")"),"The finish of the item was rough and uneven")</f>
        <v>The finish of the item was rough and uneven</v>
      </c>
    </row>
    <row r="7072" spans="1:3" ht="15.75" customHeight="1" x14ac:dyDescent="0.25">
      <c r="A7072" s="2" t="s">
        <v>7074</v>
      </c>
      <c r="B7072" s="3" t="s">
        <v>4</v>
      </c>
      <c r="C7072" s="2" t="str">
        <f ca="1">IFERROR(__xludf.DUMMYFUNCTION("GOOGLETRANSLATE(A7072,""bn"",""en"")"),"Rubber seals around bookcase doors prevent dust from entering")</f>
        <v>Rubber seals around bookcase doors prevent dust from entering</v>
      </c>
    </row>
    <row r="7073" spans="1:3" ht="15.75" customHeight="1" x14ac:dyDescent="0.25">
      <c r="A7073" s="2" t="s">
        <v>7075</v>
      </c>
      <c r="B7073" s="3" t="s">
        <v>6</v>
      </c>
      <c r="C7073" s="2" t="str">
        <f ca="1">IFERROR(__xludf.DUMMYFUNCTION("GOOGLETRANSLATE(A7073,""bn"",""en"")"),"The screen had dead pixels that produced noticeable black spots during playback")</f>
        <v>The screen had dead pixels that produced noticeable black spots during playback</v>
      </c>
    </row>
    <row r="7074" spans="1:3" ht="15.75" customHeight="1" x14ac:dyDescent="0.25">
      <c r="A7074" s="2" t="s">
        <v>7076</v>
      </c>
      <c r="B7074" s="3" t="s">
        <v>6</v>
      </c>
      <c r="C7074" s="2" t="str">
        <f ca="1">IFERROR(__xludf.DUMMYFUNCTION("GOOGLETRANSLATE(A7074,""bn"",""en"")"),"Smart Mirror's touchscreen is not responsive Cannot access features")</f>
        <v>Smart Mirror's touchscreen is not responsive Cannot access features</v>
      </c>
    </row>
    <row r="7075" spans="1:3" ht="15.75" customHeight="1" x14ac:dyDescent="0.25">
      <c r="A7075" s="2" t="s">
        <v>7077</v>
      </c>
      <c r="B7075" s="3" t="s">
        <v>2</v>
      </c>
      <c r="C7075" s="2" t="str">
        <f ca="1">IFERROR(__xludf.DUMMYFUNCTION("GOOGLETRANSLATE(A7075,""bn"",""en"")"),"The price of the torch light seems a bit high")</f>
        <v>The price of the torch light seems a bit high</v>
      </c>
    </row>
    <row r="7076" spans="1:3" ht="15.75" customHeight="1" x14ac:dyDescent="0.25">
      <c r="A7076" s="2" t="s">
        <v>7078</v>
      </c>
      <c r="B7076" s="3" t="s">
        <v>2</v>
      </c>
      <c r="C7076" s="2" t="str">
        <f ca="1">IFERROR(__xludf.DUMMYFUNCTION("GOOGLETRANSLATE(A7076,""bn"",""en"")"),"It's not working properly but is working somewhat")</f>
        <v>It's not working properly but is working somewhat</v>
      </c>
    </row>
    <row r="7077" spans="1:3" ht="15.75" customHeight="1" x14ac:dyDescent="0.25">
      <c r="A7077" s="2" t="s">
        <v>7079</v>
      </c>
      <c r="B7077" s="3" t="s">
        <v>2</v>
      </c>
      <c r="C7077" s="2" t="str">
        <f ca="1">IFERROR(__xludf.DUMMYFUNCTION("GOOGLETRANSLATE(A7077,""bn"",""en"")"),"My second pair")</f>
        <v>My second pair</v>
      </c>
    </row>
    <row r="7078" spans="1:3" ht="15.75" customHeight="1" x14ac:dyDescent="0.25">
      <c r="A7078" s="2" t="s">
        <v>7080</v>
      </c>
      <c r="B7078" s="3" t="s">
        <v>2</v>
      </c>
      <c r="C7078" s="2" t="str">
        <f ca="1">IFERROR(__xludf.DUMMYFUNCTION("GOOGLETRANSLATE(A7078,""bn"",""en"")"),"Neck saver can be improved")</f>
        <v>Neck saver can be improved</v>
      </c>
    </row>
    <row r="7079" spans="1:3" ht="15.75" customHeight="1" x14ac:dyDescent="0.25">
      <c r="A7079" s="2" t="s">
        <v>7081</v>
      </c>
      <c r="B7079" s="3" t="s">
        <v>4</v>
      </c>
      <c r="C7079" s="2" t="str">
        <f ca="1">IFERROR(__xludf.DUMMYFUNCTION("GOOGLETRANSLATE(A7079,""bn"",""en"")"),"The school playground has new equipment")</f>
        <v>The school playground has new equipment</v>
      </c>
    </row>
    <row r="7080" spans="1:3" ht="15.75" customHeight="1" x14ac:dyDescent="0.25">
      <c r="A7080" s="2" t="s">
        <v>7082</v>
      </c>
      <c r="B7080" s="3" t="s">
        <v>6</v>
      </c>
      <c r="C7080" s="2" t="str">
        <f ca="1">IFERROR(__xludf.DUMMYFUNCTION("GOOGLETRANSLATE(A7080,""bn"",""en"")"),"Concealer oxidizes throughout the day and turns orange on the skin")</f>
        <v>Concealer oxidizes throughout the day and turns orange on the skin</v>
      </c>
    </row>
    <row r="7081" spans="1:3" ht="15.75" customHeight="1" x14ac:dyDescent="0.25">
      <c r="A7081" s="2" t="s">
        <v>7083</v>
      </c>
      <c r="B7081" s="3" t="s">
        <v>4</v>
      </c>
      <c r="C7081" s="2" t="str">
        <f ca="1">IFERROR(__xludf.DUMMYFUNCTION("GOOGLETRANSLATE(A7081,""bn"",""en"")"),"The handle of the bag is very strong")</f>
        <v>The handle of the bag is very strong</v>
      </c>
    </row>
    <row r="7082" spans="1:3" ht="15.75" customHeight="1" x14ac:dyDescent="0.25">
      <c r="A7082" s="2" t="s">
        <v>7084</v>
      </c>
      <c r="B7082" s="3" t="s">
        <v>2</v>
      </c>
      <c r="C7082" s="2" t="str">
        <f ca="1">IFERROR(__xludf.DUMMYFUNCTION("GOOGLETRANSLATE(A7082,""bn"",""en"")"),"The product is generic")</f>
        <v>The product is generic</v>
      </c>
    </row>
    <row r="7083" spans="1:3" ht="15.75" customHeight="1" x14ac:dyDescent="0.25">
      <c r="A7083" s="2" t="s">
        <v>7085</v>
      </c>
      <c r="B7083" s="3" t="s">
        <v>6</v>
      </c>
      <c r="C7083" s="2" t="str">
        <f ca="1">IFERROR(__xludf.DUMMYFUNCTION("GOOGLETRANSLATE(A7083,""bn"",""en"")"),"Flimsy hinges break easily with regular use")</f>
        <v>Flimsy hinges break easily with regular use</v>
      </c>
    </row>
    <row r="7084" spans="1:3" ht="15.75" customHeight="1" x14ac:dyDescent="0.25">
      <c r="A7084" s="2" t="s">
        <v>7086</v>
      </c>
      <c r="B7084" s="3" t="s">
        <v>4</v>
      </c>
      <c r="C7084" s="2" t="str">
        <f ca="1">IFERROR(__xludf.DUMMYFUNCTION("GOOGLETRANSLATE(A7084,""bn"",""en"")"),"Car seat belt is suitable for safety")</f>
        <v>Car seat belt is suitable for safety</v>
      </c>
    </row>
    <row r="7085" spans="1:3" ht="15.75" customHeight="1" x14ac:dyDescent="0.25">
      <c r="A7085" s="2" t="s">
        <v>7087</v>
      </c>
      <c r="B7085" s="3" t="s">
        <v>6</v>
      </c>
      <c r="C7085" s="2" t="str">
        <f ca="1">IFERROR(__xludf.DUMMYFUNCTION("GOOGLETRANSLATE(A7085,""bn"",""en"")"),"It is not suitable for small children to swallow")</f>
        <v>It is not suitable for small children to swallow</v>
      </c>
    </row>
    <row r="7086" spans="1:3" ht="15.75" customHeight="1" x14ac:dyDescent="0.25">
      <c r="A7086" s="2" t="s">
        <v>7088</v>
      </c>
      <c r="B7086" s="3" t="s">
        <v>6</v>
      </c>
      <c r="C7086" s="2" t="str">
        <f ca="1">IFERROR(__xludf.DUMMYFUNCTION("GOOGLETRANSLATE(A7086,""bn"",""en"")"),"The joints of the toy were loose causing it to fall apart")</f>
        <v>The joints of the toy were loose causing it to fall apart</v>
      </c>
    </row>
    <row r="7087" spans="1:3" ht="15.75" customHeight="1" x14ac:dyDescent="0.25">
      <c r="A7087" s="2" t="s">
        <v>7089</v>
      </c>
      <c r="B7087" s="3" t="s">
        <v>4</v>
      </c>
      <c r="C7087" s="2" t="str">
        <f ca="1">IFERROR(__xludf.DUMMYFUNCTION("GOOGLETRANSLATE(A7087,""bn"",""en"")"),"It is suitable for daily use")</f>
        <v>It is suitable for daily use</v>
      </c>
    </row>
    <row r="7088" spans="1:3" ht="15.75" customHeight="1" x14ac:dyDescent="0.25">
      <c r="A7088" s="2" t="s">
        <v>7090</v>
      </c>
      <c r="B7088" s="3" t="s">
        <v>4</v>
      </c>
      <c r="C7088" s="2" t="str">
        <f ca="1">IFERROR(__xludf.DUMMYFUNCTION("GOOGLETRANSLATE(A7088,""bn"",""en"")"),"Bluetooth connection is very fast and reliable never disconnects")</f>
        <v>Bluetooth connection is very fast and reliable never disconnects</v>
      </c>
    </row>
    <row r="7089" spans="1:3" ht="15.75" customHeight="1" x14ac:dyDescent="0.25">
      <c r="A7089" s="2" t="s">
        <v>7091</v>
      </c>
      <c r="B7089" s="3" t="s">
        <v>4</v>
      </c>
      <c r="C7089" s="2" t="str">
        <f ca="1">IFERROR(__xludf.DUMMYFUNCTION("GOOGLETRANSLATE(A7089,""bn"",""en"")"),"It can be used in different ways")</f>
        <v>It can be used in different ways</v>
      </c>
    </row>
    <row r="7090" spans="1:3" ht="15.75" customHeight="1" x14ac:dyDescent="0.25">
      <c r="A7090" s="2" t="s">
        <v>7092</v>
      </c>
      <c r="B7090" s="3" t="s">
        <v>2</v>
      </c>
      <c r="C7090" s="2" t="str">
        <f ca="1">IFERROR(__xludf.DUMMYFUNCTION("GOOGLETRANSLATE(A7090,""bn"",""en"")"),"Some useful some bad")</f>
        <v>Some useful some bad</v>
      </c>
    </row>
    <row r="7091" spans="1:3" ht="15.75" customHeight="1" x14ac:dyDescent="0.25">
      <c r="A7091" s="2" t="s">
        <v>7093</v>
      </c>
      <c r="B7091" s="3" t="s">
        <v>4</v>
      </c>
      <c r="C7091" s="2" t="str">
        <f ca="1">IFERROR(__xludf.DUMMYFUNCTION("GOOGLETRANSLATE(A7091,""bn"",""en"")"),"Drinking this tea refreshes my body and mind")</f>
        <v>Drinking this tea refreshes my body and mind</v>
      </c>
    </row>
    <row r="7092" spans="1:3" ht="15.75" customHeight="1" x14ac:dyDescent="0.25">
      <c r="A7092" s="2" t="s">
        <v>7094</v>
      </c>
      <c r="B7092" s="3" t="s">
        <v>4</v>
      </c>
      <c r="C7092" s="2" t="str">
        <f ca="1">IFERROR(__xludf.DUMMYFUNCTION("GOOGLETRANSLATE(A7092,""bn"",""en"")"),"It is sustainable")</f>
        <v>It is sustainable</v>
      </c>
    </row>
    <row r="7093" spans="1:3" ht="15.75" customHeight="1" x14ac:dyDescent="0.25">
      <c r="A7093" s="2" t="s">
        <v>7095</v>
      </c>
      <c r="B7093" s="3" t="s">
        <v>2</v>
      </c>
      <c r="C7093" s="2" t="str">
        <f ca="1">IFERROR(__xludf.DUMMYFUNCTION("GOOGLETRANSLATE(A7093,""bn"",""en"")"),"It was good but could have been better")</f>
        <v>It was good but could have been better</v>
      </c>
    </row>
    <row r="7094" spans="1:3" ht="15.75" customHeight="1" x14ac:dyDescent="0.25">
      <c r="A7094" s="2" t="s">
        <v>7096</v>
      </c>
      <c r="B7094" s="3" t="s">
        <v>6</v>
      </c>
      <c r="C7094" s="2" t="str">
        <f ca="1">IFERROR(__xludf.DUMMYFUNCTION("GOOGLETRANSLATE(A7094,""bn"",""en"")"),"The appearance of the dress in the picture and in reality do not match")</f>
        <v>The appearance of the dress in the picture and in reality do not match</v>
      </c>
    </row>
    <row r="7095" spans="1:3" ht="15.75" customHeight="1" x14ac:dyDescent="0.25">
      <c r="A7095" s="2" t="s">
        <v>7097</v>
      </c>
      <c r="B7095" s="3" t="s">
        <v>4</v>
      </c>
      <c r="C7095" s="2" t="str">
        <f ca="1">IFERROR(__xludf.DUMMYFUNCTION("GOOGLETRANSLATE(A7095,""bn"",""en"")"),"The pendants have completely changed my look, I feel confident wearing them")</f>
        <v>The pendants have completely changed my look, I feel confident wearing them</v>
      </c>
    </row>
    <row r="7096" spans="1:3" ht="15.75" customHeight="1" x14ac:dyDescent="0.25">
      <c r="A7096" s="2" t="s">
        <v>7098</v>
      </c>
      <c r="B7096" s="3" t="s">
        <v>6</v>
      </c>
      <c r="C7096" s="2" t="str">
        <f ca="1">IFERROR(__xludf.DUMMYFUNCTION("GOOGLETRANSLATE(A7096,""bn"",""en"")"),"The texture of the fabric feels plastic and artificial and fails to provide the expected comfort and softness")</f>
        <v>The texture of the fabric feels plastic and artificial and fails to provide the expected comfort and softness</v>
      </c>
    </row>
    <row r="7097" spans="1:3" ht="15.75" customHeight="1" x14ac:dyDescent="0.25">
      <c r="A7097" s="2" t="s">
        <v>7099</v>
      </c>
      <c r="B7097" s="3" t="s">
        <v>4</v>
      </c>
      <c r="C7097" s="2" t="str">
        <f ca="1">IFERROR(__xludf.DUMMYFUNCTION("GOOGLETRANSLATE(A7097,""bn"",""en"")"),"The shorts are fine")</f>
        <v>The shorts are fine</v>
      </c>
    </row>
    <row r="7098" spans="1:3" ht="15.75" customHeight="1" x14ac:dyDescent="0.25">
      <c r="A7098" s="2" t="s">
        <v>7100</v>
      </c>
      <c r="B7098" s="3" t="s">
        <v>2</v>
      </c>
      <c r="C7098" s="2" t="str">
        <f ca="1">IFERROR(__xludf.DUMMYFUNCTION("GOOGLETRANSLATE(A7098,""bn"",""en"")"),"Net yarns are strong but take time to setup")</f>
        <v>Net yarns are strong but take time to setup</v>
      </c>
    </row>
    <row r="7099" spans="1:3" ht="15.75" customHeight="1" x14ac:dyDescent="0.25">
      <c r="A7099" s="2" t="s">
        <v>7101</v>
      </c>
      <c r="B7099" s="3" t="s">
        <v>2</v>
      </c>
      <c r="C7099" s="2" t="str">
        <f ca="1">IFERROR(__xludf.DUMMYFUNCTION("GOOGLETRANSLATE(A7099,""bn"",""en"")"),"Product is ok")</f>
        <v>Product is ok</v>
      </c>
    </row>
    <row r="7100" spans="1:3" ht="15.75" customHeight="1" x14ac:dyDescent="0.25">
      <c r="A7100" s="2" t="s">
        <v>7102</v>
      </c>
      <c r="B7100" s="3" t="s">
        <v>4</v>
      </c>
      <c r="C7100" s="2" t="str">
        <f ca="1">IFERROR(__xludf.DUMMYFUNCTION("GOOGLETRANSLATE(A7100,""bn"",""en"")"),"The stretchable string for the bracelet is quite strong")</f>
        <v>The stretchable string for the bracelet is quite strong</v>
      </c>
    </row>
    <row r="7101" spans="1:3" ht="15.75" customHeight="1" x14ac:dyDescent="0.25">
      <c r="A7101" s="2" t="s">
        <v>7103</v>
      </c>
      <c r="B7101" s="3" t="s">
        <v>2</v>
      </c>
      <c r="C7101" s="2" t="str">
        <f ca="1">IFERROR(__xludf.DUMMYFUNCTION("GOOGLETRANSLATE(A7101,""bn"",""en"")"),"Color depth is expected to be adequate")</f>
        <v>Color depth is expected to be adequate</v>
      </c>
    </row>
    <row r="7102" spans="1:3" ht="15.75" customHeight="1" x14ac:dyDescent="0.25">
      <c r="A7102" s="2" t="s">
        <v>7104</v>
      </c>
      <c r="B7102" s="3" t="s">
        <v>6</v>
      </c>
      <c r="C7102" s="2" t="str">
        <f ca="1">IFERROR(__xludf.DUMMYFUNCTION("GOOGLETRANSLATE(A7102,""bn"",""en"")"),"The toy's paint chips easily, exposing bare plastic")</f>
        <v>The toy's paint chips easily, exposing bare plastic</v>
      </c>
    </row>
    <row r="7103" spans="1:3" ht="15.75" customHeight="1" x14ac:dyDescent="0.25">
      <c r="A7103" s="2" t="s">
        <v>7105</v>
      </c>
      <c r="B7103" s="3" t="s">
        <v>4</v>
      </c>
      <c r="C7103" s="2" t="str">
        <f ca="1">IFERROR(__xludf.DUMMYFUNCTION("GOOGLETRANSLATE(A7103,""bn"",""en"")"),"Have used many speakers before but this is the best")</f>
        <v>Have used many speakers before but this is the best</v>
      </c>
    </row>
    <row r="7104" spans="1:3" ht="15.75" customHeight="1" x14ac:dyDescent="0.25">
      <c r="A7104" s="2" t="s">
        <v>7106</v>
      </c>
      <c r="B7104" s="3" t="s">
        <v>2</v>
      </c>
      <c r="C7104" s="2" t="str">
        <f ca="1">IFERROR(__xludf.DUMMYFUNCTION("GOOGLETRANSLATE(A7104,""bn"",""en"")"),"There are occasional problems while using")</f>
        <v>There are occasional problems while using</v>
      </c>
    </row>
    <row r="7105" spans="1:3" ht="15.75" customHeight="1" x14ac:dyDescent="0.25">
      <c r="A7105" s="2" t="s">
        <v>7107</v>
      </c>
      <c r="B7105" s="3" t="s">
        <v>2</v>
      </c>
      <c r="C7105" s="2" t="str">
        <f ca="1">IFERROR(__xludf.DUMMYFUNCTION("GOOGLETRANSLATE(A7105,""bn"",""en"")"),"The digital note taker tablet saves writing but the screen size is small")</f>
        <v>The digital note taker tablet saves writing but the screen size is small</v>
      </c>
    </row>
    <row r="7106" spans="1:3" ht="15.75" customHeight="1" x14ac:dyDescent="0.25">
      <c r="A7106" s="2" t="s">
        <v>7108</v>
      </c>
      <c r="B7106" s="3" t="s">
        <v>6</v>
      </c>
      <c r="C7106" s="2" t="str">
        <f ca="1">IFERROR(__xludf.DUMMYFUNCTION("GOOGLETRANSLATE(A7106,""bn"",""en"")"),"  The design lacks consistency with mismatched patterns and seams")</f>
        <v xml:space="preserve">  The design lacks consistency with mismatched patterns and seams</v>
      </c>
    </row>
    <row r="7107" spans="1:3" ht="15.75" customHeight="1" x14ac:dyDescent="0.25">
      <c r="A7107" s="2" t="s">
        <v>7109</v>
      </c>
      <c r="B7107" s="3" t="s">
        <v>6</v>
      </c>
      <c r="C7107" s="2" t="str">
        <f ca="1">IFERROR(__xludf.DUMMYFUNCTION("GOOGLETRANSLATE(A7107,""bn"",""en"")"),"The nozzle of the electric air pump is easily broken to expel the air")</f>
        <v>The nozzle of the electric air pump is easily broken to expel the air</v>
      </c>
    </row>
    <row r="7108" spans="1:3" ht="15.75" customHeight="1" x14ac:dyDescent="0.25">
      <c r="A7108" s="2" t="s">
        <v>7110</v>
      </c>
      <c r="B7108" s="3" t="s">
        <v>4</v>
      </c>
      <c r="C7108" s="2" t="str">
        <f ca="1">IFERROR(__xludf.DUMMYFUNCTION("GOOGLETRANSLATE(A7108,""bn"",""en"")"),"Perfect for my mountain bike")</f>
        <v>Perfect for my mountain bike</v>
      </c>
    </row>
    <row r="7109" spans="1:3" ht="15.75" customHeight="1" x14ac:dyDescent="0.25">
      <c r="A7109" s="2" t="s">
        <v>7111</v>
      </c>
      <c r="B7109" s="3" t="s">
        <v>2</v>
      </c>
      <c r="C7109" s="2" t="str">
        <f ca="1">IFERROR(__xludf.DUMMYFUNCTION("GOOGLETRANSLATE(A7109,""bn"",""en"")"),"The dress looks acceptable")</f>
        <v>The dress looks acceptable</v>
      </c>
    </row>
    <row r="7110" spans="1:3" ht="15.75" customHeight="1" x14ac:dyDescent="0.25">
      <c r="A7110" s="2" t="s">
        <v>7112</v>
      </c>
      <c r="B7110" s="3" t="s">
        <v>4</v>
      </c>
      <c r="C7110" s="2" t="str">
        <f ca="1">IFERROR(__xludf.DUMMYFUNCTION("GOOGLETRANSLATE(A7110,""bn"",""en"")"),"The corners of each piece are nicely rounded which increases safety")</f>
        <v>The corners of each piece are nicely rounded which increases safety</v>
      </c>
    </row>
    <row r="7111" spans="1:3" ht="15.75" customHeight="1" x14ac:dyDescent="0.25">
      <c r="A7111" s="2" t="s">
        <v>7113</v>
      </c>
      <c r="B7111" s="3" t="s">
        <v>2</v>
      </c>
      <c r="C7111" s="2" t="str">
        <f ca="1">IFERROR(__xludf.DUMMYFUNCTION("GOOGLETRANSLATE(A7111,""bn"",""en"")"),"The design is nice but the strap felt a bit stiff")</f>
        <v>The design is nice but the strap felt a bit stiff</v>
      </c>
    </row>
    <row r="7112" spans="1:3" ht="15.75" customHeight="1" x14ac:dyDescent="0.25">
      <c r="A7112" s="2" t="s">
        <v>7114</v>
      </c>
      <c r="B7112" s="3" t="s">
        <v>4</v>
      </c>
      <c r="C7112" s="2" t="str">
        <f ca="1">IFERROR(__xludf.DUMMYFUNCTION("GOOGLETRANSLATE(A7112,""bn"",""en"")"),"Its color stays the same even after many washes ")</f>
        <v xml:space="preserve">Its color stays the same even after many washes </v>
      </c>
    </row>
    <row r="7113" spans="1:3" ht="15.75" customHeight="1" x14ac:dyDescent="0.25">
      <c r="A7113" s="2" t="s">
        <v>7115</v>
      </c>
      <c r="B7113" s="3" t="s">
        <v>4</v>
      </c>
      <c r="C7113" s="2" t="str">
        <f ca="1">IFERROR(__xludf.DUMMYFUNCTION("GOOGLETRANSLATE(A7113,""bn"",""en"")"),"This body wash will leave you feeling refreshed")</f>
        <v>This body wash will leave you feeling refreshed</v>
      </c>
    </row>
    <row r="7114" spans="1:3" ht="15.75" customHeight="1" x14ac:dyDescent="0.25">
      <c r="A7114" s="2" t="s">
        <v>7116</v>
      </c>
      <c r="B7114" s="3" t="s">
        <v>2</v>
      </c>
      <c r="C7114" s="2" t="str">
        <f ca="1">IFERROR(__xludf.DUMMYFUNCTION("GOOGLETRANSLATE(A7114,""bn"",""en"")"),"A must could be better")</f>
        <v>A must could be better</v>
      </c>
    </row>
    <row r="7115" spans="1:3" ht="15.75" customHeight="1" x14ac:dyDescent="0.25">
      <c r="A7115" s="2" t="s">
        <v>7117</v>
      </c>
      <c r="B7115" s="3" t="s">
        <v>6</v>
      </c>
      <c r="C7115" s="2" t="str">
        <f ca="1">IFERROR(__xludf.DUMMYFUNCTION("GOOGLETRANSLATE(A7115,""bn"",""en"")"),"The boxed pasta was sticky and overcooked with a starchy aftertaste")</f>
        <v>The boxed pasta was sticky and overcooked with a starchy aftertaste</v>
      </c>
    </row>
    <row r="7116" spans="1:3" ht="15.75" customHeight="1" x14ac:dyDescent="0.25">
      <c r="A7116" s="2" t="s">
        <v>7118</v>
      </c>
      <c r="B7116" s="3" t="s">
        <v>4</v>
      </c>
      <c r="C7116" s="2" t="str">
        <f ca="1">IFERROR(__xludf.DUMMYFUNCTION("GOOGLETRANSLATE(A7116,""bn"",""en"")"),"Great radar detector")</f>
        <v>Great radar detector</v>
      </c>
    </row>
    <row r="7117" spans="1:3" ht="15.75" customHeight="1" x14ac:dyDescent="0.25">
      <c r="A7117" s="2" t="s">
        <v>7119</v>
      </c>
      <c r="B7117" s="3" t="s">
        <v>6</v>
      </c>
      <c r="C7117" s="2" t="str">
        <f ca="1">IFERROR(__xludf.DUMMYFUNCTION("GOOGLETRANSLATE(A7117,""bn"",""en"")"),"The speakers produce poor sound quality and lack depth and richness")</f>
        <v>The speakers produce poor sound quality and lack depth and richness</v>
      </c>
    </row>
    <row r="7118" spans="1:3" ht="15.75" customHeight="1" x14ac:dyDescent="0.25">
      <c r="A7118" s="2" t="s">
        <v>7120</v>
      </c>
      <c r="B7118" s="3" t="s">
        <v>4</v>
      </c>
      <c r="C7118" s="2" t="str">
        <f ca="1">IFERROR(__xludf.DUMMYFUNCTION("GOOGLETRANSLATE(A7118,""bn"",""en"")"),"The dessert plates that come with this dinner set are so cute they make my sweet treats even more interesting")</f>
        <v>The dessert plates that come with this dinner set are so cute they make my sweet treats even more interesting</v>
      </c>
    </row>
    <row r="7119" spans="1:3" ht="15.75" customHeight="1" x14ac:dyDescent="0.25">
      <c r="A7119" s="2" t="s">
        <v>7121</v>
      </c>
      <c r="B7119" s="3" t="s">
        <v>4</v>
      </c>
      <c r="C7119" s="2" t="str">
        <f ca="1">IFERROR(__xludf.DUMMYFUNCTION("GOOGLETRANSLATE(A7119,""bn"",""en"")"),"The color of the bookshelf is very attractive")</f>
        <v>The color of the bookshelf is very attractive</v>
      </c>
    </row>
    <row r="7120" spans="1:3" ht="15.75" customHeight="1" x14ac:dyDescent="0.25">
      <c r="A7120" s="2" t="s">
        <v>7122</v>
      </c>
      <c r="B7120" s="3" t="s">
        <v>2</v>
      </c>
      <c r="C7120" s="2" t="str">
        <f ca="1">IFERROR(__xludf.DUMMYFUNCTION("GOOGLETRANSLATE(A7120,""bn"",""en"")"),"The brand name is printed on the back of the paper")</f>
        <v>The brand name is printed on the back of the paper</v>
      </c>
    </row>
    <row r="7121" spans="1:3" ht="15.75" customHeight="1" x14ac:dyDescent="0.25">
      <c r="A7121" s="2" t="s">
        <v>7123</v>
      </c>
      <c r="B7121" s="3" t="s">
        <v>2</v>
      </c>
      <c r="C7121" s="2" t="str">
        <f ca="1">IFERROR(__xludf.DUMMYFUNCTION("GOOGLETRANSLATE(A7121,""bn"",""en"")"),"Fertilizer increased yield slightly but not much improvement")</f>
        <v>Fertilizer increased yield slightly but not much improvement</v>
      </c>
    </row>
    <row r="7122" spans="1:3" ht="15.75" customHeight="1" x14ac:dyDescent="0.25">
      <c r="A7122" s="2" t="s">
        <v>7124</v>
      </c>
      <c r="B7122" s="3" t="s">
        <v>4</v>
      </c>
      <c r="C7122" s="2" t="str">
        <f ca="1">IFERROR(__xludf.DUMMYFUNCTION("GOOGLETRANSLATE(A7122,""bn"",""en"")"),"It has functional and clean edges")</f>
        <v>It has functional and clean edges</v>
      </c>
    </row>
    <row r="7123" spans="1:3" ht="15.75" customHeight="1" x14ac:dyDescent="0.25">
      <c r="A7123" s="2" t="s">
        <v>7125</v>
      </c>
      <c r="B7123" s="3" t="s">
        <v>6</v>
      </c>
      <c r="C7123" s="2" t="str">
        <f ca="1">IFERROR(__xludf.DUMMYFUNCTION("GOOGLETRANSLATE(A7123,""bn"",""en"")"),"The tea set was poorly made with visible flaws in the glaze")</f>
        <v>The tea set was poorly made with visible flaws in the glaze</v>
      </c>
    </row>
    <row r="7124" spans="1:3" ht="15.75" customHeight="1" x14ac:dyDescent="0.25">
      <c r="A7124" s="2" t="s">
        <v>7126</v>
      </c>
      <c r="B7124" s="3" t="s">
        <v>2</v>
      </c>
      <c r="C7124" s="2" t="str">
        <f ca="1">IFERROR(__xludf.DUMMYFUNCTION("GOOGLETRANSLATE(A7124,""bn"",""en"")"),"Some pieces suitable for jewelry making are missing")</f>
        <v>Some pieces suitable for jewelry making are missing</v>
      </c>
    </row>
    <row r="7125" spans="1:3" ht="15.75" customHeight="1" x14ac:dyDescent="0.25">
      <c r="A7125" s="2" t="s">
        <v>7127</v>
      </c>
      <c r="B7125" s="3" t="s">
        <v>6</v>
      </c>
      <c r="C7125" s="2" t="str">
        <f ca="1">IFERROR(__xludf.DUMMYFUNCTION("GOOGLETRANSLATE(A7125,""bn"",""en"")"),"Dirty dolls require thorough cleaning, reducing enjoyment")</f>
        <v>Dirty dolls require thorough cleaning, reducing enjoyment</v>
      </c>
    </row>
    <row r="7126" spans="1:3" ht="15.75" customHeight="1" x14ac:dyDescent="0.25">
      <c r="A7126" s="2" t="s">
        <v>7128</v>
      </c>
      <c r="B7126" s="3" t="s">
        <v>2</v>
      </c>
      <c r="C7126" s="2" t="str">
        <f ca="1">IFERROR(__xludf.DUMMYFUNCTION("GOOGLETRANSLATE(A7126,""bn"",""en"")"),"Prices are low but quality is average")</f>
        <v>Prices are low but quality is average</v>
      </c>
    </row>
    <row r="7127" spans="1:3" ht="15.75" customHeight="1" x14ac:dyDescent="0.25">
      <c r="A7127" s="2" t="s">
        <v>7129</v>
      </c>
      <c r="B7127" s="3" t="s">
        <v>6</v>
      </c>
      <c r="C7127" s="2" t="str">
        <f ca="1">IFERROR(__xludf.DUMMYFUNCTION("GOOGLETRANSLATE(A7127,""bn"",""en"")"),"  The closure mechanism is flimsy and does not fasten securely")</f>
        <v xml:space="preserve">  The closure mechanism is flimsy and does not fasten securely</v>
      </c>
    </row>
    <row r="7128" spans="1:3" ht="15.75" customHeight="1" x14ac:dyDescent="0.25">
      <c r="A7128" s="2" t="s">
        <v>7130</v>
      </c>
      <c r="B7128" s="3" t="s">
        <v>6</v>
      </c>
      <c r="C7128" s="2" t="str">
        <f ca="1">IFERROR(__xludf.DUMMYFUNCTION("GOOGLETRANSLATE(A7128,""bn"",""en"")"),"Item did not meet safety standards")</f>
        <v>Item did not meet safety standards</v>
      </c>
    </row>
    <row r="7129" spans="1:3" ht="15.75" customHeight="1" x14ac:dyDescent="0.25">
      <c r="A7129" s="2" t="s">
        <v>7131</v>
      </c>
      <c r="B7129" s="3" t="s">
        <v>4</v>
      </c>
      <c r="C7129" s="2" t="str">
        <f ca="1">IFERROR(__xludf.DUMMYFUNCTION("GOOGLETRANSLATE(A7129,""bn"",""en"")"),"It enhances the consistency of the makeup look")</f>
        <v>It enhances the consistency of the makeup look</v>
      </c>
    </row>
    <row r="7130" spans="1:3" ht="15.75" customHeight="1" x14ac:dyDescent="0.25">
      <c r="A7130" s="2" t="s">
        <v>7132</v>
      </c>
      <c r="B7130" s="3" t="s">
        <v>2</v>
      </c>
      <c r="C7130" s="2" t="str">
        <f ca="1">IFERROR(__xludf.DUMMYFUNCTION("GOOGLETRANSLATE(A7130,""bn"",""en"")"),"The toothpaste formula is simple")</f>
        <v>The toothpaste formula is simple</v>
      </c>
    </row>
    <row r="7131" spans="1:3" ht="15.75" customHeight="1" x14ac:dyDescent="0.25">
      <c r="A7131" s="2" t="s">
        <v>7133</v>
      </c>
      <c r="B7131" s="3" t="s">
        <v>6</v>
      </c>
      <c r="C7131" s="2" t="str">
        <f ca="1">IFERROR(__xludf.DUMMYFUNCTION("GOOGLETRANSLATE(A7131,""bn"",""en"")"),"Stay away from low quality rusty screws")</f>
        <v>Stay away from low quality rusty screws</v>
      </c>
    </row>
    <row r="7132" spans="1:3" ht="15.75" customHeight="1" x14ac:dyDescent="0.25">
      <c r="A7132" s="2" t="s">
        <v>7134</v>
      </c>
      <c r="B7132" s="3" t="s">
        <v>6</v>
      </c>
      <c r="C7132" s="2" t="str">
        <f ca="1">IFERROR(__xludf.DUMMYFUNCTION("GOOGLETRANSLATE(A7132,""bn"",""en"")"),"The lipstick bullet is flimsy and breaks easily during application")</f>
        <v>The lipstick bullet is flimsy and breaks easily during application</v>
      </c>
    </row>
    <row r="7133" spans="1:3" ht="15.75" customHeight="1" x14ac:dyDescent="0.25">
      <c r="A7133" s="2" t="s">
        <v>7135</v>
      </c>
      <c r="B7133" s="3" t="s">
        <v>4</v>
      </c>
      <c r="C7133" s="2" t="str">
        <f ca="1">IFERROR(__xludf.DUMMYFUNCTION("GOOGLETRANSLATE(A7133,""bn"",""en"")"),"The color name is written on the box which is instructive")</f>
        <v>The color name is written on the box which is instructive</v>
      </c>
    </row>
    <row r="7134" spans="1:3" ht="15.75" customHeight="1" x14ac:dyDescent="0.25">
      <c r="A7134" s="2" t="s">
        <v>7136</v>
      </c>
      <c r="B7134" s="3" t="s">
        <v>6</v>
      </c>
      <c r="C7134" s="2" t="str">
        <f ca="1">IFERROR(__xludf.DUMMYFUNCTION("GOOGLETRANSLATE(A7134,""bn"",""en"")"),"A leaking coffee machine carafe spilled coffee onto the countertop")</f>
        <v>A leaking coffee machine carafe spilled coffee onto the countertop</v>
      </c>
    </row>
    <row r="7135" spans="1:3" ht="15.75" customHeight="1" x14ac:dyDescent="0.25">
      <c r="A7135" s="2" t="s">
        <v>7137</v>
      </c>
      <c r="B7135" s="3" t="s">
        <v>6</v>
      </c>
      <c r="C7135" s="2" t="str">
        <f ca="1">IFERROR(__xludf.DUMMYFUNCTION("GOOGLETRANSLATE(A7135,""bn"",""en"")"),"  The scrub irritates my skin and causes small cuts")</f>
        <v xml:space="preserve">  The scrub irritates my skin and causes small cuts</v>
      </c>
    </row>
    <row r="7136" spans="1:3" ht="15.75" customHeight="1" x14ac:dyDescent="0.25">
      <c r="A7136" s="2" t="s">
        <v>7138</v>
      </c>
      <c r="B7136" s="3" t="s">
        <v>6</v>
      </c>
      <c r="C7136" s="2" t="str">
        <f ca="1">IFERROR(__xludf.DUMMYFUNCTION("GOOGLETRANSLATE(A7136,""bn"",""en"")"),"The dress had a cheap belt that broke after only one use rendering it useless")</f>
        <v>The dress had a cheap belt that broke after only one use rendering it useless</v>
      </c>
    </row>
    <row r="7137" spans="1:3" ht="15.75" customHeight="1" x14ac:dyDescent="0.25">
      <c r="A7137" s="2" t="s">
        <v>7139</v>
      </c>
      <c r="B7137" s="3" t="s">
        <v>2</v>
      </c>
      <c r="C7137" s="2" t="str">
        <f ca="1">IFERROR(__xludf.DUMMYFUNCTION("GOOGLETRANSLATE(A7137,""bn"",""en"")"),"This is somewhat better")</f>
        <v>This is somewhat better</v>
      </c>
    </row>
    <row r="7138" spans="1:3" ht="15.75" customHeight="1" x14ac:dyDescent="0.25">
      <c r="A7138" s="2" t="s">
        <v>7140</v>
      </c>
      <c r="B7138" s="3" t="s">
        <v>2</v>
      </c>
      <c r="C7138" s="2" t="str">
        <f ca="1">IFERROR(__xludf.DUMMYFUNCTION("GOOGLETRANSLATE(A7138,""bn"",""en"")"),"Not sure if it removes negative energy")</f>
        <v>Not sure if it removes negative energy</v>
      </c>
    </row>
    <row r="7139" spans="1:3" ht="15.75" customHeight="1" x14ac:dyDescent="0.25">
      <c r="A7139" s="2" t="s">
        <v>7141</v>
      </c>
      <c r="B7139" s="3" t="s">
        <v>6</v>
      </c>
      <c r="C7139" s="2" t="str">
        <f ca="1">IFERROR(__xludf.DUMMYFUNCTION("GOOGLETRANSLATE(A7139,""bn"",""en"")"),"The cap of the reusable water bottle cracked causing spills and leaks")</f>
        <v>The cap of the reusable water bottle cracked causing spills and leaks</v>
      </c>
    </row>
    <row r="7140" spans="1:3" ht="15.75" customHeight="1" x14ac:dyDescent="0.25">
      <c r="A7140" s="2" t="s">
        <v>7142</v>
      </c>
      <c r="B7140" s="3" t="s">
        <v>2</v>
      </c>
      <c r="C7140" s="2" t="str">
        <f ca="1">IFERROR(__xludf.DUMMYFUNCTION("GOOGLETRANSLATE(A7140,""bn"",""en"")"),"The bottle is a bit uncomfortable to carry in the pocket")</f>
        <v>The bottle is a bit uncomfortable to carry in the pocket</v>
      </c>
    </row>
    <row r="7141" spans="1:3" ht="15.75" customHeight="1" x14ac:dyDescent="0.25">
      <c r="A7141" s="2" t="s">
        <v>7143</v>
      </c>
      <c r="B7141" s="3" t="s">
        <v>4</v>
      </c>
      <c r="C7141" s="2" t="str">
        <f ca="1">IFERROR(__xludf.DUMMYFUNCTION("GOOGLETRANSLATE(A7141,""bn"",""en"")"),"The design of the new mobile is very modern")</f>
        <v>The design of the new mobile is very modern</v>
      </c>
    </row>
    <row r="7142" spans="1:3" ht="15.75" customHeight="1" x14ac:dyDescent="0.25">
      <c r="A7142" s="2" t="s">
        <v>7144</v>
      </c>
      <c r="B7142" s="3" t="s">
        <v>2</v>
      </c>
      <c r="C7142" s="2" t="str">
        <f ca="1">IFERROR(__xludf.DUMMYFUNCTION("GOOGLETRANSLATE(A7142,""bn"",""en"")"),"The touchscreen of the fitness band is fine but not durable")</f>
        <v>The touchscreen of the fitness band is fine but not durable</v>
      </c>
    </row>
    <row r="7143" spans="1:3" ht="15.75" customHeight="1" x14ac:dyDescent="0.25">
      <c r="A7143" s="2" t="s">
        <v>7145</v>
      </c>
      <c r="B7143" s="3" t="s">
        <v>2</v>
      </c>
      <c r="C7143" s="2" t="str">
        <f ca="1">IFERROR(__xludf.DUMMYFUNCTION("GOOGLETRANSLATE(A7143,""bn"",""en"")"),"This fertilizer is environment friendly but the yield has not increased much than before")</f>
        <v>This fertilizer is environment friendly but the yield has not increased much than before</v>
      </c>
    </row>
    <row r="7144" spans="1:3" ht="15.75" customHeight="1" x14ac:dyDescent="0.25">
      <c r="A7144" s="2" t="s">
        <v>7146</v>
      </c>
      <c r="B7144" s="3" t="s">
        <v>6</v>
      </c>
      <c r="C7144" s="2" t="str">
        <f ca="1">IFERROR(__xludf.DUMMYFUNCTION("GOOGLETRANSLATE(A7144,""bn"",""en"")"),"The painting set did not include enough information about color mixing")</f>
        <v>The painting set did not include enough information about color mixing</v>
      </c>
    </row>
    <row r="7145" spans="1:3" ht="15.75" customHeight="1" x14ac:dyDescent="0.25">
      <c r="A7145" s="2" t="s">
        <v>7147</v>
      </c>
      <c r="B7145" s="3" t="s">
        <v>6</v>
      </c>
      <c r="C7145" s="2" t="str">
        <f ca="1">IFERROR(__xludf.DUMMYFUNCTION("GOOGLETRANSLATE(A7145,""bn"",""en"")")," The power cord was very thick and flexible which made it difficult to route behind furniture")</f>
        <v xml:space="preserve"> The power cord was very thick and flexible which made it difficult to route behind furniture</v>
      </c>
    </row>
    <row r="7146" spans="1:3" ht="15.75" customHeight="1" x14ac:dyDescent="0.25">
      <c r="A7146" s="2" t="s">
        <v>7148</v>
      </c>
      <c r="B7146" s="3" t="s">
        <v>4</v>
      </c>
      <c r="C7146" s="2" t="str">
        <f ca="1">IFERROR(__xludf.DUMMYFUNCTION("GOOGLETRANSLATE(A7146,""bn"",""en"")"),"Its taste is so rich that I never add milk or sugar")</f>
        <v>Its taste is so rich that I never add milk or sugar</v>
      </c>
    </row>
    <row r="7147" spans="1:3" ht="15.75" customHeight="1" x14ac:dyDescent="0.25">
      <c r="A7147" s="2" t="s">
        <v>7149</v>
      </c>
      <c r="B7147" s="3" t="s">
        <v>6</v>
      </c>
      <c r="C7147" s="2" t="str">
        <f ca="1">IFERROR(__xludf.DUMMYFUNCTION("GOOGLETRANSLATE(A7147,""bn"",""en"")"),"Huge design takes up too much space")</f>
        <v>Huge design takes up too much space</v>
      </c>
    </row>
    <row r="7148" spans="1:3" ht="15.75" customHeight="1" x14ac:dyDescent="0.25">
      <c r="A7148" s="2" t="s">
        <v>7150</v>
      </c>
      <c r="B7148" s="3" t="s">
        <v>6</v>
      </c>
      <c r="C7148" s="2" t="str">
        <f ca="1">IFERROR(__xludf.DUMMYFUNCTION("GOOGLETRANSLATE(A7148,""bn"",""en"")"),"The fabric is thin and see through")</f>
        <v>The fabric is thin and see through</v>
      </c>
    </row>
    <row r="7149" spans="1:3" ht="15.75" customHeight="1" x14ac:dyDescent="0.25">
      <c r="A7149" s="2" t="s">
        <v>7151</v>
      </c>
      <c r="B7149" s="3" t="s">
        <v>6</v>
      </c>
      <c r="C7149" s="2" t="str">
        <f ca="1">IFERROR(__xludf.DUMMYFUNCTION("GOOGLETRANSLATE(A7149,""bn"",""en"")"),"Connectivity issues plague this product, making it unreliable")</f>
        <v>Connectivity issues plague this product, making it unreliable</v>
      </c>
    </row>
    <row r="7150" spans="1:3" ht="15.75" customHeight="1" x14ac:dyDescent="0.25">
      <c r="A7150" s="2" t="s">
        <v>7152</v>
      </c>
      <c r="B7150" s="3" t="s">
        <v>4</v>
      </c>
      <c r="C7150" s="2" t="str">
        <f ca="1">IFERROR(__xludf.DUMMYFUNCTION("GOOGLETRANSLATE(A7150,""bn"",""en"")"),"Will tell everyone to use it")</f>
        <v>Will tell everyone to use it</v>
      </c>
    </row>
    <row r="7151" spans="1:3" ht="15.75" customHeight="1" x14ac:dyDescent="0.25">
      <c r="A7151" s="2" t="s">
        <v>7153</v>
      </c>
      <c r="B7151" s="3" t="s">
        <v>4</v>
      </c>
      <c r="C7151" s="2" t="str">
        <f ca="1">IFERROR(__xludf.DUMMYFUNCTION("GOOGLETRANSLATE(A7151,""bn"",""en"")"),"Each time you look at it, you find new beauty")</f>
        <v>Each time you look at it, you find new beauty</v>
      </c>
    </row>
    <row r="7152" spans="1:3" ht="15.75" customHeight="1" x14ac:dyDescent="0.25">
      <c r="A7152" s="2" t="s">
        <v>7154</v>
      </c>
      <c r="B7152" s="3" t="s">
        <v>4</v>
      </c>
      <c r="C7152" s="2" t="str">
        <f ca="1">IFERROR(__xludf.DUMMYFUNCTION("GOOGLETRANSLATE(A7152,""bn"",""en"")"),"Each melody of the song is so clear that it seems as if the artists are standing in front of them singing")</f>
        <v>Each melody of the song is so clear that it seems as if the artists are standing in front of them singing</v>
      </c>
    </row>
    <row r="7153" spans="1:3" ht="15.75" customHeight="1" x14ac:dyDescent="0.25">
      <c r="A7153" s="2" t="s">
        <v>7155</v>
      </c>
      <c r="B7153" s="3" t="s">
        <v>6</v>
      </c>
      <c r="C7153" s="2" t="str">
        <f ca="1">IFERROR(__xludf.DUMMYFUNCTION("GOOGLETRANSLATE(A7153,""bn"",""en"")"),"Chasette pieces are chipped and scratched showing wear")</f>
        <v>Chasette pieces are chipped and scratched showing wear</v>
      </c>
    </row>
    <row r="7154" spans="1:3" ht="15.75" customHeight="1" x14ac:dyDescent="0.25">
      <c r="A7154" s="2" t="s">
        <v>7156</v>
      </c>
      <c r="B7154" s="3" t="s">
        <v>2</v>
      </c>
      <c r="C7154" s="2" t="str">
        <f ca="1">IFERROR(__xludf.DUMMYFUNCTION("GOOGLETRANSLATE(A7154,""bn"",""en"")"),"Children can grasp but can slip out of hand")</f>
        <v>Children can grasp but can slip out of hand</v>
      </c>
    </row>
    <row r="7155" spans="1:3" ht="15.75" customHeight="1" x14ac:dyDescent="0.25">
      <c r="A7155" s="2" t="s">
        <v>7157</v>
      </c>
      <c r="B7155" s="3" t="s">
        <v>6</v>
      </c>
      <c r="C7155" s="2" t="str">
        <f ca="1">IFERROR(__xludf.DUMMYFUNCTION("GOOGLETRANSLATE(A7155,""bn"",""en"")"),"Previous orders have arrived in good condition making this experience uneventful")</f>
        <v>Previous orders have arrived in good condition making this experience uneventful</v>
      </c>
    </row>
    <row r="7156" spans="1:3" ht="15.75" customHeight="1" x14ac:dyDescent="0.25">
      <c r="A7156" s="2" t="s">
        <v>7158</v>
      </c>
      <c r="B7156" s="3" t="s">
        <v>6</v>
      </c>
      <c r="C7156" s="2" t="str">
        <f ca="1">IFERROR(__xludf.DUMMYFUNCTION("GOOGLETRANSLATE(A7156,""bn"",""en"")"),"Excessive noise at high ISO settings degrades image quality, especially in low light conditions")</f>
        <v>Excessive noise at high ISO settings degrades image quality, especially in low light conditions</v>
      </c>
    </row>
    <row r="7157" spans="1:3" ht="15.75" customHeight="1" x14ac:dyDescent="0.25">
      <c r="A7157" s="2" t="s">
        <v>7159</v>
      </c>
      <c r="B7157" s="3" t="s">
        <v>4</v>
      </c>
      <c r="C7157" s="2" t="str">
        <f ca="1">IFERROR(__xludf.DUMMYFUNCTION("GOOGLETRANSLATE(A7157,""bn"",""en"")"),"Very durable and long lasting suitable for everyone in the family")</f>
        <v>Very durable and long lasting suitable for everyone in the family</v>
      </c>
    </row>
    <row r="7158" spans="1:3" ht="15.75" customHeight="1" x14ac:dyDescent="0.25">
      <c r="A7158" s="2" t="s">
        <v>7160</v>
      </c>
      <c r="B7158" s="3" t="s">
        <v>6</v>
      </c>
      <c r="C7158" s="2" t="str">
        <f ca="1">IFERROR(__xludf.DUMMYFUNCTION("GOOGLETRANSLATE(A7158,""bn"",""en"")"),"The fragrance of the body wash was so strong and artificial it gave me a headache")</f>
        <v>The fragrance of the body wash was so strong and artificial it gave me a headache</v>
      </c>
    </row>
    <row r="7159" spans="1:3" ht="15.75" customHeight="1" x14ac:dyDescent="0.25">
      <c r="A7159" s="2" t="s">
        <v>7161</v>
      </c>
      <c r="B7159" s="3" t="s">
        <v>2</v>
      </c>
      <c r="C7159" s="2" t="str">
        <f ca="1">IFERROR(__xludf.DUMMYFUNCTION("GOOGLETRANSLATE(A7159,""bn"",""en"")"),"If it is not good if you order before Eid, dry Playdo may arrive")</f>
        <v>If it is not good if you order before Eid, dry Playdo may arrive</v>
      </c>
    </row>
    <row r="7160" spans="1:3" ht="15.75" customHeight="1" x14ac:dyDescent="0.25">
      <c r="A7160" s="2" t="s">
        <v>7162</v>
      </c>
      <c r="B7160" s="3" t="s">
        <v>4</v>
      </c>
      <c r="C7160" s="2" t="str">
        <f ca="1">IFERROR(__xludf.DUMMYFUNCTION("GOOGLETRANSLATE(A7160,""bn"",""en"")"),"The material of the plate is very high quality and durable")</f>
        <v>The material of the plate is very high quality and durable</v>
      </c>
    </row>
    <row r="7161" spans="1:3" ht="15.75" customHeight="1" x14ac:dyDescent="0.25">
      <c r="A7161" s="2" t="s">
        <v>7163</v>
      </c>
      <c r="B7161" s="3" t="s">
        <v>4</v>
      </c>
      <c r="C7161" s="2" t="str">
        <f ca="1">IFERROR(__xludf.DUMMYFUNCTION("GOOGLETRANSLATE(A7161,""bn"",""en"")"),"The design and quality of the handles is very high quality")</f>
        <v>The design and quality of the handles is very high quality</v>
      </c>
    </row>
    <row r="7162" spans="1:3" ht="15.75" customHeight="1" x14ac:dyDescent="0.25">
      <c r="A7162" s="2" t="s">
        <v>7164</v>
      </c>
      <c r="B7162" s="3" t="s">
        <v>6</v>
      </c>
      <c r="C7162" s="2" t="str">
        <f ca="1">IFERROR(__xludf.DUMMYFUNCTION("GOOGLETRANSLATE(A7162,""bn"",""en"")"),"Lip gloss is sticky and sticky and attracts hair and debris throughout the day")</f>
        <v>Lip gloss is sticky and sticky and attracts hair and debris throughout the day</v>
      </c>
    </row>
    <row r="7163" spans="1:3" ht="15.75" customHeight="1" x14ac:dyDescent="0.25">
      <c r="A7163" s="2" t="s">
        <v>7165</v>
      </c>
      <c r="B7163" s="3" t="s">
        <v>2</v>
      </c>
      <c r="C7163" s="2" t="str">
        <f ca="1">IFERROR(__xludf.DUMMYFUNCTION("GOOGLETRANSLATE(A7163,""bn"",""en"")"),"Can be removed with polish remover")</f>
        <v>Can be removed with polish remover</v>
      </c>
    </row>
    <row r="7164" spans="1:3" ht="15.75" customHeight="1" x14ac:dyDescent="0.25">
      <c r="A7164" s="2" t="s">
        <v>7166</v>
      </c>
      <c r="B7164" s="3" t="s">
        <v>2</v>
      </c>
      <c r="C7164" s="2" t="str">
        <f ca="1">IFERROR(__xludf.DUMMYFUNCTION("GOOGLETRANSLATE(A7164,""bn"",""en"")"),"Value is fair compared to price")</f>
        <v>Value is fair compared to price</v>
      </c>
    </row>
    <row r="7165" spans="1:3" ht="15.75" customHeight="1" x14ac:dyDescent="0.25">
      <c r="A7165" s="2" t="s">
        <v>7167</v>
      </c>
      <c r="B7165" s="3" t="s">
        <v>4</v>
      </c>
      <c r="C7165" s="2" t="str">
        <f ca="1">IFERROR(__xludf.DUMMYFUNCTION("GOOGLETRANSLATE(A7165,""bn"",""en"")"),"Highly recommended at a very good price")</f>
        <v>Highly recommended at a very good price</v>
      </c>
    </row>
    <row r="7166" spans="1:3" ht="15.75" customHeight="1" x14ac:dyDescent="0.25">
      <c r="A7166" s="2" t="s">
        <v>7168</v>
      </c>
      <c r="B7166" s="3" t="s">
        <v>4</v>
      </c>
      <c r="C7166" s="2" t="str">
        <f ca="1">IFERROR(__xludf.DUMMYFUNCTION("GOOGLETRANSLATE(A7166,""bn"",""en"")"),"Good enough for concerts")</f>
        <v>Good enough for concerts</v>
      </c>
    </row>
    <row r="7167" spans="1:3" ht="15.75" customHeight="1" x14ac:dyDescent="0.25">
      <c r="A7167" s="2" t="s">
        <v>7169</v>
      </c>
      <c r="B7167" s="3" t="s">
        <v>4</v>
      </c>
      <c r="C7167" s="2" t="str">
        <f ca="1">IFERROR(__xludf.DUMMYFUNCTION("GOOGLETRANSLATE(A7167,""bn"",""en"")"),"Each layer of the shelf is very strong and durable")</f>
        <v>Each layer of the shelf is very strong and durable</v>
      </c>
    </row>
    <row r="7168" spans="1:3" ht="15.75" customHeight="1" x14ac:dyDescent="0.25">
      <c r="A7168" s="2" t="s">
        <v>7170</v>
      </c>
      <c r="B7168" s="3" t="s">
        <v>6</v>
      </c>
      <c r="C7168" s="2" t="str">
        <f ca="1">IFERROR(__xludf.DUMMYFUNCTION("GOOGLETRANSLATE(A7168,""bn"",""en"")"),"Hair oil makes my hair greasy and weigh it down")</f>
        <v>Hair oil makes my hair greasy and weigh it down</v>
      </c>
    </row>
    <row r="7169" spans="1:3" ht="15.75" customHeight="1" x14ac:dyDescent="0.25">
      <c r="A7169" s="2" t="s">
        <v>7171</v>
      </c>
      <c r="B7169" s="3" t="s">
        <v>6</v>
      </c>
      <c r="C7169" s="2" t="str">
        <f ca="1">IFERROR(__xludf.DUMMYFUNCTION("GOOGLETRANSLATE(A7169,""bn"",""en"")"),"Poor packaging Damaged books Disappointing delivery")</f>
        <v>Poor packaging Damaged books Disappointing delivery</v>
      </c>
    </row>
    <row r="7170" spans="1:3" ht="15.75" customHeight="1" x14ac:dyDescent="0.25">
      <c r="A7170" s="2" t="s">
        <v>7172</v>
      </c>
      <c r="B7170" s="3" t="s">
        <v>4</v>
      </c>
      <c r="C7170" s="2" t="str">
        <f ca="1">IFERROR(__xludf.DUMMYFUNCTION("GOOGLETRANSLATE(A7170,""bn"",""en"")"),"The cups that come with this set are excellent, comfortable to hold and perfect for drinking hot drinks")</f>
        <v>The cups that come with this set are excellent, comfortable to hold and perfect for drinking hot drinks</v>
      </c>
    </row>
    <row r="7171" spans="1:3" ht="15.75" customHeight="1" x14ac:dyDescent="0.25">
      <c r="A7171" s="2" t="s">
        <v>7173</v>
      </c>
      <c r="B7171" s="3" t="s">
        <v>4</v>
      </c>
      <c r="C7171" s="2" t="str">
        <f ca="1">IFERROR(__xludf.DUMMYFUNCTION("GOOGLETRANSLATE(A7171,""bn"",""en"")"),"Genuine high speed charger for a great price")</f>
        <v>Genuine high speed charger for a great price</v>
      </c>
    </row>
    <row r="7172" spans="1:3" ht="15.75" customHeight="1" x14ac:dyDescent="0.25">
      <c r="A7172" s="2" t="s">
        <v>7174</v>
      </c>
      <c r="B7172" s="3" t="s">
        <v>2</v>
      </c>
      <c r="C7172" s="2" t="str">
        <f ca="1">IFERROR(__xludf.DUMMYFUNCTION("GOOGLETRANSLATE(A7172,""bn"",""en"")"),"Medium size torch light")</f>
        <v>Medium size torch light</v>
      </c>
    </row>
    <row r="7173" spans="1:3" ht="15.75" customHeight="1" x14ac:dyDescent="0.25">
      <c r="A7173" s="2" t="s">
        <v>7175</v>
      </c>
      <c r="B7173" s="3" t="s">
        <v>6</v>
      </c>
      <c r="C7173" s="2" t="str">
        <f ca="1">IFERROR(__xludf.DUMMYFUNCTION("GOOGLETRANSLATE(A7173,""bn"",""en"")"),"The handle of the electric kettle feels unstable when pouring loose")</f>
        <v>The handle of the electric kettle feels unstable when pouring loose</v>
      </c>
    </row>
    <row r="7174" spans="1:3" ht="15.75" customHeight="1" x14ac:dyDescent="0.25">
      <c r="A7174" s="2" t="s">
        <v>7176</v>
      </c>
      <c r="B7174" s="3" t="s">
        <v>6</v>
      </c>
      <c r="C7174" s="2" t="str">
        <f ca="1">IFERROR(__xludf.DUMMYFUNCTION("GOOGLETRANSLATE(A7174,""bn"",""en"")"),"  The handles are poorly reinforced and are starting to tear away from the main body")</f>
        <v xml:space="preserve">  The handles are poorly reinforced and are starting to tear away from the main body</v>
      </c>
    </row>
    <row r="7175" spans="1:3" ht="15.75" customHeight="1" x14ac:dyDescent="0.25">
      <c r="A7175" s="2" t="s">
        <v>7177</v>
      </c>
      <c r="B7175" s="3" t="s">
        <v>4</v>
      </c>
      <c r="C7175" s="2" t="str">
        <f ca="1">IFERROR(__xludf.DUMMYFUNCTION("GOOGLETRANSLATE(A7175,""bn"",""en"")"),"The TV unit has a cable management system")</f>
        <v>The TV unit has a cable management system</v>
      </c>
    </row>
    <row r="7176" spans="1:3" ht="15.75" customHeight="1" x14ac:dyDescent="0.25">
      <c r="A7176" s="2" t="s">
        <v>7178</v>
      </c>
      <c r="B7176" s="3" t="s">
        <v>2</v>
      </c>
      <c r="C7176" s="2" t="str">
        <f ca="1">IFERROR(__xludf.DUMMYFUNCTION("GOOGLETRANSLATE(A7176,""bn"",""en"")"),"Good protection coverage but reliability may be somewhat limited")</f>
        <v>Good protection coverage but reliability may be somewhat limited</v>
      </c>
    </row>
    <row r="7177" spans="1:3" ht="15.75" customHeight="1" x14ac:dyDescent="0.25">
      <c r="A7177" s="2" t="s">
        <v>7179</v>
      </c>
      <c r="B7177" s="3" t="s">
        <v>4</v>
      </c>
      <c r="C7177" s="2" t="str">
        <f ca="1">IFERROR(__xludf.DUMMYFUNCTION("GOOGLETRANSLATE(A7177,""bn"",""en"")"),"Perfect for decorating the house in various festivals")</f>
        <v>Perfect for decorating the house in various festivals</v>
      </c>
    </row>
    <row r="7178" spans="1:3" ht="15.75" customHeight="1" x14ac:dyDescent="0.25">
      <c r="A7178" s="2" t="s">
        <v>7180</v>
      </c>
      <c r="B7178" s="3" t="s">
        <v>4</v>
      </c>
      <c r="C7178" s="2" t="str">
        <f ca="1">IFERROR(__xludf.DUMMYFUNCTION("GOOGLETRANSLATE(A7178,""bn"",""en"")"),"The wood finish is very nice and smooth")</f>
        <v>The wood finish is very nice and smooth</v>
      </c>
    </row>
    <row r="7179" spans="1:3" ht="15.75" customHeight="1" x14ac:dyDescent="0.25">
      <c r="A7179" s="2" t="s">
        <v>7181</v>
      </c>
      <c r="B7179" s="3" t="s">
        <v>2</v>
      </c>
      <c r="C7179" s="2" t="str">
        <f ca="1">IFERROR(__xludf.DUMMYFUNCTION("GOOGLETRANSLATE(A7179,""bn"",""en"")"),"Cleans easily but scratches easily")</f>
        <v>Cleans easily but scratches easily</v>
      </c>
    </row>
    <row r="7180" spans="1:3" ht="15.75" customHeight="1" x14ac:dyDescent="0.25">
      <c r="A7180" s="2" t="s">
        <v>7182</v>
      </c>
      <c r="B7180" s="3" t="s">
        <v>4</v>
      </c>
      <c r="C7180" s="2" t="str">
        <f ca="1">IFERROR(__xludf.DUMMYFUNCTION("GOOGLETRANSLATE(A7180,""bn"",""en"")"),"The storage bag that comes with the set is very handy as it helps keep the pillows clean and organized")</f>
        <v>The storage bag that comes with the set is very handy as it helps keep the pillows clean and organized</v>
      </c>
    </row>
    <row r="7181" spans="1:3" ht="15.75" customHeight="1" x14ac:dyDescent="0.25">
      <c r="A7181" s="2" t="s">
        <v>7183</v>
      </c>
      <c r="B7181" s="3" t="s">
        <v>6</v>
      </c>
      <c r="C7181" s="2" t="str">
        <f ca="1">IFERROR(__xludf.DUMMYFUNCTION("GOOGLETRANSLATE(A7181,""bn"",""en"")"),"The paintbrushes were too stiff making blending difficult")</f>
        <v>The paintbrushes were too stiff making blending difficult</v>
      </c>
    </row>
    <row r="7182" spans="1:3" ht="15.75" customHeight="1" x14ac:dyDescent="0.25">
      <c r="A7182" s="2" t="s">
        <v>7184</v>
      </c>
      <c r="B7182" s="3" t="s">
        <v>2</v>
      </c>
      <c r="C7182" s="2" t="str">
        <f ca="1">IFERROR(__xludf.DUMMYFUNCTION("GOOGLETRANSLATE(A7182,""bn"",""en"")"),"Pocket laser distance meter measures distance but is obscured by sunlight")</f>
        <v>Pocket laser distance meter measures distance but is obscured by sunlight</v>
      </c>
    </row>
    <row r="7183" spans="1:3" ht="15.75" customHeight="1" x14ac:dyDescent="0.25">
      <c r="A7183" s="2" t="s">
        <v>7185</v>
      </c>
      <c r="B7183" s="3" t="s">
        <v>4</v>
      </c>
      <c r="C7183" s="2" t="str">
        <f ca="1">IFERROR(__xludf.DUMMYFUNCTION("GOOGLETRANSLATE(A7183,""bn"",""en"")"),"The design of this AC is very modern and beautiful it has enhanced the beauty of my room")</f>
        <v>The design of this AC is very modern and beautiful it has enhanced the beauty of my room</v>
      </c>
    </row>
    <row r="7184" spans="1:3" ht="15.75" customHeight="1" x14ac:dyDescent="0.25">
      <c r="A7184" s="2" t="s">
        <v>7186</v>
      </c>
      <c r="B7184" s="3" t="s">
        <v>4</v>
      </c>
      <c r="C7184" s="2" t="str">
        <f ca="1">IFERROR(__xludf.DUMMYFUNCTION("GOOGLETRANSLATE(A7184,""bn"",""en"")"),"It is just as effective as a normal pad")</f>
        <v>It is just as effective as a normal pad</v>
      </c>
    </row>
    <row r="7185" spans="1:3" ht="15.75" customHeight="1" x14ac:dyDescent="0.25">
      <c r="A7185" s="2" t="s">
        <v>7187</v>
      </c>
      <c r="B7185" s="3" t="s">
        <v>2</v>
      </c>
      <c r="C7185" s="2" t="str">
        <f ca="1">IFERROR(__xludf.DUMMYFUNCTION("GOOGLETRANSLATE(A7185,""bn"",""en"")"),"Stylish clothes but not comfortable")</f>
        <v>Stylish clothes but not comfortable</v>
      </c>
    </row>
    <row r="7186" spans="1:3" ht="15.75" customHeight="1" x14ac:dyDescent="0.25">
      <c r="A7186" s="2" t="s">
        <v>7188</v>
      </c>
      <c r="B7186" s="3" t="s">
        <v>6</v>
      </c>
      <c r="C7186" s="2" t="str">
        <f ca="1">IFERROR(__xludf.DUMMYFUNCTION("GOOGLETRANSLATE(A7186,""bn"",""en"")"),"The laptop screen flickers occasionally causing eye strain")</f>
        <v>The laptop screen flickers occasionally causing eye strain</v>
      </c>
    </row>
    <row r="7187" spans="1:3" ht="15.75" customHeight="1" x14ac:dyDescent="0.25">
      <c r="A7187" s="2" t="s">
        <v>7189</v>
      </c>
      <c r="B7187" s="3" t="s">
        <v>6</v>
      </c>
      <c r="C7187" s="2" t="str">
        <f ca="1">IFERROR(__xludf.DUMMYFUNCTION("GOOGLETRANSLATE(A7187,""bn"",""en"")"),"The packaged sushi was dry and lacked flavor tasted nothing like fresh sushi")</f>
        <v>The packaged sushi was dry and lacked flavor tasted nothing like fresh sushi</v>
      </c>
    </row>
    <row r="7188" spans="1:3" ht="15.75" customHeight="1" x14ac:dyDescent="0.25">
      <c r="A7188" s="2" t="s">
        <v>7190</v>
      </c>
      <c r="B7188" s="3" t="s">
        <v>2</v>
      </c>
      <c r="C7188" s="2" t="str">
        <f ca="1">IFERROR(__xludf.DUMMYFUNCTION("GOOGLETRANSLATE(A7188,""bn"",""en"")"),"The size of the tea leaves is medium")</f>
        <v>The size of the tea leaves is medium</v>
      </c>
    </row>
    <row r="7189" spans="1:3" ht="15.75" customHeight="1" x14ac:dyDescent="0.25">
      <c r="A7189" s="2" t="s">
        <v>7191</v>
      </c>
      <c r="B7189" s="3" t="s">
        <v>4</v>
      </c>
      <c r="C7189" s="2" t="str">
        <f ca="1">IFERROR(__xludf.DUMMYFUNCTION("GOOGLETRANSLATE(A7189,""bn"",""en"")"),"This is a very good product for me")</f>
        <v>This is a very good product for me</v>
      </c>
    </row>
    <row r="7190" spans="1:3" ht="15.75" customHeight="1" x14ac:dyDescent="0.25">
      <c r="A7190" s="2" t="s">
        <v>7192</v>
      </c>
      <c r="B7190" s="3" t="s">
        <v>2</v>
      </c>
      <c r="C7190" s="2" t="str">
        <f ca="1">IFERROR(__xludf.DUMMYFUNCTION("GOOGLETRANSLATE(A7190,""bn"",""en"")"),"Tasty but very thick would have been better if it was a bit lighter")</f>
        <v>Tasty but very thick would have been better if it was a bit lighter</v>
      </c>
    </row>
    <row r="7191" spans="1:3" ht="15.75" customHeight="1" x14ac:dyDescent="0.25">
      <c r="A7191" s="2" t="s">
        <v>7193</v>
      </c>
      <c r="B7191" s="3" t="s">
        <v>2</v>
      </c>
      <c r="C7191" s="2" t="str">
        <f ca="1">IFERROR(__xludf.DUMMYFUNCTION("GOOGLETRANSLATE(A7191,""bn"",""en"")"),"Works but not very well")</f>
        <v>Works but not very well</v>
      </c>
    </row>
    <row r="7192" spans="1:3" ht="15.75" customHeight="1" x14ac:dyDescent="0.25">
      <c r="A7192" s="2" t="s">
        <v>7194</v>
      </c>
      <c r="B7192" s="3" t="s">
        <v>2</v>
      </c>
      <c r="C7192" s="2" t="str">
        <f ca="1">IFERROR(__xludf.DUMMYFUNCTION("GOOGLETRANSLATE(A7192,""bn"",""en"")"),"Simple but not exceptional")</f>
        <v>Simple but not exceptional</v>
      </c>
    </row>
    <row r="7193" spans="1:3" ht="15.75" customHeight="1" x14ac:dyDescent="0.25">
      <c r="A7193" s="2" t="s">
        <v>7195</v>
      </c>
      <c r="B7193" s="3" t="s">
        <v>4</v>
      </c>
      <c r="C7193" s="2" t="str">
        <f ca="1">IFERROR(__xludf.DUMMYFUNCTION("GOOGLETRANSLATE(A7193,""bn"",""en"")"),"I like Talpakha a lot ")</f>
        <v xml:space="preserve">I like Talpakha a lot </v>
      </c>
    </row>
    <row r="7194" spans="1:3" ht="15.75" customHeight="1" x14ac:dyDescent="0.25">
      <c r="A7194" s="2" t="s">
        <v>7196</v>
      </c>
      <c r="B7194" s="3" t="s">
        <v>6</v>
      </c>
      <c r="C7194" s="2" t="str">
        <f ca="1">IFERROR(__xludf.DUMMYFUNCTION("GOOGLETRANSLATE(A7194,""bn"",""en"")"),"The flavor was weak and thin even when brewed at full strength")</f>
        <v>The flavor was weak and thin even when brewed at full strength</v>
      </c>
    </row>
    <row r="7195" spans="1:3" ht="15.75" customHeight="1" x14ac:dyDescent="0.25">
      <c r="A7195" s="2" t="s">
        <v>7197</v>
      </c>
      <c r="B7195" s="3" t="s">
        <v>2</v>
      </c>
      <c r="C7195" s="2" t="str">
        <f ca="1">IFERROR(__xludf.DUMMYFUNCTION("GOOGLETRANSLATE(A7195,""bn"",""en"")"),"Pleasant experience with some minor inconveniences")</f>
        <v>Pleasant experience with some minor inconveniences</v>
      </c>
    </row>
    <row r="7196" spans="1:3" ht="15.75" customHeight="1" x14ac:dyDescent="0.25">
      <c r="A7196" s="2" t="s">
        <v>7198</v>
      </c>
      <c r="B7196" s="3" t="s">
        <v>4</v>
      </c>
      <c r="C7196" s="2" t="str">
        <f ca="1">IFERROR(__xludf.DUMMYFUNCTION("GOOGLETRANSLATE(A7196,""bn"",""en"")"),"It is very nice to take pictures with the new mobile camera")</f>
        <v>It is very nice to take pictures with the new mobile camera</v>
      </c>
    </row>
    <row r="7197" spans="1:3" ht="15.75" customHeight="1" x14ac:dyDescent="0.25">
      <c r="A7197" s="2" t="s">
        <v>7199</v>
      </c>
      <c r="B7197" s="3" t="s">
        <v>2</v>
      </c>
      <c r="C7197" s="2" t="str">
        <f ca="1">IFERROR(__xludf.DUMMYFUNCTION("GOOGLETRANSLATE(A7197,""bn"",""en"")"),"It looks okay but nothing special about it")</f>
        <v>It looks okay but nothing special about it</v>
      </c>
    </row>
    <row r="7198" spans="1:3" ht="15.75" customHeight="1" x14ac:dyDescent="0.25">
      <c r="A7198" s="2" t="s">
        <v>7200</v>
      </c>
      <c r="B7198" s="3" t="s">
        <v>2</v>
      </c>
      <c r="C7198" s="2" t="str">
        <f ca="1">IFERROR(__xludf.DUMMYFUNCTION("GOOGLETRANSLATE(A7198,""bn"",""en"")"),"Pretty good but needs improvement in some areas")</f>
        <v>Pretty good but needs improvement in some areas</v>
      </c>
    </row>
    <row r="7199" spans="1:3" ht="15.75" customHeight="1" x14ac:dyDescent="0.25">
      <c r="A7199" s="2" t="s">
        <v>7201</v>
      </c>
      <c r="B7199" s="3" t="s">
        <v>2</v>
      </c>
      <c r="C7199" s="2" t="str">
        <f ca="1">IFERROR(__xludf.DUMMYFUNCTION("GOOGLETRANSLATE(A7199,""bn"",""en"")"),"The smell disappears within a certain period of time")</f>
        <v>The smell disappears within a certain period of time</v>
      </c>
    </row>
    <row r="7200" spans="1:3" ht="15.75" customHeight="1" x14ac:dyDescent="0.25">
      <c r="A7200" s="2" t="s">
        <v>7202</v>
      </c>
      <c r="B7200" s="3" t="s">
        <v>2</v>
      </c>
      <c r="C7200" s="2" t="str">
        <f ca="1">IFERROR(__xludf.DUMMYFUNCTION("GOOGLETRANSLATE(A7200,""bn"",""en"")"),"For the price these headphones are good quality but not fault free")</f>
        <v>For the price these headphones are good quality but not fault free</v>
      </c>
    </row>
    <row r="7201" spans="1:3" ht="15.75" customHeight="1" x14ac:dyDescent="0.25">
      <c r="A7201" s="2" t="s">
        <v>7203</v>
      </c>
      <c r="B7201" s="3" t="s">
        <v>4</v>
      </c>
      <c r="C7201" s="2" t="str">
        <f ca="1">IFERROR(__xludf.DUMMYFUNCTION("GOOGLETRANSLATE(A7201,""bn"",""en"")"),"Personal opinion is very nice ")</f>
        <v xml:space="preserve">Personal opinion is very nice </v>
      </c>
    </row>
    <row r="7202" spans="1:3" ht="15.75" customHeight="1" x14ac:dyDescent="0.25">
      <c r="A7202" s="2" t="s">
        <v>7204</v>
      </c>
      <c r="B7202" s="3" t="s">
        <v>2</v>
      </c>
      <c r="C7202" s="2" t="str">
        <f ca="1">IFERROR(__xludf.DUMMYFUNCTION("GOOGLETRANSLATE(A7202,""bn"",""en"")"),"Cleans the screen but is less effective on the keyboard")</f>
        <v>Cleans the screen but is less effective on the keyboard</v>
      </c>
    </row>
    <row r="7203" spans="1:3" ht="15.75" customHeight="1" x14ac:dyDescent="0.25">
      <c r="A7203" s="2" t="s">
        <v>7205</v>
      </c>
      <c r="B7203" s="3" t="s">
        <v>4</v>
      </c>
      <c r="C7203" s="2" t="str">
        <f ca="1">IFERROR(__xludf.DUMMYFUNCTION("GOOGLETRANSLATE(A7203,""bn"",""en"")"),"The cut of the dress is perfect")</f>
        <v>The cut of the dress is perfect</v>
      </c>
    </row>
    <row r="7204" spans="1:3" ht="15.75" customHeight="1" x14ac:dyDescent="0.25">
      <c r="A7204" s="2" t="s">
        <v>7206</v>
      </c>
      <c r="B7204" s="3" t="s">
        <v>6</v>
      </c>
      <c r="C7204" s="2" t="str">
        <f ca="1">IFERROR(__xludf.DUMMYFUNCTION("GOOGLETRANSLATE(A7204,""bn"",""en"")"),"The design of the tea set was unpleasant and outdated")</f>
        <v>The design of the tea set was unpleasant and outdated</v>
      </c>
    </row>
    <row r="7205" spans="1:3" ht="15.75" customHeight="1" x14ac:dyDescent="0.25">
      <c r="A7205" s="2" t="s">
        <v>7207</v>
      </c>
      <c r="B7205" s="3" t="s">
        <v>6</v>
      </c>
      <c r="C7205" s="2" t="str">
        <f ca="1">IFERROR(__xludf.DUMMYFUNCTION("GOOGLETRANSLATE(A7205,""bn"",""en"")"),"Wear and tear is unacceptable after minimal use")</f>
        <v>Wear and tear is unacceptable after minimal use</v>
      </c>
    </row>
    <row r="7206" spans="1:3" ht="15.75" customHeight="1" x14ac:dyDescent="0.25">
      <c r="A7206" s="2" t="s">
        <v>7208</v>
      </c>
      <c r="B7206" s="3" t="s">
        <v>2</v>
      </c>
      <c r="C7206" s="2" t="str">
        <f ca="1">IFERROR(__xludf.DUMMYFUNCTION("GOOGLETRANSLATE(A7206,""bn"",""en"")"),"A bit of a struggle at times but that's okay")</f>
        <v>A bit of a struggle at times but that's okay</v>
      </c>
    </row>
    <row r="7207" spans="1:3" ht="15.75" customHeight="1" x14ac:dyDescent="0.25">
      <c r="A7207" s="2" t="s">
        <v>7209</v>
      </c>
      <c r="B7207" s="3" t="s">
        <v>2</v>
      </c>
      <c r="C7207" s="2" t="str">
        <f ca="1">IFERROR(__xludf.DUMMYFUNCTION("GOOGLETRANSLATE(A7207,""bn"",""en"")"),"The fertilizer was affordable but yield was not as expected")</f>
        <v>The fertilizer was affordable but yield was not as expected</v>
      </c>
    </row>
    <row r="7208" spans="1:3" ht="15.75" customHeight="1" x14ac:dyDescent="0.25">
      <c r="A7208" s="2" t="s">
        <v>7210</v>
      </c>
      <c r="B7208" s="3" t="s">
        <v>4</v>
      </c>
      <c r="C7208" s="2" t="str">
        <f ca="1">IFERROR(__xludf.DUMMYFUNCTION("GOOGLETRANSLATE(A7208,""bn"",""en"")"),"This shampoo restores natural shine to the hair")</f>
        <v>This shampoo restores natural shine to the hair</v>
      </c>
    </row>
    <row r="7209" spans="1:3" ht="15.75" customHeight="1" x14ac:dyDescent="0.25">
      <c r="A7209" s="2" t="s">
        <v>7211</v>
      </c>
      <c r="B7209" s="3" t="s">
        <v>2</v>
      </c>
      <c r="C7209" s="2" t="str">
        <f ca="1">IFERROR(__xludf.DUMMYFUNCTION("GOOGLETRANSLATE(A7209,""bn"",""en"")"),"Self-evident but not very obvious")</f>
        <v>Self-evident but not very obvious</v>
      </c>
    </row>
    <row r="7210" spans="1:3" ht="15.75" customHeight="1" x14ac:dyDescent="0.25">
      <c r="A7210" s="2" t="s">
        <v>7212</v>
      </c>
      <c r="B7210" s="3" t="s">
        <v>2</v>
      </c>
      <c r="C7210" s="2" t="str">
        <f ca="1">IFERROR(__xludf.DUMMYFUNCTION("GOOGLETRANSLATE(A7210,""bn"",""en"")"),"The bottle is blue in color with milliliter capacity")</f>
        <v>The bottle is blue in color with milliliter capacity</v>
      </c>
    </row>
    <row r="7211" spans="1:3" ht="15.75" customHeight="1" x14ac:dyDescent="0.25">
      <c r="A7211" s="2" t="s">
        <v>7213</v>
      </c>
      <c r="B7211" s="3" t="s">
        <v>4</v>
      </c>
      <c r="C7211" s="2" t="str">
        <f ca="1">IFERROR(__xludf.DUMMYFUNCTION("GOOGLETRANSLATE(A7211,""bn"",""en"")"),"There are trouser hangers inside the wardrobe")</f>
        <v>There are trouser hangers inside the wardrobe</v>
      </c>
    </row>
    <row r="7212" spans="1:3" ht="15.75" customHeight="1" x14ac:dyDescent="0.25">
      <c r="A7212" s="2" t="s">
        <v>7214</v>
      </c>
      <c r="B7212" s="3" t="s">
        <v>2</v>
      </c>
      <c r="C7212" s="2" t="str">
        <f ca="1">IFERROR(__xludf.DUMMYFUNCTION("GOOGLETRANSLATE(A7212,""bn"",""en"")"),"May not be suitable in strong light")</f>
        <v>May not be suitable in strong light</v>
      </c>
    </row>
    <row r="7213" spans="1:3" ht="15.75" customHeight="1" x14ac:dyDescent="0.25">
      <c r="A7213" s="2" t="s">
        <v>7215</v>
      </c>
      <c r="B7213" s="3" t="s">
        <v>4</v>
      </c>
      <c r="C7213" s="2" t="str">
        <f ca="1">IFERROR(__xludf.DUMMYFUNCTION("GOOGLETRANSLATE(A7213,""bn"",""en"")"),"The bed sheet was very nicely packaged which is also perfect for gifting")</f>
        <v>The bed sheet was very nicely packaged which is also perfect for gifting</v>
      </c>
    </row>
    <row r="7214" spans="1:3" ht="15.75" customHeight="1" x14ac:dyDescent="0.25">
      <c r="A7214" s="2" t="s">
        <v>7216</v>
      </c>
      <c r="B7214" s="3" t="s">
        <v>4</v>
      </c>
      <c r="C7214" s="2" t="str">
        <f ca="1">IFERROR(__xludf.DUMMYFUNCTION("GOOGLETRANSLATE(A7214,""bn"",""en"")"),"The school playground is very big and beautiful")</f>
        <v>The school playground is very big and beautiful</v>
      </c>
    </row>
    <row r="7215" spans="1:3" ht="15.75" customHeight="1" x14ac:dyDescent="0.25">
      <c r="A7215" s="2" t="s">
        <v>7217</v>
      </c>
      <c r="B7215" s="3" t="s">
        <v>2</v>
      </c>
      <c r="C7215" s="2" t="str">
        <f ca="1">IFERROR(__xludf.DUMMYFUNCTION("GOOGLETRANSLATE(A7215,""bn"",""en"")"),"The socks are somewhat comfortable but not extraordinary")</f>
        <v>The socks are somewhat comfortable but not extraordinary</v>
      </c>
    </row>
    <row r="7216" spans="1:3" ht="15.75" customHeight="1" x14ac:dyDescent="0.25">
      <c r="A7216" s="2" t="s">
        <v>7218</v>
      </c>
      <c r="B7216" s="3" t="s">
        <v>4</v>
      </c>
      <c r="C7216" s="2" t="str">
        <f ca="1">IFERROR(__xludf.DUMMYFUNCTION("GOOGLETRANSLATE(A7216,""bn"",""en"")"),"It ensures perfect makeup")</f>
        <v>It ensures perfect makeup</v>
      </c>
    </row>
    <row r="7217" spans="1:3" ht="15.75" customHeight="1" x14ac:dyDescent="0.25">
      <c r="A7217" s="2" t="s">
        <v>7219</v>
      </c>
      <c r="B7217" s="3" t="s">
        <v>2</v>
      </c>
      <c r="C7217" s="2" t="str">
        <f ca="1">IFERROR(__xludf.DUMMYFUNCTION("GOOGLETRANSLATE(A7217,""bn"",""en"")"),"Good value for money with one caveat")</f>
        <v>Good value for money with one caveat</v>
      </c>
    </row>
    <row r="7218" spans="1:3" ht="15.75" customHeight="1" x14ac:dyDescent="0.25">
      <c r="A7218" s="2" t="s">
        <v>7220</v>
      </c>
      <c r="B7218" s="3" t="s">
        <v>4</v>
      </c>
      <c r="C7218" s="2" t="str">
        <f ca="1">IFERROR(__xludf.DUMMYFUNCTION("GOOGLETRANSLATE(A7218,""bn"",""en"")"),"The best things come in small packages")</f>
        <v>The best things come in small packages</v>
      </c>
    </row>
    <row r="7219" spans="1:3" ht="15.75" customHeight="1" x14ac:dyDescent="0.25">
      <c r="A7219" s="2" t="s">
        <v>7221</v>
      </c>
      <c r="B7219" s="3" t="s">
        <v>2</v>
      </c>
      <c r="C7219" s="2" t="str">
        <f ca="1">IFERROR(__xludf.DUMMYFUNCTION("GOOGLETRANSLATE(A7219,""bn"",""en"")"),"So smart and simple but all ring sizes may not fit")</f>
        <v>So smart and simple but all ring sizes may not fit</v>
      </c>
    </row>
    <row r="7220" spans="1:3" ht="15.75" customHeight="1" x14ac:dyDescent="0.25">
      <c r="A7220" s="2" t="s">
        <v>7222</v>
      </c>
      <c r="B7220" s="3" t="s">
        <v>6</v>
      </c>
      <c r="C7220" s="2" t="str">
        <f ca="1">IFERROR(__xludf.DUMMYFUNCTION("GOOGLETRANSLATE(A7220,""bn"",""en"")"),"Sharpeners cannot be mounted on masonry walls")</f>
        <v>Sharpeners cannot be mounted on masonry walls</v>
      </c>
    </row>
    <row r="7221" spans="1:3" ht="15.75" customHeight="1" x14ac:dyDescent="0.25">
      <c r="A7221" s="2" t="s">
        <v>7223</v>
      </c>
      <c r="B7221" s="3" t="s">
        <v>2</v>
      </c>
      <c r="C7221" s="2" t="str">
        <f ca="1">IFERROR(__xludf.DUMMYFUNCTION("GOOGLETRANSLATE(A7221,""bn"",""en"")"),"A stand option is included")</f>
        <v>A stand option is included</v>
      </c>
    </row>
    <row r="7222" spans="1:3" ht="15.75" customHeight="1" x14ac:dyDescent="0.25">
      <c r="A7222" s="2" t="s">
        <v>7224</v>
      </c>
      <c r="B7222" s="3" t="s">
        <v>4</v>
      </c>
      <c r="C7222" s="2" t="str">
        <f ca="1">IFERROR(__xludf.DUMMYFUNCTION("GOOGLETRANSLATE(A7222,""bn"",""en"")"),"The binding of the book is very strong and of good quality")</f>
        <v>The binding of the book is very strong and of good quality</v>
      </c>
    </row>
    <row r="7223" spans="1:3" ht="15.75" customHeight="1" x14ac:dyDescent="0.25">
      <c r="A7223" s="2" t="s">
        <v>7225</v>
      </c>
      <c r="B7223" s="3" t="s">
        <v>6</v>
      </c>
      <c r="C7223" s="2" t="str">
        <f ca="1">IFERROR(__xludf.DUMMYFUNCTION("GOOGLETRANSLATE(A7223,""bn"",""en"")"),"The faulty automatic shutoff feature failed to engage as advertised")</f>
        <v>The faulty automatic shutoff feature failed to engage as advertised</v>
      </c>
    </row>
    <row r="7224" spans="1:3" ht="15.75" customHeight="1" x14ac:dyDescent="0.25">
      <c r="A7224" s="2" t="s">
        <v>7226</v>
      </c>
      <c r="B7224" s="3" t="s">
        <v>4</v>
      </c>
      <c r="C7224" s="2" t="str">
        <f ca="1">IFERROR(__xludf.DUMMYFUNCTION("GOOGLETRANSLATE(A7224,""bn"",""en"")"),"This body wash eliminates skin unevenness")</f>
        <v>This body wash eliminates skin unevenness</v>
      </c>
    </row>
    <row r="7225" spans="1:3" ht="15.75" customHeight="1" x14ac:dyDescent="0.25">
      <c r="A7225" s="2" t="s">
        <v>7227</v>
      </c>
      <c r="B7225" s="3" t="s">
        <v>4</v>
      </c>
      <c r="C7225" s="2" t="str">
        <f ca="1">IFERROR(__xludf.DUMMYFUNCTION("GOOGLETRANSLATE(A7225,""bn"",""en"")"),"The tube is comfortable to hold and easy to control")</f>
        <v>The tube is comfortable to hold and easy to control</v>
      </c>
    </row>
    <row r="7226" spans="1:3" ht="15.75" customHeight="1" x14ac:dyDescent="0.25">
      <c r="A7226" s="2" t="s">
        <v>7228</v>
      </c>
      <c r="B7226" s="3" t="s">
        <v>2</v>
      </c>
      <c r="C7226" s="2" t="str">
        <f ca="1">IFERROR(__xludf.DUMMYFUNCTION("GOOGLETRANSLATE(A7226,""bn"",""en"")"),"Affordable and almost consistent but not quite perfect")</f>
        <v>Affordable and almost consistent but not quite perfect</v>
      </c>
    </row>
    <row r="7227" spans="1:3" ht="15.75" customHeight="1" x14ac:dyDescent="0.25">
      <c r="A7227" s="2" t="s">
        <v>7229</v>
      </c>
      <c r="B7227" s="3" t="s">
        <v>4</v>
      </c>
      <c r="C7227" s="2" t="str">
        <f ca="1">IFERROR(__xludf.DUMMYFUNCTION("GOOGLETRANSLATE(A7227,""bn"",""en"")"),"Each item in the makeup kit is easy to use")</f>
        <v>Each item in the makeup kit is easy to use</v>
      </c>
    </row>
    <row r="7228" spans="1:3" ht="15.75" customHeight="1" x14ac:dyDescent="0.25">
      <c r="A7228" s="2" t="s">
        <v>7230</v>
      </c>
      <c r="B7228" s="3" t="s">
        <v>2</v>
      </c>
      <c r="C7228" s="2" t="str">
        <f ca="1">IFERROR(__xludf.DUMMYFUNCTION("GOOGLETRANSLATE(A7228,""bn"",""en"")"),"Should be washed and dried after use")</f>
        <v>Should be washed and dried after use</v>
      </c>
    </row>
    <row r="7229" spans="1:3" ht="15.75" customHeight="1" x14ac:dyDescent="0.25">
      <c r="A7229" s="2" t="s">
        <v>7231</v>
      </c>
      <c r="B7229" s="3" t="s">
        <v>4</v>
      </c>
      <c r="C7229" s="2" t="str">
        <f ca="1">IFERROR(__xludf.DUMMYFUNCTION("GOOGLETRANSLATE(A7229,""bn"",""en"")"),"We have a lot of fun during school sports")</f>
        <v>We have a lot of fun during school sports</v>
      </c>
    </row>
    <row r="7230" spans="1:3" ht="15.75" customHeight="1" x14ac:dyDescent="0.25">
      <c r="A7230" s="2" t="s">
        <v>7232</v>
      </c>
      <c r="B7230" s="3" t="s">
        <v>6</v>
      </c>
      <c r="C7230" s="2" t="str">
        <f ca="1">IFERROR(__xludf.DUMMYFUNCTION("GOOGLETRANSLATE(A7230,""bn"",""en"")"),"Feels flimsy and poorly made")</f>
        <v>Feels flimsy and poorly made</v>
      </c>
    </row>
    <row r="7231" spans="1:3" ht="15.75" customHeight="1" x14ac:dyDescent="0.25">
      <c r="A7231" s="2" t="s">
        <v>7233</v>
      </c>
      <c r="B7231" s="3" t="s">
        <v>6</v>
      </c>
      <c r="C7231" s="2" t="str">
        <f ca="1">IFERROR(__xludf.DUMMYFUNCTION("GOOGLETRANSLATE(A7231,""bn"",""en"")"),"  The spray has a synthetic artificial flavor that is overpowering and headache-inducing")</f>
        <v xml:space="preserve">  The spray has a synthetic artificial flavor that is overpowering and headache-inducing</v>
      </c>
    </row>
    <row r="7232" spans="1:3" ht="15.75" customHeight="1" x14ac:dyDescent="0.25">
      <c r="A7232" s="2" t="s">
        <v>7234</v>
      </c>
      <c r="B7232" s="3" t="s">
        <v>2</v>
      </c>
      <c r="C7232" s="2" t="str">
        <f ca="1">IFERROR(__xludf.DUMMYFUNCTION("GOOGLETRANSLATE(A7232,""bn"",""en"")"),"The shoelaces are durable but the color is not liked")</f>
        <v>The shoelaces are durable but the color is not liked</v>
      </c>
    </row>
    <row r="7233" spans="1:3" ht="15.75" customHeight="1" x14ac:dyDescent="0.25">
      <c r="A7233" s="2" t="s">
        <v>7235</v>
      </c>
      <c r="B7233" s="3" t="s">
        <v>6</v>
      </c>
      <c r="C7233" s="2" t="str">
        <f ca="1">IFERROR(__xludf.DUMMYFUNCTION("GOOGLETRANSLATE(A7233,""bn"",""en"")"),"    Buckles are flimsy and prone to breakage compromising safety")</f>
        <v xml:space="preserve">    Buckles are flimsy and prone to breakage compromising safety</v>
      </c>
    </row>
    <row r="7234" spans="1:3" ht="15.75" customHeight="1" x14ac:dyDescent="0.25">
      <c r="A7234" s="2" t="s">
        <v>7236</v>
      </c>
      <c r="B7234" s="3" t="s">
        <v>2</v>
      </c>
      <c r="C7234" s="2" t="str">
        <f ca="1">IFERROR(__xludf.DUMMYFUNCTION("GOOGLETRANSLATE(A7234,""bn"",""en"")"),"The puzzle mat helps to do the puzzle but is difficult to roll")</f>
        <v>The puzzle mat helps to do the puzzle but is difficult to roll</v>
      </c>
    </row>
    <row r="7235" spans="1:3" ht="15.75" customHeight="1" x14ac:dyDescent="0.25">
      <c r="A7235" s="2" t="s">
        <v>7237</v>
      </c>
      <c r="B7235" s="3" t="s">
        <v>4</v>
      </c>
      <c r="C7235" s="2" t="str">
        <f ca="1">IFERROR(__xludf.DUMMYFUNCTION("GOOGLETRANSLATE(A7235,""bn"",""en"")"),"These earrings have become an essential part of my outfit")</f>
        <v>These earrings have become an essential part of my outfit</v>
      </c>
    </row>
    <row r="7236" spans="1:3" ht="15.75" customHeight="1" x14ac:dyDescent="0.25">
      <c r="A7236" s="2" t="s">
        <v>7238</v>
      </c>
      <c r="B7236" s="3" t="s">
        <v>6</v>
      </c>
      <c r="C7236" s="2" t="str">
        <f ca="1">IFERROR(__xludf.DUMMYFUNCTION("GOOGLETRANSLATE(A7236,""bn"",""en"")"),"Confusing packaging Received two shampoos instead of shampoo and conditioner")</f>
        <v>Confusing packaging Received two shampoos instead of shampoo and conditioner</v>
      </c>
    </row>
    <row r="7237" spans="1:3" ht="15.75" customHeight="1" x14ac:dyDescent="0.25">
      <c r="A7237" s="2" t="s">
        <v>7239</v>
      </c>
      <c r="B7237" s="3" t="s">
        <v>6</v>
      </c>
      <c r="C7237" s="2" t="str">
        <f ca="1">IFERROR(__xludf.DUMMYFUNCTION("GOOGLETRANSLATE(A7237,""bn"",""en"")")," Wireless signals are prone to interference from nearby electronic devices, resulting in occasional connection problems")</f>
        <v xml:space="preserve"> Wireless signals are prone to interference from nearby electronic devices, resulting in occasional connection problems</v>
      </c>
    </row>
    <row r="7238" spans="1:3" ht="15.75" customHeight="1" x14ac:dyDescent="0.25">
      <c r="A7238" s="2" t="s">
        <v>7240</v>
      </c>
      <c r="B7238" s="3" t="s">
        <v>2</v>
      </c>
      <c r="C7238" s="2" t="str">
        <f ca="1">IFERROR(__xludf.DUMMYFUNCTION("GOOGLETRANSLATE(A7238,""bn"",""en"")"),"The handle is designed to resist slipping")</f>
        <v>The handle is designed to resist slipping</v>
      </c>
    </row>
    <row r="7239" spans="1:3" ht="15.75" customHeight="1" x14ac:dyDescent="0.25">
      <c r="A7239" s="2" t="s">
        <v>7241</v>
      </c>
      <c r="B7239" s="3" t="s">
        <v>2</v>
      </c>
      <c r="C7239" s="2" t="str">
        <f ca="1">IFERROR(__xludf.DUMMYFUNCTION("GOOGLETRANSLATE(A7239,""bn"",""en"")"),"The stitching of the bag is strong but the space is a bit small")</f>
        <v>The stitching of the bag is strong but the space is a bit small</v>
      </c>
    </row>
    <row r="7240" spans="1:3" ht="15.75" customHeight="1" x14ac:dyDescent="0.25">
      <c r="A7240" s="2" t="s">
        <v>7242</v>
      </c>
      <c r="B7240" s="3" t="s">
        <v>2</v>
      </c>
      <c r="C7240" s="2" t="str">
        <f ca="1">IFERROR(__xludf.DUMMYFUNCTION("GOOGLETRANSLATE(A7240,""bn"",""en"")"),"A package has some variety but the number of options is limited")</f>
        <v>A package has some variety but the number of options is limited</v>
      </c>
    </row>
    <row r="7241" spans="1:3" ht="15.75" customHeight="1" x14ac:dyDescent="0.25">
      <c r="A7241" s="2" t="s">
        <v>7243</v>
      </c>
      <c r="B7241" s="3" t="s">
        <v>2</v>
      </c>
      <c r="C7241" s="2" t="str">
        <f ca="1">IFERROR(__xludf.DUMMYFUNCTION("GOOGLETRANSLATE(A7241,""bn"",""en"")"),"Can be somewhat time consuming to use")</f>
        <v>Can be somewhat time consuming to use</v>
      </c>
    </row>
    <row r="7242" spans="1:3" ht="15.75" customHeight="1" x14ac:dyDescent="0.25">
      <c r="A7242" s="2" t="s">
        <v>7244</v>
      </c>
      <c r="B7242" s="3" t="s">
        <v>6</v>
      </c>
      <c r="C7242" s="2" t="str">
        <f ca="1">IFERROR(__xludf.DUMMYFUNCTION("GOOGLETRANSLATE(A7242,""bn"",""en"")"),"The flavor was very mild and barely discernible even with a prolonged steep")</f>
        <v>The flavor was very mild and barely discernible even with a prolonged steep</v>
      </c>
    </row>
    <row r="7243" spans="1:3" ht="15.75" customHeight="1" x14ac:dyDescent="0.25">
      <c r="A7243" s="2" t="s">
        <v>7245</v>
      </c>
      <c r="B7243" s="3" t="s">
        <v>6</v>
      </c>
      <c r="C7243" s="2" t="str">
        <f ca="1">IFERROR(__xludf.DUMMYFUNCTION("GOOGLETRANSLATE(A7243,""bn"",""en"")"),"Poor quality materials deteriorate quickly over time")</f>
        <v>Poor quality materials deteriorate quickly over time</v>
      </c>
    </row>
    <row r="7244" spans="1:3" ht="15.75" customHeight="1" x14ac:dyDescent="0.25">
      <c r="A7244" s="2" t="s">
        <v>7246</v>
      </c>
      <c r="B7244" s="3" t="s">
        <v>2</v>
      </c>
      <c r="C7244" s="2" t="str">
        <f ca="1">IFERROR(__xludf.DUMMYFUNCTION("GOOGLETRANSLATE(A7244,""bn"",""en"")"),"The cap is comfortable but not enough protection from the sun")</f>
        <v>The cap is comfortable but not enough protection from the sun</v>
      </c>
    </row>
    <row r="7245" spans="1:3" ht="15.75" customHeight="1" x14ac:dyDescent="0.25">
      <c r="A7245" s="2" t="s">
        <v>7247</v>
      </c>
      <c r="B7245" s="3" t="s">
        <v>6</v>
      </c>
      <c r="C7245" s="2" t="str">
        <f ca="1">IFERROR(__xludf.DUMMYFUNCTION("GOOGLETRANSLATE(A7245,""bn"",""en"")"),"Item performance was inconsistent")</f>
        <v>Item performance was inconsistent</v>
      </c>
    </row>
    <row r="7246" spans="1:3" ht="15.75" customHeight="1" x14ac:dyDescent="0.25">
      <c r="A7246" s="2" t="s">
        <v>7248</v>
      </c>
      <c r="B7246" s="3" t="s">
        <v>4</v>
      </c>
      <c r="C7246" s="2" t="str">
        <f ca="1">IFERROR(__xludf.DUMMYFUNCTION("GOOGLETRANSLATE(A7246,""bn"",""en"")"),"Smaller than expected but much better")</f>
        <v>Smaller than expected but much better</v>
      </c>
    </row>
    <row r="7247" spans="1:3" ht="15.75" customHeight="1" x14ac:dyDescent="0.25">
      <c r="A7247" s="2" t="s">
        <v>7249</v>
      </c>
      <c r="B7247" s="3" t="s">
        <v>4</v>
      </c>
      <c r="C7247" s="2" t="str">
        <f ca="1">IFERROR(__xludf.DUMMYFUNCTION("GOOGLETRANSLATE(A7247,""bn"",""en"")"),"Every drawer and cabinet opens and closes smoothly")</f>
        <v>Every drawer and cabinet opens and closes smoothly</v>
      </c>
    </row>
    <row r="7248" spans="1:3" ht="15.75" customHeight="1" x14ac:dyDescent="0.25">
      <c r="A7248" s="2" t="s">
        <v>7250</v>
      </c>
      <c r="B7248" s="3" t="s">
        <v>4</v>
      </c>
      <c r="C7248" s="2" t="str">
        <f ca="1">IFERROR(__xludf.DUMMYFUNCTION("GOOGLETRANSLATE(A7248,""bn"",""en"")"),"The love for flowers grows every day")</f>
        <v>The love for flowers grows every day</v>
      </c>
    </row>
    <row r="7249" spans="1:3" ht="15.75" customHeight="1" x14ac:dyDescent="0.25">
      <c r="A7249" s="2" t="s">
        <v>7251</v>
      </c>
      <c r="B7249" s="3" t="s">
        <v>4</v>
      </c>
      <c r="C7249" s="2" t="str">
        <f ca="1">IFERROR(__xludf.DUMMYFUNCTION("GOOGLETRANSLATE(A7249,""bn"",""en"")"),"The design of the shelf is very fashionable and modern")</f>
        <v>The design of the shelf is very fashionable and modern</v>
      </c>
    </row>
    <row r="7250" spans="1:3" ht="15.75" customHeight="1" x14ac:dyDescent="0.25">
      <c r="A7250" s="2" t="s">
        <v>7252</v>
      </c>
      <c r="B7250" s="3" t="s">
        <v>2</v>
      </c>
      <c r="C7250" s="2" t="str">
        <f ca="1">IFERROR(__xludf.DUMMYFUNCTION("GOOGLETRANSLATE(A7250,""bn"",""en"")"),"The electronic snoring stopper stops snoring but is uncomfortable to wear")</f>
        <v>The electronic snoring stopper stops snoring but is uncomfortable to wear</v>
      </c>
    </row>
    <row r="7251" spans="1:3" ht="15.75" customHeight="1" x14ac:dyDescent="0.25">
      <c r="A7251" s="2" t="s">
        <v>7253</v>
      </c>
      <c r="B7251" s="3" t="s">
        <v>2</v>
      </c>
      <c r="C7251" s="2" t="str">
        <f ca="1">IFERROR(__xludf.DUMMYFUNCTION("GOOGLETRANSLATE(A7251,""bn"",""en"")"),"Values ​​are average")</f>
        <v>Values ​​are average</v>
      </c>
    </row>
    <row r="7252" spans="1:3" ht="15.75" customHeight="1" x14ac:dyDescent="0.25">
      <c r="A7252" s="2" t="s">
        <v>7254</v>
      </c>
      <c r="B7252" s="3" t="s">
        <v>2</v>
      </c>
      <c r="C7252" s="2" t="str">
        <f ca="1">IFERROR(__xludf.DUMMYFUNCTION("GOOGLETRANSLATE(A7252,""bn"",""en"")"),"Excellent video quality may not meet all needs")</f>
        <v>Excellent video quality may not meet all needs</v>
      </c>
    </row>
    <row r="7253" spans="1:3" ht="15.75" customHeight="1" x14ac:dyDescent="0.25">
      <c r="A7253" s="2" t="s">
        <v>7255</v>
      </c>
      <c r="B7253" s="3" t="s">
        <v>2</v>
      </c>
      <c r="C7253" s="2" t="str">
        <f ca="1">IFERROR(__xludf.DUMMYFUNCTION("GOOGLETRANSLATE(A7253,""bn"",""en"")"),"Everything about the driver is good but he has behavior problems")</f>
        <v>Everything about the driver is good but he has behavior problems</v>
      </c>
    </row>
    <row r="7254" spans="1:3" ht="15.75" customHeight="1" x14ac:dyDescent="0.25">
      <c r="A7254" s="2" t="s">
        <v>7256</v>
      </c>
      <c r="B7254" s="3" t="s">
        <v>4</v>
      </c>
      <c r="C7254" s="2" t="str">
        <f ca="1">IFERROR(__xludf.DUMMYFUNCTION("GOOGLETRANSLATE(A7254,""bn"",""en"")"),"The shampoo makes the hair very soft and supple")</f>
        <v>The shampoo makes the hair very soft and supple</v>
      </c>
    </row>
    <row r="7255" spans="1:3" ht="15.75" customHeight="1" x14ac:dyDescent="0.25">
      <c r="A7255" s="2" t="s">
        <v>7257</v>
      </c>
      <c r="B7255" s="3" t="s">
        <v>4</v>
      </c>
      <c r="C7255" s="2" t="str">
        <f ca="1">IFERROR(__xludf.DUMMYFUNCTION("GOOGLETRANSLATE(A7255,""bn"",""en"")"),"The bookshelf holds all my books and showpieces")</f>
        <v>The bookshelf holds all my books and showpieces</v>
      </c>
    </row>
    <row r="7256" spans="1:3" ht="15.75" customHeight="1" x14ac:dyDescent="0.25">
      <c r="A7256" s="2" t="s">
        <v>7258</v>
      </c>
      <c r="B7256" s="3" t="s">
        <v>4</v>
      </c>
      <c r="C7256" s="2" t="str">
        <f ca="1">IFERROR(__xludf.DUMMYFUNCTION("GOOGLETRANSLATE(A7256,""bn"",""en"")"),"Wrapping is easy and comfortable")</f>
        <v>Wrapping is easy and comfortable</v>
      </c>
    </row>
    <row r="7257" spans="1:3" ht="15.75" customHeight="1" x14ac:dyDescent="0.25">
      <c r="A7257" s="2" t="s">
        <v>7259</v>
      </c>
      <c r="B7257" s="3" t="s">
        <v>2</v>
      </c>
      <c r="C7257" s="2" t="str">
        <f ca="1">IFERROR(__xludf.DUMMYFUNCTION("GOOGLETRANSLATE(A7257,""bn"",""en"")"),"Feelings are there but nothing special")</f>
        <v>Feelings are there but nothing special</v>
      </c>
    </row>
    <row r="7258" spans="1:3" ht="15.75" customHeight="1" x14ac:dyDescent="0.25">
      <c r="A7258" s="2" t="s">
        <v>7260</v>
      </c>
      <c r="B7258" s="3" t="s">
        <v>6</v>
      </c>
      <c r="C7258" s="2" t="str">
        <f ca="1">IFERROR(__xludf.DUMMYFUNCTION("GOOGLETRANSLATE(A7258,""bn"",""en"")"),"  The polish is very abrasive and left my skin red and irritated")</f>
        <v xml:space="preserve">  The polish is very abrasive and left my skin red and irritated</v>
      </c>
    </row>
    <row r="7259" spans="1:3" ht="15.75" customHeight="1" x14ac:dyDescent="0.25">
      <c r="A7259" s="2" t="s">
        <v>7261</v>
      </c>
      <c r="B7259" s="3" t="s">
        <v>2</v>
      </c>
      <c r="C7259" s="2" t="str">
        <f ca="1">IFERROR(__xludf.DUMMYFUNCTION("GOOGLETRANSLATE(A7259,""bn"",""en"")"),"The electronic wine aerator pump mixes wine but makes more noise")</f>
        <v>The electronic wine aerator pump mixes wine but makes more noise</v>
      </c>
    </row>
    <row r="7260" spans="1:3" ht="15.75" customHeight="1" x14ac:dyDescent="0.25">
      <c r="A7260" s="2" t="s">
        <v>7262</v>
      </c>
      <c r="B7260" s="3" t="s">
        <v>4</v>
      </c>
      <c r="C7260" s="2" t="str">
        <f ca="1">IFERROR(__xludf.DUMMYFUNCTION("GOOGLETRANSLATE(A7260,""bn"",""en"")"),"Every chapter of the new book is very interesting")</f>
        <v>Every chapter of the new book is very interesting</v>
      </c>
    </row>
    <row r="7261" spans="1:3" ht="15.75" customHeight="1" x14ac:dyDescent="0.25">
      <c r="A7261" s="2" t="s">
        <v>7263</v>
      </c>
      <c r="B7261" s="3" t="s">
        <v>6</v>
      </c>
      <c r="C7261" s="2" t="str">
        <f ca="1">IFERROR(__xludf.DUMMYFUNCTION("GOOGLETRANSLATE(A7261,""bn"",""en"")")," Interior lights flashing on and off randomly indicate a wiring problem")</f>
        <v xml:space="preserve"> Interior lights flashing on and off randomly indicate a wiring problem</v>
      </c>
    </row>
    <row r="7262" spans="1:3" ht="15.75" customHeight="1" x14ac:dyDescent="0.25">
      <c r="A7262" s="2" t="s">
        <v>7264</v>
      </c>
      <c r="B7262" s="3" t="s">
        <v>6</v>
      </c>
      <c r="C7262" s="2" t="str">
        <f ca="1">IFERROR(__xludf.DUMMYFUNCTION("GOOGLETRANSLATE(A7262,""bn"",""en"")"),"Corresponding disappointment is failure to meet expectations")</f>
        <v>Corresponding disappointment is failure to meet expectations</v>
      </c>
    </row>
    <row r="7263" spans="1:3" ht="15.75" customHeight="1" x14ac:dyDescent="0.25">
      <c r="A7263" s="2" t="s">
        <v>7265</v>
      </c>
      <c r="B7263" s="3" t="s">
        <v>6</v>
      </c>
      <c r="C7263" s="2" t="str">
        <f ca="1">IFERROR(__xludf.DUMMYFUNCTION("GOOGLETRANSLATE(A7263,""bn"",""en"")"),"Canvas material had a tendency to wrinkle when wet")</f>
        <v>Canvas material had a tendency to wrinkle when wet</v>
      </c>
    </row>
    <row r="7264" spans="1:3" ht="15.75" customHeight="1" x14ac:dyDescent="0.25">
      <c r="A7264" s="2" t="s">
        <v>7266</v>
      </c>
      <c r="B7264" s="3" t="s">
        <v>4</v>
      </c>
      <c r="C7264" s="2" t="str">
        <f ca="1">IFERROR(__xludf.DUMMYFUNCTION("GOOGLETRANSLATE(A7264,""bn"",""en"")"),"Becomes more familiar with time")</f>
        <v>Becomes more familiar with time</v>
      </c>
    </row>
    <row r="7265" spans="1:3" ht="15.75" customHeight="1" x14ac:dyDescent="0.25">
      <c r="A7265" s="2" t="s">
        <v>7267</v>
      </c>
      <c r="B7265" s="3" t="s">
        <v>2</v>
      </c>
      <c r="C7265" s="2" t="str">
        <f ca="1">IFERROR(__xludf.DUMMYFUNCTION("GOOGLETRANSLATE(A7265,""bn"",""en"")"),"Can be rotated but rotates very slowly")</f>
        <v>Can be rotated but rotates very slowly</v>
      </c>
    </row>
    <row r="7266" spans="1:3" ht="15.75" customHeight="1" x14ac:dyDescent="0.25">
      <c r="A7266" s="2" t="s">
        <v>7268</v>
      </c>
      <c r="B7266" s="3" t="s">
        <v>4</v>
      </c>
      <c r="C7266" s="2" t="str">
        <f ca="1">IFERROR(__xludf.DUMMYFUNCTION("GOOGLETRANSLATE(A7266,""bn"",""en"")"),"Easy to wash and easy to keep clean")</f>
        <v>Easy to wash and easy to keep clean</v>
      </c>
    </row>
    <row r="7267" spans="1:3" ht="15.75" customHeight="1" x14ac:dyDescent="0.25">
      <c r="A7267" s="2" t="s">
        <v>7269</v>
      </c>
      <c r="B7267" s="3" t="s">
        <v>4</v>
      </c>
      <c r="C7267" s="2" t="str">
        <f ca="1">IFERROR(__xludf.DUMMYFUNCTION("GOOGLETRANSLATE(A7267,""bn"",""en"")"),"The software of the mobile is very well optimized")</f>
        <v>The software of the mobile is very well optimized</v>
      </c>
    </row>
    <row r="7268" spans="1:3" ht="15.75" customHeight="1" x14ac:dyDescent="0.25">
      <c r="A7268" s="2" t="s">
        <v>7270</v>
      </c>
      <c r="B7268" s="3" t="s">
        <v>4</v>
      </c>
      <c r="C7268" s="2" t="str">
        <f ca="1">IFERROR(__xludf.DUMMYFUNCTION("GOOGLETRANSLATE(A7268,""bn"",""en"")"),"High quality design")</f>
        <v>High quality design</v>
      </c>
    </row>
    <row r="7269" spans="1:3" ht="15.75" customHeight="1" x14ac:dyDescent="0.25">
      <c r="A7269" s="2" t="s">
        <v>7271</v>
      </c>
      <c r="B7269" s="3" t="s">
        <v>2</v>
      </c>
      <c r="C7269" s="2" t="str">
        <f ca="1">IFERROR(__xludf.DUMMYFUNCTION("GOOGLETRANSLATE(A7269,""bn"",""en"")"),"The hanging process is fairly simple")</f>
        <v>The hanging process is fairly simple</v>
      </c>
    </row>
    <row r="7270" spans="1:3" ht="15.75" customHeight="1" x14ac:dyDescent="0.25">
      <c r="A7270" s="2" t="s">
        <v>7272</v>
      </c>
      <c r="B7270" s="3" t="s">
        <v>2</v>
      </c>
      <c r="C7270" s="2" t="str">
        <f ca="1">IFERROR(__xludf.DUMMYFUNCTION("GOOGLETRANSLATE(A7270,""bn"",""en"")"),"The first day was fine then some problems appeared")</f>
        <v>The first day was fine then some problems appeared</v>
      </c>
    </row>
    <row r="7271" spans="1:3" ht="15.75" customHeight="1" x14ac:dyDescent="0.25">
      <c r="A7271" s="2" t="s">
        <v>7273</v>
      </c>
      <c r="B7271" s="3" t="s">
        <v>2</v>
      </c>
      <c r="C7271" s="2" t="str">
        <f ca="1">IFERROR(__xludf.DUMMYFUNCTION("GOOGLETRANSLATE(A7271,""bn"",""en"")"),"Calculator buttons are small")</f>
        <v>Calculator buttons are small</v>
      </c>
    </row>
    <row r="7272" spans="1:3" ht="15.75" customHeight="1" x14ac:dyDescent="0.25">
      <c r="A7272" s="2" t="s">
        <v>7274</v>
      </c>
      <c r="B7272" s="3" t="s">
        <v>6</v>
      </c>
      <c r="C7272" s="2" t="str">
        <f ca="1">IFERROR(__xludf.DUMMYFUNCTION("GOOGLETRANSLATE(A7272,""bn"",""en"")"),"Using solar powered phone charger overheat is dangerous")</f>
        <v>Using solar powered phone charger overheat is dangerous</v>
      </c>
    </row>
    <row r="7273" spans="1:3" ht="15.75" customHeight="1" x14ac:dyDescent="0.25">
      <c r="A7273" s="2" t="s">
        <v>7275</v>
      </c>
      <c r="B7273" s="3" t="s">
        <v>6</v>
      </c>
      <c r="C7273" s="2" t="str">
        <f ca="1">IFERROR(__xludf.DUMMYFUNCTION("GOOGLETRANSLATE(A7273,""bn"",""en"")"),"Liquid eyeliner has a dry formula that avoids creasing and tugging the eyelids during application")</f>
        <v>Liquid eyeliner has a dry formula that avoids creasing and tugging the eyelids during application</v>
      </c>
    </row>
    <row r="7274" spans="1:3" ht="15.75" customHeight="1" x14ac:dyDescent="0.25">
      <c r="A7274" s="2" t="s">
        <v>7276</v>
      </c>
      <c r="B7274" s="3" t="s">
        <v>4</v>
      </c>
      <c r="C7274" s="2" t="str">
        <f ca="1">IFERROR(__xludf.DUMMYFUNCTION("GOOGLETRANSLATE(A7274,""bn"",""en"")")," From the review of the year, the words are very good ")</f>
        <v xml:space="preserve"> From the review of the year, the words are very good </v>
      </c>
    </row>
    <row r="7275" spans="1:3" ht="15.75" customHeight="1" x14ac:dyDescent="0.25">
      <c r="A7275" s="2" t="s">
        <v>7277</v>
      </c>
      <c r="B7275" s="3" t="s">
        <v>4</v>
      </c>
      <c r="C7275" s="2" t="str">
        <f ca="1">IFERROR(__xludf.DUMMYFUNCTION("GOOGLETRANSLATE(A7275,""bn"",""en"")"),"The packaging provides good protection")</f>
        <v>The packaging provides good protection</v>
      </c>
    </row>
    <row r="7276" spans="1:3" ht="15.75" customHeight="1" x14ac:dyDescent="0.25">
      <c r="A7276" s="2" t="s">
        <v>7278</v>
      </c>
      <c r="B7276" s="3" t="s">
        <v>4</v>
      </c>
      <c r="C7276" s="2" t="str">
        <f ca="1">IFERROR(__xludf.DUMMYFUNCTION("GOOGLETRANSLATE(A7276,""bn"",""en"")"),"The display of the mobile is so bright and clear")</f>
        <v>The display of the mobile is so bright and clear</v>
      </c>
    </row>
    <row r="7277" spans="1:3" ht="15.75" customHeight="1" x14ac:dyDescent="0.25">
      <c r="A7277" s="2" t="s">
        <v>7279</v>
      </c>
      <c r="B7277" s="3" t="s">
        <v>4</v>
      </c>
      <c r="C7277" s="2" t="str">
        <f ca="1">IFERROR(__xludf.DUMMYFUNCTION("GOOGLETRANSLATE(A7277,""bn"",""en"")"),"The best gaming headset on the market")</f>
        <v>The best gaming headset on the market</v>
      </c>
    </row>
    <row r="7278" spans="1:3" ht="15.75" customHeight="1" x14ac:dyDescent="0.25">
      <c r="A7278" s="2" t="s">
        <v>7280</v>
      </c>
      <c r="B7278" s="3" t="s">
        <v>6</v>
      </c>
      <c r="C7278" s="2" t="str">
        <f ca="1">IFERROR(__xludf.DUMMYFUNCTION("GOOGLETRANSLATE(A7278,""bn"",""en"")"),"Received a box full of cream instead of expected product")</f>
        <v>Received a box full of cream instead of expected product</v>
      </c>
    </row>
    <row r="7279" spans="1:3" ht="15.75" customHeight="1" x14ac:dyDescent="0.25">
      <c r="A7279" s="2" t="s">
        <v>7281</v>
      </c>
      <c r="B7279" s="3" t="s">
        <v>4</v>
      </c>
      <c r="C7279" s="2" t="str">
        <f ca="1">IFERROR(__xludf.DUMMYFUNCTION("GOOGLETRANSLATE(A7279,""bn"",""en"")"),"Using this body wash will make your skin more attractive")</f>
        <v>Using this body wash will make your skin more attractive</v>
      </c>
    </row>
    <row r="7280" spans="1:3" ht="15.75" customHeight="1" x14ac:dyDescent="0.25">
      <c r="A7280" s="2" t="s">
        <v>7282</v>
      </c>
      <c r="B7280" s="3" t="s">
        <v>2</v>
      </c>
      <c r="C7280" s="2" t="str">
        <f ca="1">IFERROR(__xludf.DUMMYFUNCTION("GOOGLETRANSLATE(A7280,""bn"",""en"")"),"Stackable but not very strong")</f>
        <v>Stackable but not very strong</v>
      </c>
    </row>
    <row r="7281" spans="1:3" ht="15.75" customHeight="1" x14ac:dyDescent="0.25">
      <c r="A7281" s="2" t="s">
        <v>7283</v>
      </c>
      <c r="B7281" s="3" t="s">
        <v>4</v>
      </c>
      <c r="C7281" s="2" t="str">
        <f ca="1">IFERROR(__xludf.DUMMYFUNCTION("GOOGLETRANSLATE(A7281,""bn"",""en"")"),"It works well")</f>
        <v>It works well</v>
      </c>
    </row>
    <row r="7282" spans="1:3" ht="15.75" customHeight="1" x14ac:dyDescent="0.25">
      <c r="A7282" s="2" t="s">
        <v>7284</v>
      </c>
      <c r="B7282" s="3" t="s">
        <v>6</v>
      </c>
      <c r="C7282" s="2" t="str">
        <f ca="1">IFERROR(__xludf.DUMMYFUNCTION("GOOGLETRANSLATE(A7282,""bn"",""en"")"),"Robotic pet feeder jam food gets stuck inside")</f>
        <v>Robotic pet feeder jam food gets stuck inside</v>
      </c>
    </row>
    <row r="7283" spans="1:3" ht="15.75" customHeight="1" x14ac:dyDescent="0.25">
      <c r="A7283" s="2" t="s">
        <v>7285</v>
      </c>
      <c r="B7283" s="3" t="s">
        <v>2</v>
      </c>
      <c r="C7283" s="2" t="str">
        <f ca="1">IFERROR(__xludf.DUMMYFUNCTION("GOOGLETRANSLATE(A7283,""bn"",""en"")"),"Great for the money for a few days to weeks of battery but not perfect")</f>
        <v>Great for the money for a few days to weeks of battery but not perfect</v>
      </c>
    </row>
    <row r="7284" spans="1:3" ht="15.75" customHeight="1" x14ac:dyDescent="0.25">
      <c r="A7284" s="2" t="s">
        <v>7286</v>
      </c>
      <c r="B7284" s="3" t="s">
        <v>2</v>
      </c>
      <c r="C7284" s="2" t="str">
        <f ca="1">IFERROR(__xludf.DUMMYFUNCTION("GOOGLETRANSLATE(A7284,""bn"",""en"")"),"The brush gets between the teeth")</f>
        <v>The brush gets between the teeth</v>
      </c>
    </row>
    <row r="7285" spans="1:3" ht="15.75" customHeight="1" x14ac:dyDescent="0.25">
      <c r="A7285" s="2" t="s">
        <v>7287</v>
      </c>
      <c r="B7285" s="3" t="s">
        <v>4</v>
      </c>
      <c r="C7285" s="2" t="str">
        <f ca="1">IFERROR(__xludf.DUMMYFUNCTION("GOOGLETRANSLATE(A7285,""bn"",""en"")"),"This clock enhances the beauty of the room")</f>
        <v>This clock enhances the beauty of the room</v>
      </c>
    </row>
    <row r="7286" spans="1:3" ht="15.75" customHeight="1" x14ac:dyDescent="0.25">
      <c r="A7286" s="2" t="s">
        <v>7288</v>
      </c>
      <c r="B7286" s="3" t="s">
        <v>2</v>
      </c>
      <c r="C7286" s="2" t="str">
        <f ca="1">IFERROR(__xludf.DUMMYFUNCTION("GOOGLETRANSLATE(A7286,""bn"",""en"")"),"Badminton bags are light but chains wear out quickly")</f>
        <v>Badminton bags are light but chains wear out quickly</v>
      </c>
    </row>
    <row r="7287" spans="1:3" ht="15.75" customHeight="1" x14ac:dyDescent="0.25">
      <c r="A7287" s="2" t="s">
        <v>7289</v>
      </c>
      <c r="B7287" s="3" t="s">
        <v>6</v>
      </c>
      <c r="C7287" s="2" t="str">
        <f ca="1">IFERROR(__xludf.DUMMYFUNCTION("GOOGLETRANSLATE(A7287,""bn"",""en"")"),"The item did not work as advertised disappointing the children")</f>
        <v>The item did not work as advertised disappointing the children</v>
      </c>
    </row>
    <row r="7288" spans="1:3" ht="15.75" customHeight="1" x14ac:dyDescent="0.25">
      <c r="A7288" s="2" t="s">
        <v>7290</v>
      </c>
      <c r="B7288" s="3" t="s">
        <v>4</v>
      </c>
      <c r="C7288" s="2" t="str">
        <f ca="1">IFERROR(__xludf.DUMMYFUNCTION("GOOGLETRANSLATE(A7288,""bn"",""en"")"),"The bookcase door hinges are very strong")</f>
        <v>The bookcase door hinges are very strong</v>
      </c>
    </row>
    <row r="7289" spans="1:3" ht="15.75" customHeight="1" x14ac:dyDescent="0.25">
      <c r="A7289" s="2" t="s">
        <v>7291</v>
      </c>
      <c r="B7289" s="3" t="s">
        <v>4</v>
      </c>
      <c r="C7289" s="2" t="str">
        <f ca="1">IFERROR(__xludf.DUMMYFUNCTION("GOOGLETRANSLATE(A7289,""bn"",""en"")"),"Using makeup brushes is creative")</f>
        <v>Using makeup brushes is creative</v>
      </c>
    </row>
    <row r="7290" spans="1:3" ht="15.75" customHeight="1" x14ac:dyDescent="0.25">
      <c r="A7290" s="2" t="s">
        <v>7292</v>
      </c>
      <c r="B7290" s="3" t="s">
        <v>2</v>
      </c>
      <c r="C7290" s="2" t="str">
        <f ca="1">IFERROR(__xludf.DUMMYFUNCTION("GOOGLETRANSLATE(A7290,""bn"",""en"")"),"The bottom of the tea is not very high")</f>
        <v>The bottom of the tea is not very high</v>
      </c>
    </row>
    <row r="7291" spans="1:3" ht="15.75" customHeight="1" x14ac:dyDescent="0.25">
      <c r="A7291" s="2" t="s">
        <v>7293</v>
      </c>
      <c r="B7291" s="3" t="s">
        <v>2</v>
      </c>
      <c r="C7291" s="2" t="str">
        <f ca="1">IFERROR(__xludf.DUMMYFUNCTION("GOOGLETRANSLATE(A7291,""bn"",""en"")"),"Not a great sharpener but just right")</f>
        <v>Not a great sharpener but just right</v>
      </c>
    </row>
    <row r="7292" spans="1:3" ht="15.75" customHeight="1" x14ac:dyDescent="0.25">
      <c r="A7292" s="2" t="s">
        <v>7294</v>
      </c>
      <c r="B7292" s="3" t="s">
        <v>4</v>
      </c>
      <c r="C7292" s="2" t="str">
        <f ca="1">IFERROR(__xludf.DUMMYFUNCTION("GOOGLETRANSLATE(A7292,""bn"",""en"")"),"Made in USA quality is satisfactory")</f>
        <v>Made in USA quality is satisfactory</v>
      </c>
    </row>
    <row r="7293" spans="1:3" ht="15.75" customHeight="1" x14ac:dyDescent="0.25">
      <c r="A7293" s="2" t="s">
        <v>7295</v>
      </c>
      <c r="B7293" s="3" t="s">
        <v>2</v>
      </c>
      <c r="C7293" s="2" t="str">
        <f ca="1">IFERROR(__xludf.DUMMYFUNCTION("GOOGLETRANSLATE(A7293,""bn"",""en"")"),"The consistency of the toothpaste is medium")</f>
        <v>The consistency of the toothpaste is medium</v>
      </c>
    </row>
    <row r="7294" spans="1:3" ht="15.75" customHeight="1" x14ac:dyDescent="0.25">
      <c r="A7294" s="2" t="s">
        <v>7296</v>
      </c>
      <c r="B7294" s="3" t="s">
        <v>4</v>
      </c>
      <c r="C7294" s="2" t="str">
        <f ca="1">IFERROR(__xludf.DUMMYFUNCTION("GOOGLETRANSLATE(A7294,""bn"",""en"")"),"great buy")</f>
        <v>great buy</v>
      </c>
    </row>
    <row r="7295" spans="1:3" ht="15.75" customHeight="1" x14ac:dyDescent="0.25">
      <c r="A7295" s="2" t="s">
        <v>7297</v>
      </c>
      <c r="B7295" s="3" t="s">
        <v>6</v>
      </c>
      <c r="C7295" s="2" t="str">
        <f ca="1">IFERROR(__xludf.DUMMYFUNCTION("GOOGLETRANSLATE(A7295,""bn"",""en"")"),"Overall satisfied with the product but dissatisfied with the recent delivery experience")</f>
        <v>Overall satisfied with the product but dissatisfied with the recent delivery experience</v>
      </c>
    </row>
    <row r="7296" spans="1:3" ht="15.75" customHeight="1" x14ac:dyDescent="0.25">
      <c r="A7296" s="2" t="s">
        <v>7298</v>
      </c>
      <c r="B7296" s="3" t="s">
        <v>6</v>
      </c>
      <c r="C7296" s="2" t="str">
        <f ca="1">IFERROR(__xludf.DUMMYFUNCTION("GOOGLETRANSLATE(A7296,""bn"",""en"")"),"  The sizing was inconsistent the waist was too tight and the bust too loose")</f>
        <v xml:space="preserve">  The sizing was inconsistent the waist was too tight and the bust too loose</v>
      </c>
    </row>
    <row r="7297" spans="1:3" ht="15.75" customHeight="1" x14ac:dyDescent="0.25">
      <c r="A7297" s="2" t="s">
        <v>7299</v>
      </c>
      <c r="B7297" s="3" t="s">
        <v>4</v>
      </c>
      <c r="C7297" s="2" t="str">
        <f ca="1">IFERROR(__xludf.DUMMYFUNCTION("GOOGLETRANSLATE(A7297,""bn"",""en"")"),"beautiful color")</f>
        <v>beautiful color</v>
      </c>
    </row>
    <row r="7298" spans="1:3" ht="15.75" customHeight="1" x14ac:dyDescent="0.25">
      <c r="A7298" s="2" t="s">
        <v>7300</v>
      </c>
      <c r="B7298" s="3" t="s">
        <v>2</v>
      </c>
      <c r="C7298" s="2" t="str">
        <f ca="1">IFERROR(__xludf.DUMMYFUNCTION("GOOGLETRANSLATE(A7298,""bn"",""en"")"),"Preset mode is somewhat limited")</f>
        <v>Preset mode is somewhat limited</v>
      </c>
    </row>
    <row r="7299" spans="1:3" ht="15.75" customHeight="1" x14ac:dyDescent="0.25">
      <c r="A7299" s="2" t="s">
        <v>7301</v>
      </c>
      <c r="B7299" s="3" t="s">
        <v>6</v>
      </c>
      <c r="C7299" s="2" t="str">
        <f ca="1">IFERROR(__xludf.DUMMYFUNCTION("GOOGLETRANSLATE(A7299,""bn"",""en"")"),"Noisy operation disturbs the peace of the kitchen")</f>
        <v>Noisy operation disturbs the peace of the kitchen</v>
      </c>
    </row>
    <row r="7300" spans="1:3" ht="15.75" customHeight="1" x14ac:dyDescent="0.25">
      <c r="A7300" s="2" t="s">
        <v>7302</v>
      </c>
      <c r="B7300" s="3" t="s">
        <v>4</v>
      </c>
      <c r="C7300" s="2" t="str">
        <f ca="1">IFERROR(__xludf.DUMMYFUNCTION("GOOGLETRANSLATE(A7300,""bn"",""en"")"),"The selfie camera of the device is amazing")</f>
        <v>The selfie camera of the device is amazing</v>
      </c>
    </row>
    <row r="7301" spans="1:3" ht="15.75" customHeight="1" x14ac:dyDescent="0.25">
      <c r="A7301" s="2" t="s">
        <v>7303</v>
      </c>
      <c r="B7301" s="3" t="s">
        <v>6</v>
      </c>
      <c r="C7301" s="2" t="str">
        <f ca="1">IFERROR(__xludf.DUMMYFUNCTION("GOOGLETRANSLATE(A7301,""bn"",""en"")"),"Eyeshadow primers are greasy and make eyeshadow crease within hours")</f>
        <v>Eyeshadow primers are greasy and make eyeshadow crease within hours</v>
      </c>
    </row>
    <row r="7302" spans="1:3" ht="15.75" customHeight="1" x14ac:dyDescent="0.25">
      <c r="A7302" s="2" t="s">
        <v>7304</v>
      </c>
      <c r="B7302" s="3" t="s">
        <v>4</v>
      </c>
      <c r="C7302" s="2" t="str">
        <f ca="1">IFERROR(__xludf.DUMMYFUNCTION("GOOGLETRANSLATE(A7302,""bn"",""en"")"),"I especially like the air flow system of these pillows as it reduces sweating at night")</f>
        <v>I especially like the air flow system of these pillows as it reduces sweating at night</v>
      </c>
    </row>
    <row r="7303" spans="1:3" ht="15.75" customHeight="1" x14ac:dyDescent="0.25">
      <c r="A7303" s="2" t="s">
        <v>7305</v>
      </c>
      <c r="B7303" s="3" t="s">
        <v>2</v>
      </c>
      <c r="C7303" s="2" t="str">
        <f ca="1">IFERROR(__xludf.DUMMYFUNCTION("GOOGLETRANSLATE(A7303,""bn"",""en"")"),"Helmets are durable but less breathable")</f>
        <v>Helmets are durable but less breathable</v>
      </c>
    </row>
    <row r="7304" spans="1:3" ht="15.75" customHeight="1" x14ac:dyDescent="0.25">
      <c r="A7304" s="2" t="s">
        <v>7306</v>
      </c>
      <c r="B7304" s="3" t="s">
        <v>6</v>
      </c>
      <c r="C7304" s="2" t="str">
        <f ca="1">IFERROR(__xludf.DUMMYFUNCTION("GOOGLETRANSLATE(A7304,""bn"",""en"")"),"Surprising especially for the price can't meet all needs")</f>
        <v>Surprising especially for the price can't meet all needs</v>
      </c>
    </row>
    <row r="7305" spans="1:3" ht="15.75" customHeight="1" x14ac:dyDescent="0.25">
      <c r="A7305" s="2" t="s">
        <v>7307</v>
      </c>
      <c r="B7305" s="3" t="s">
        <v>4</v>
      </c>
      <c r="C7305" s="2" t="str">
        <f ca="1">IFERROR(__xludf.DUMMYFUNCTION("GOOGLETRANSLATE(A7305,""bn"",""en"")"),"Packet includes roaster information and coffee profile")</f>
        <v>Packet includes roaster information and coffee profile</v>
      </c>
    </row>
    <row r="7306" spans="1:3" ht="15.75" customHeight="1" x14ac:dyDescent="0.25">
      <c r="A7306" s="2" t="s">
        <v>7308</v>
      </c>
      <c r="B7306" s="3" t="s">
        <v>2</v>
      </c>
      <c r="C7306" s="2" t="str">
        <f ca="1">IFERROR(__xludf.DUMMYFUNCTION("GOOGLETRANSLATE(A7306,""bn"",""en"")"),"Can be mixed easily")</f>
        <v>Can be mixed easily</v>
      </c>
    </row>
    <row r="7307" spans="1:3" ht="15.75" customHeight="1" x14ac:dyDescent="0.25">
      <c r="A7307" s="2" t="s">
        <v>7309</v>
      </c>
      <c r="B7307" s="3" t="s">
        <v>4</v>
      </c>
      <c r="C7307" s="2" t="str">
        <f ca="1">IFERROR(__xludf.DUMMYFUNCTION("GOOGLETRANSLATE(A7307,""bn"",""en"")"),"Responsiveness of the mobile is very good")</f>
        <v>Responsiveness of the mobile is very good</v>
      </c>
    </row>
    <row r="7308" spans="1:3" ht="15.75" customHeight="1" x14ac:dyDescent="0.25">
      <c r="A7308" s="2" t="s">
        <v>7310</v>
      </c>
      <c r="B7308" s="3" t="s">
        <v>2</v>
      </c>
      <c r="C7308" s="2" t="str">
        <f ca="1">IFERROR(__xludf.DUMMYFUNCTION("GOOGLETRANSLATE(A7308,""bn"",""en"")"),"The switch is designed to respond as desired")</f>
        <v>The switch is designed to respond as desired</v>
      </c>
    </row>
    <row r="7309" spans="1:3" ht="15.75" customHeight="1" x14ac:dyDescent="0.25">
      <c r="A7309" s="2" t="s">
        <v>7311</v>
      </c>
      <c r="B7309" s="3" t="s">
        <v>6</v>
      </c>
      <c r="C7309" s="2" t="str">
        <f ca="1">IFERROR(__xludf.DUMMYFUNCTION("GOOGLETRANSLATE(A7309,""bn"",""en"")"),"Accessing the battery compartment of the automatic soap dispenser is difficult and inconvenient")</f>
        <v>Accessing the battery compartment of the automatic soap dispenser is difficult and inconvenient</v>
      </c>
    </row>
    <row r="7310" spans="1:3" ht="15.75" customHeight="1" x14ac:dyDescent="0.25">
      <c r="A7310" s="2" t="s">
        <v>7312</v>
      </c>
      <c r="B7310" s="3" t="s">
        <v>6</v>
      </c>
      <c r="C7310" s="2" t="str">
        <f ca="1">IFERROR(__xludf.DUMMYFUNCTION("GOOGLETRANSLATE(A7310,""bn"",""en"")"),"Stay away from excess and poorly made")</f>
        <v>Stay away from excess and poorly made</v>
      </c>
    </row>
    <row r="7311" spans="1:3" ht="15.75" customHeight="1" x14ac:dyDescent="0.25">
      <c r="A7311" s="2" t="s">
        <v>7313</v>
      </c>
      <c r="B7311" s="3" t="s">
        <v>6</v>
      </c>
      <c r="C7311" s="2" t="str">
        <f ca="1">IFERROR(__xludf.DUMMYFUNCTION("GOOGLETRANSLATE(A7311,""bn"",""en"")"),"The smart thermostat's WiFi connection is unstable and frequently loses connection")</f>
        <v>The smart thermostat's WiFi connection is unstable and frequently loses connection</v>
      </c>
    </row>
    <row r="7312" spans="1:3" ht="15.75" customHeight="1" x14ac:dyDescent="0.25">
      <c r="A7312" s="2" t="s">
        <v>7314</v>
      </c>
      <c r="B7312" s="3" t="s">
        <v>6</v>
      </c>
      <c r="C7312" s="2" t="str">
        <f ca="1">IFERROR(__xludf.DUMMYFUNCTION("GOOGLETRANSLATE(A7312,""bn"",""en"")"),"The hair spray had a strong chemical smell which was unpleasant")</f>
        <v>The hair spray had a strong chemical smell which was unpleasant</v>
      </c>
    </row>
    <row r="7313" spans="1:3" ht="15.75" customHeight="1" x14ac:dyDescent="0.25">
      <c r="A7313" s="2" t="s">
        <v>7315</v>
      </c>
      <c r="B7313" s="3" t="s">
        <v>4</v>
      </c>
      <c r="C7313" s="2" t="str">
        <f ca="1">IFERROR(__xludf.DUMMYFUNCTION("GOOGLETRANSLATE(A7313,""bn"",""en"")"),"Easily transportable")</f>
        <v>Easily transportable</v>
      </c>
    </row>
    <row r="7314" spans="1:3" ht="15.75" customHeight="1" x14ac:dyDescent="0.25">
      <c r="A7314" s="2" t="s">
        <v>7316</v>
      </c>
      <c r="B7314" s="3" t="s">
        <v>4</v>
      </c>
      <c r="C7314" s="2" t="str">
        <f ca="1">IFERROR(__xludf.DUMMYFUNCTION("GOOGLETRANSLATE(A7314,""bn"",""en"")"),"The brush's bristles are soft yet firm to detangle without damaging hair")</f>
        <v>The brush's bristles are soft yet firm to detangle without damaging hair</v>
      </c>
    </row>
    <row r="7315" spans="1:3" ht="15.75" customHeight="1" x14ac:dyDescent="0.25">
      <c r="A7315" s="2" t="s">
        <v>7317</v>
      </c>
      <c r="B7315" s="3" t="s">
        <v>2</v>
      </c>
      <c r="C7315" s="2" t="str">
        <f ca="1">IFERROR(__xludf.DUMMYFUNCTION("GOOGLETRANSLATE(A7315,""bn"",""en"")"),"The yield of land increased slightly but there was no major change compared to earlier")</f>
        <v>The yield of land increased slightly but there was no major change compared to earlier</v>
      </c>
    </row>
    <row r="7316" spans="1:3" ht="15.75" customHeight="1" x14ac:dyDescent="0.25">
      <c r="A7316" s="2" t="s">
        <v>7318</v>
      </c>
      <c r="B7316" s="3" t="s">
        <v>4</v>
      </c>
      <c r="C7316" s="2" t="str">
        <f ca="1">IFERROR(__xludf.DUMMYFUNCTION("GOOGLETRANSLATE(A7316,""bn"",""en"")"),"The sheet is very easy to wash and maintain as it is easily machine washable and dries quickly")</f>
        <v>The sheet is very easy to wash and maintain as it is easily machine washable and dries quickly</v>
      </c>
    </row>
    <row r="7317" spans="1:3" ht="15.75" customHeight="1" x14ac:dyDescent="0.25">
      <c r="A7317" s="2" t="s">
        <v>7319</v>
      </c>
      <c r="B7317" s="3" t="s">
        <v>6</v>
      </c>
      <c r="C7317" s="2" t="str">
        <f ca="1">IFERROR(__xludf.DUMMYFUNCTION("GOOGLETRANSLATE(A7317,""bn"",""en"")"),"Eyeliner smudges easily and creates raccoon eyes within hours of application")</f>
        <v>Eyeliner smudges easily and creates raccoon eyes within hours of application</v>
      </c>
    </row>
    <row r="7318" spans="1:3" ht="15.75" customHeight="1" x14ac:dyDescent="0.25">
      <c r="A7318" s="2" t="s">
        <v>7320</v>
      </c>
      <c r="B7318" s="3" t="s">
        <v>4</v>
      </c>
      <c r="C7318" s="2" t="str">
        <f ca="1">IFERROR(__xludf.DUMMYFUNCTION("GOOGLETRANSLATE(A7318,""bn"",""en"")"),"Controlling the speaker through the app is very easy with all the features at hand")</f>
        <v>Controlling the speaker through the app is very easy with all the features at hand</v>
      </c>
    </row>
    <row r="7319" spans="1:3" ht="15.75" customHeight="1" x14ac:dyDescent="0.25">
      <c r="A7319" s="2" t="s">
        <v>7321</v>
      </c>
      <c r="B7319" s="3" t="s">
        <v>6</v>
      </c>
      <c r="C7319" s="2" t="str">
        <f ca="1">IFERROR(__xludf.DUMMYFUNCTION("GOOGLETRANSLATE(A7319,""bn"",""en"")"),"The schedule feature of the smart thermostat does not work and cannot automate the temperature")</f>
        <v>The schedule feature of the smart thermostat does not work and cannot automate the temperature</v>
      </c>
    </row>
    <row r="7320" spans="1:3" ht="15.75" customHeight="1" x14ac:dyDescent="0.25">
      <c r="A7320" s="2" t="s">
        <v>7322</v>
      </c>
      <c r="B7320" s="3" t="s">
        <v>6</v>
      </c>
      <c r="C7320" s="2" t="str">
        <f ca="1">IFERROR(__xludf.DUMMYFUNCTION("GOOGLETRANSLATE(A7320,""bn"",""en"")"),"The quality of burlap is average")</f>
        <v>The quality of burlap is average</v>
      </c>
    </row>
    <row r="7321" spans="1:3" ht="15.75" customHeight="1" x14ac:dyDescent="0.25">
      <c r="A7321" s="2" t="s">
        <v>7323</v>
      </c>
      <c r="B7321" s="3" t="s">
        <v>6</v>
      </c>
      <c r="C7321" s="2" t="str">
        <f ca="1">IFERROR(__xludf.DUMMYFUNCTION("GOOGLETRANSLATE(A7321,""bn"",""en"")"),"Bath sponges harbor mold and mildew despite regular cleaning")</f>
        <v>Bath sponges harbor mold and mildew despite regular cleaning</v>
      </c>
    </row>
    <row r="7322" spans="1:3" ht="15.75" customHeight="1" x14ac:dyDescent="0.25">
      <c r="A7322" s="2" t="s">
        <v>7324</v>
      </c>
      <c r="B7322" s="3" t="s">
        <v>6</v>
      </c>
      <c r="C7322" s="2" t="str">
        <f ca="1">IFERROR(__xludf.DUMMYFUNCTION("GOOGLETRANSLATE(A7322,""bn"",""en"")"),"The hair mask didn't wash off properly leaving a heavy residue that weighed my hair down")</f>
        <v>The hair mask didn't wash off properly leaving a heavy residue that weighed my hair down</v>
      </c>
    </row>
    <row r="7323" spans="1:3" ht="15.75" customHeight="1" x14ac:dyDescent="0.25">
      <c r="A7323" s="2" t="s">
        <v>7325</v>
      </c>
      <c r="B7323" s="3" t="s">
        <v>2</v>
      </c>
      <c r="C7323" s="2" t="str">
        <f ca="1">IFERROR(__xludf.DUMMYFUNCTION("GOOGLETRANSLATE(A7323,""bn"",""en"")"),"The colors are not very similar to the picture provided")</f>
        <v>The colors are not very similar to the picture provided</v>
      </c>
    </row>
    <row r="7324" spans="1:3" ht="15.75" customHeight="1" x14ac:dyDescent="0.25">
      <c r="A7324" s="2" t="s">
        <v>7326</v>
      </c>
      <c r="B7324" s="3" t="s">
        <v>2</v>
      </c>
      <c r="C7324" s="2" t="str">
        <f ca="1">IFERROR(__xludf.DUMMYFUNCTION("GOOGLETRANSLATE(A7324,""bn"",""en"")"),"Some problems may occur after use")</f>
        <v>Some problems may occur after use</v>
      </c>
    </row>
    <row r="7325" spans="1:3" ht="15.75" customHeight="1" x14ac:dyDescent="0.25">
      <c r="A7325" s="2" t="s">
        <v>7327</v>
      </c>
      <c r="B7325" s="3" t="s">
        <v>2</v>
      </c>
      <c r="C7325" s="2" t="str">
        <f ca="1">IFERROR(__xludf.DUMMYFUNCTION("GOOGLETRANSLATE(A7325,""bn"",""en"")"),"Portable sauna tent is effective for sweating but its setup process is relatively complicated")</f>
        <v>Portable sauna tent is effective for sweating but its setup process is relatively complicated</v>
      </c>
    </row>
    <row r="7326" spans="1:3" ht="15.75" customHeight="1" x14ac:dyDescent="0.25">
      <c r="A7326" s="2" t="s">
        <v>7328</v>
      </c>
      <c r="B7326" s="3" t="s">
        <v>6</v>
      </c>
      <c r="C7326" s="2" t="str">
        <f ca="1">IFERROR(__xludf.DUMMYFUNCTION("GOOGLETRANSLATE(A7326,""bn"",""en"")"),"Bath oil leaves a slippery residue in the tub creating a safety hazard")</f>
        <v>Bath oil leaves a slippery residue in the tub creating a safety hazard</v>
      </c>
    </row>
    <row r="7327" spans="1:3" ht="15.75" customHeight="1" x14ac:dyDescent="0.25">
      <c r="A7327" s="2" t="s">
        <v>7329</v>
      </c>
      <c r="B7327" s="3" t="s">
        <v>4</v>
      </c>
      <c r="C7327" s="2" t="str">
        <f ca="1">IFERROR(__xludf.DUMMYFUNCTION("GOOGLETRANSLATE(A7327,""bn"",""en"")"),"The light of this candle is very soft and relaxing")</f>
        <v>The light of this candle is very soft and relaxing</v>
      </c>
    </row>
    <row r="7328" spans="1:3" ht="15.75" customHeight="1" x14ac:dyDescent="0.25">
      <c r="A7328" s="2" t="s">
        <v>7330</v>
      </c>
      <c r="B7328" s="3" t="s">
        <v>4</v>
      </c>
      <c r="C7328" s="2" t="str">
        <f ca="1">IFERROR(__xludf.DUMMYFUNCTION("GOOGLETRANSLATE(A7328,""bn"",""en"")"),"Its security features are also quite advanced")</f>
        <v>Its security features are also quite advanced</v>
      </c>
    </row>
    <row r="7329" spans="1:3" ht="15.75" customHeight="1" x14ac:dyDescent="0.25">
      <c r="A7329" s="2" t="s">
        <v>7331</v>
      </c>
      <c r="B7329" s="3" t="s">
        <v>6</v>
      </c>
      <c r="C7329" s="2" t="str">
        <f ca="1">IFERROR(__xludf.DUMMYFUNCTION("GOOGLETRANSLATE(A7329,""bn"",""en"")"),"The packaged fruit cups had a syrupy taste and lacked freshness")</f>
        <v>The packaged fruit cups had a syrupy taste and lacked freshness</v>
      </c>
    </row>
    <row r="7330" spans="1:3" ht="15.75" customHeight="1" x14ac:dyDescent="0.25">
      <c r="A7330" s="2" t="s">
        <v>7332</v>
      </c>
      <c r="B7330" s="3" t="s">
        <v>4</v>
      </c>
      <c r="C7330" s="2" t="str">
        <f ca="1">IFERROR(__xludf.DUMMYFUNCTION("GOOGLETRANSLATE(A7330,""bn"",""en"")"),"These earrings suit my skin tone perfectly")</f>
        <v>These earrings suit my skin tone perfectly</v>
      </c>
    </row>
    <row r="7331" spans="1:3" ht="15.75" customHeight="1" x14ac:dyDescent="0.25">
      <c r="A7331" s="2" t="s">
        <v>7333</v>
      </c>
      <c r="B7331" s="3" t="s">
        <v>6</v>
      </c>
      <c r="C7331" s="2" t="str">
        <f ca="1">IFERROR(__xludf.DUMMYFUNCTION("GOOGLETRANSLATE(A7331,""bn"",""en"")"),"The unattractive look makes it an eyesore in the kitchen")</f>
        <v>The unattractive look makes it an eyesore in the kitchen</v>
      </c>
    </row>
    <row r="7332" spans="1:3" ht="15.75" customHeight="1" x14ac:dyDescent="0.25">
      <c r="A7332" s="2" t="s">
        <v>7334</v>
      </c>
      <c r="B7332" s="3" t="s">
        <v>2</v>
      </c>
      <c r="C7332" s="2" t="str">
        <f ca="1">IFERROR(__xludf.DUMMYFUNCTION("GOOGLETRANSLATE(A7332,""bn"",""en"")"),"The fabric is fine but not too soft")</f>
        <v>The fabric is fine but not too soft</v>
      </c>
    </row>
    <row r="7333" spans="1:3" ht="15.75" customHeight="1" x14ac:dyDescent="0.25">
      <c r="A7333" s="2" t="s">
        <v>7335</v>
      </c>
      <c r="B7333" s="3" t="s">
        <v>4</v>
      </c>
      <c r="C7333" s="2" t="str">
        <f ca="1">IFERROR(__xludf.DUMMYFUNCTION("GOOGLETRANSLATE(A7333,""bn"",""en"")"),"The girl always helps her friend")</f>
        <v>The girl always helps her friend</v>
      </c>
    </row>
    <row r="7334" spans="1:3" ht="15.75" customHeight="1" x14ac:dyDescent="0.25">
      <c r="A7334" s="2" t="s">
        <v>7336</v>
      </c>
      <c r="B7334" s="3" t="s">
        <v>4</v>
      </c>
      <c r="C7334" s="2" t="str">
        <f ca="1">IFERROR(__xludf.DUMMYFUNCTION("GOOGLETRANSLATE(A7334,""bn"",""en"")"),"I have never had so much fun eating biscuits")</f>
        <v>I have never had so much fun eating biscuits</v>
      </c>
    </row>
    <row r="7335" spans="1:3" ht="15.75" customHeight="1" x14ac:dyDescent="0.25">
      <c r="A7335" s="2" t="s">
        <v>7337</v>
      </c>
      <c r="B7335" s="3" t="s">
        <v>6</v>
      </c>
      <c r="C7335" s="2" t="str">
        <f ca="1">IFERROR(__xludf.DUMMYFUNCTION("GOOGLETRANSLATE(A7335,""bn"",""en"")")," The turntable does not lie flat causing it to wobble during rotation")</f>
        <v xml:space="preserve"> The turntable does not lie flat causing it to wobble during rotation</v>
      </c>
    </row>
    <row r="7336" spans="1:3" ht="15.75" customHeight="1" x14ac:dyDescent="0.25">
      <c r="A7336" s="2" t="s">
        <v>7338</v>
      </c>
      <c r="B7336" s="3" t="s">
        <v>6</v>
      </c>
      <c r="C7336" s="2" t="str">
        <f ca="1">IFERROR(__xludf.DUMMYFUNCTION("GOOGLETRANSLATE(A7336,""bn"",""en"")"),"The canvas frame was distorted affecting the final result")</f>
        <v>The canvas frame was distorted affecting the final result</v>
      </c>
    </row>
    <row r="7337" spans="1:3" ht="15.75" customHeight="1" x14ac:dyDescent="0.25">
      <c r="A7337" s="2" t="s">
        <v>7339</v>
      </c>
      <c r="B7337" s="3" t="s">
        <v>4</v>
      </c>
      <c r="C7337" s="2" t="str">
        <f ca="1">IFERROR(__xludf.DUMMYFUNCTION("GOOGLETRANSLATE(A7337,""bn"",""en"")"),"This website is fast and user friendly")</f>
        <v>This website is fast and user friendly</v>
      </c>
    </row>
    <row r="7338" spans="1:3" ht="15.75" customHeight="1" x14ac:dyDescent="0.25">
      <c r="A7338" s="2" t="s">
        <v>7340</v>
      </c>
      <c r="B7338" s="3" t="s">
        <v>2</v>
      </c>
      <c r="C7338" s="2" t="str">
        <f ca="1">IFERROR(__xludf.DUMMYFUNCTION("GOOGLETRANSLATE(A7338,""bn"",""en"")"),"Performance is slightly better with proper usage")</f>
        <v>Performance is slightly better with proper usage</v>
      </c>
    </row>
    <row r="7339" spans="1:3" ht="15.75" customHeight="1" x14ac:dyDescent="0.25">
      <c r="A7339" s="2" t="s">
        <v>7341</v>
      </c>
      <c r="B7339" s="3" t="s">
        <v>4</v>
      </c>
      <c r="C7339" s="2" t="str">
        <f ca="1">IFERROR(__xludf.DUMMYFUNCTION("GOOGLETRANSLATE(A7339,""bn"",""en"")"),"The finish of the cupboard is very nice it enhances the beauty of my room")</f>
        <v>The finish of the cupboard is very nice it enhances the beauty of my room</v>
      </c>
    </row>
    <row r="7340" spans="1:3" ht="15.75" customHeight="1" x14ac:dyDescent="0.25">
      <c r="A7340" s="2" t="s">
        <v>7342</v>
      </c>
      <c r="B7340" s="3" t="s">
        <v>2</v>
      </c>
      <c r="C7340" s="2" t="str">
        <f ca="1">IFERROR(__xludf.DUMMYFUNCTION("GOOGLETRANSLATE(A7340,""bn"",""en"")"),"Night shift was required")</f>
        <v>Night shift was required</v>
      </c>
    </row>
    <row r="7341" spans="1:3" ht="15.75" customHeight="1" x14ac:dyDescent="0.25">
      <c r="A7341" s="2" t="s">
        <v>7343</v>
      </c>
      <c r="B7341" s="3" t="s">
        <v>6</v>
      </c>
      <c r="C7341" s="2" t="str">
        <f ca="1">IFERROR(__xludf.DUMMYFUNCTION("GOOGLETRANSLATE(A7341,""bn"",""en"")"),"The solar panels of solar phone chargers are prone to damage")</f>
        <v>The solar panels of solar phone chargers are prone to damage</v>
      </c>
    </row>
    <row r="7342" spans="1:3" ht="15.75" customHeight="1" x14ac:dyDescent="0.25">
      <c r="A7342" s="2" t="s">
        <v>7344</v>
      </c>
      <c r="B7342" s="3" t="s">
        <v>4</v>
      </c>
      <c r="C7342" s="2" t="str">
        <f ca="1">IFERROR(__xludf.DUMMYFUNCTION("GOOGLETRANSLATE(A7342,""bn"",""en"")"),"Great GPS for truckers")</f>
        <v>Great GPS for truckers</v>
      </c>
    </row>
    <row r="7343" spans="1:3" ht="15.75" customHeight="1" x14ac:dyDescent="0.25">
      <c r="A7343" s="2" t="s">
        <v>7345</v>
      </c>
      <c r="B7343" s="3" t="s">
        <v>2</v>
      </c>
      <c r="C7343" s="2" t="str">
        <f ca="1">IFERROR(__xludf.DUMMYFUNCTION("GOOGLETRANSLATE(A7343,""bn"",""en"")"),"Can be used in water but color washes off")</f>
        <v>Can be used in water but color washes off</v>
      </c>
    </row>
    <row r="7344" spans="1:3" ht="15.75" customHeight="1" x14ac:dyDescent="0.25">
      <c r="A7344" s="2" t="s">
        <v>7346</v>
      </c>
      <c r="B7344" s="3" t="s">
        <v>6</v>
      </c>
      <c r="C7344" s="2" t="str">
        <f ca="1">IFERROR(__xludf.DUMMYFUNCTION("GOOGLETRANSLATE(A7344,""bn"",""en"")"),"The bath tray does not fit securely across the tub and wobbles precariously")</f>
        <v>The bath tray does not fit securely across the tub and wobbles precariously</v>
      </c>
    </row>
    <row r="7345" spans="1:3" ht="15.75" customHeight="1" x14ac:dyDescent="0.25">
      <c r="A7345" s="2" t="s">
        <v>7347</v>
      </c>
      <c r="B7345" s="3" t="s">
        <v>6</v>
      </c>
      <c r="C7345" s="2" t="str">
        <f ca="1">IFERROR(__xludf.DUMMYFUNCTION("GOOGLETRANSLATE(A7345,""bn"",""en"")"),"Totally disappointing the colors don't match the caps making it impossible to know what you are actually using")</f>
        <v>Totally disappointing the colors don't match the caps making it impossible to know what you are actually using</v>
      </c>
    </row>
    <row r="7346" spans="1:3" ht="15.75" customHeight="1" x14ac:dyDescent="0.25">
      <c r="A7346" s="2" t="s">
        <v>7348</v>
      </c>
      <c r="B7346" s="3" t="s">
        <v>2</v>
      </c>
      <c r="C7346" s="2" t="str">
        <f ca="1">IFERROR(__xludf.DUMMYFUNCTION("GOOGLETRANSLATE(A7346,""bn"",""en"")"),"Wrong size but great color just not perfect")</f>
        <v>Wrong size but great color just not perfect</v>
      </c>
    </row>
    <row r="7347" spans="1:3" ht="15.75" customHeight="1" x14ac:dyDescent="0.25">
      <c r="A7347" s="2" t="s">
        <v>7349</v>
      </c>
      <c r="B7347" s="3" t="s">
        <v>2</v>
      </c>
      <c r="C7347" s="2" t="str">
        <f ca="1">IFERROR(__xludf.DUMMYFUNCTION("GOOGLETRANSLATE(A7347,""bn"",""en"")"),"The color is not my favorite but it works")</f>
        <v>The color is not my favorite but it works</v>
      </c>
    </row>
    <row r="7348" spans="1:3" ht="15.75" customHeight="1" x14ac:dyDescent="0.25">
      <c r="A7348" s="2" t="s">
        <v>7350</v>
      </c>
      <c r="B7348" s="3" t="s">
        <v>2</v>
      </c>
      <c r="C7348" s="2" t="str">
        <f ca="1">IFERROR(__xludf.DUMMYFUNCTION("GOOGLETRANSLATE(A7348,""bn"",""en"")"),"It needs time to cool down after use")</f>
        <v>It needs time to cool down after use</v>
      </c>
    </row>
    <row r="7349" spans="1:3" ht="15.75" customHeight="1" x14ac:dyDescent="0.25">
      <c r="A7349" s="2" t="s">
        <v>7351</v>
      </c>
      <c r="B7349" s="3" t="s">
        <v>4</v>
      </c>
      <c r="C7349" s="2" t="str">
        <f ca="1">IFERROR(__xludf.DUMMYFUNCTION("GOOGLETRANSLATE(A7349,""bn"",""en"")"),"The delivery service at Daraj was very good and the delivery man was also very good")</f>
        <v>The delivery service at Daraj was very good and the delivery man was also very good</v>
      </c>
    </row>
    <row r="7350" spans="1:3" ht="15.75" customHeight="1" x14ac:dyDescent="0.25">
      <c r="A7350" s="2" t="s">
        <v>7352</v>
      </c>
      <c r="B7350" s="3" t="s">
        <v>2</v>
      </c>
      <c r="C7350" s="2" t="str">
        <f ca="1">IFERROR(__xludf.DUMMYFUNCTION("GOOGLETRANSLATE(A7350,""bn"",""en"")"),"The heating capacity is moderate")</f>
        <v>The heating capacity is moderate</v>
      </c>
    </row>
    <row r="7351" spans="1:3" ht="15.75" customHeight="1" x14ac:dyDescent="0.25">
      <c r="A7351" s="2" t="s">
        <v>7353</v>
      </c>
      <c r="B7351" s="3" t="s">
        <v>6</v>
      </c>
      <c r="C7351" s="2" t="str">
        <f ca="1">IFERROR(__xludf.DUMMYFUNCTION("GOOGLETRANSLATE(A7351,""bn"",""en"")"),"The canvas material had an oily residue that affected paint adhesion")</f>
        <v>The canvas material had an oily residue that affected paint adhesion</v>
      </c>
    </row>
    <row r="7352" spans="1:3" ht="15.75" customHeight="1" x14ac:dyDescent="0.25">
      <c r="A7352" s="2" t="s">
        <v>7354</v>
      </c>
      <c r="B7352" s="3" t="s">
        <v>4</v>
      </c>
      <c r="C7352" s="2" t="str">
        <f ca="1">IFERROR(__xludf.DUMMYFUNCTION("GOOGLETRANSLATE(A7352,""bn"",""en"")"),"The recycle bin is easy to use and environmentally friendly")</f>
        <v>The recycle bin is easy to use and environmentally friendly</v>
      </c>
    </row>
    <row r="7353" spans="1:3" ht="15.75" customHeight="1" x14ac:dyDescent="0.25">
      <c r="A7353" s="2" t="s">
        <v>7355</v>
      </c>
      <c r="B7353" s="3" t="s">
        <v>6</v>
      </c>
      <c r="C7353" s="2" t="str">
        <f ca="1">IFERROR(__xludf.DUMMYFUNCTION("GOOGLETRANSLATE(A7353,""bn"",""en"")"),"The texture of the lipstick is rough making it uncomfortable to wear")</f>
        <v>The texture of the lipstick is rough making it uncomfortable to wear</v>
      </c>
    </row>
    <row r="7354" spans="1:3" ht="15.75" customHeight="1" x14ac:dyDescent="0.25">
      <c r="A7354" s="2" t="s">
        <v>7356</v>
      </c>
      <c r="B7354" s="3" t="s">
        <v>4</v>
      </c>
      <c r="C7354" s="2" t="str">
        <f ca="1">IFERROR(__xludf.DUMMYFUNCTION("GOOGLETRANSLATE(A7354,""bn"",""en"")"),"The UI of the mobile is easy to use and user friendly")</f>
        <v>The UI of the mobile is easy to use and user friendly</v>
      </c>
    </row>
    <row r="7355" spans="1:3" ht="15.75" customHeight="1" x14ac:dyDescent="0.25">
      <c r="A7355" s="2" t="s">
        <v>7357</v>
      </c>
      <c r="B7355" s="3" t="s">
        <v>6</v>
      </c>
      <c r="C7355" s="2" t="str">
        <f ca="1">IFERROR(__xludf.DUMMYFUNCTION("GOOGLETRANSLATE(A7355,""bn"",""en"")"),"Not suitable for those with large busts as the garment does not provide enough coverage or support")</f>
        <v>Not suitable for those with large busts as the garment does not provide enough coverage or support</v>
      </c>
    </row>
    <row r="7356" spans="1:3" ht="15.75" customHeight="1" x14ac:dyDescent="0.25">
      <c r="A7356" s="2" t="s">
        <v>7358</v>
      </c>
      <c r="B7356" s="3" t="s">
        <v>6</v>
      </c>
      <c r="C7356" s="2" t="str">
        <f ca="1">IFERROR(__xludf.DUMMYFUNCTION("GOOGLETRANSLATE(A7356,""bn"",""en"")"),"Very bright colors but quite sturdy")</f>
        <v>Very bright colors but quite sturdy</v>
      </c>
    </row>
    <row r="7357" spans="1:3" ht="15.75" customHeight="1" x14ac:dyDescent="0.25">
      <c r="A7357" s="2" t="s">
        <v>7359</v>
      </c>
      <c r="B7357" s="3" t="s">
        <v>4</v>
      </c>
      <c r="C7357" s="2" t="str">
        <f ca="1">IFERROR(__xludf.DUMMYFUNCTION("GOOGLETRANSLATE(A7357,""bn"",""en"")"),"Everyone wants the perfect product")</f>
        <v>Everyone wants the perfect product</v>
      </c>
    </row>
    <row r="7358" spans="1:3" ht="15.75" customHeight="1" x14ac:dyDescent="0.25">
      <c r="A7358" s="2" t="s">
        <v>7360</v>
      </c>
      <c r="B7358" s="3" t="s">
        <v>2</v>
      </c>
      <c r="C7358" s="2" t="str">
        <f ca="1">IFERROR(__xludf.DUMMYFUNCTION("GOOGLETRANSLATE(A7358,""bn"",""en"")"),"The pillow spray diffuses the fragrance but the smell doesn't last long")</f>
        <v>The pillow spray diffuses the fragrance but the smell doesn't last long</v>
      </c>
    </row>
    <row r="7359" spans="1:3" ht="15.75" customHeight="1" x14ac:dyDescent="0.25">
      <c r="A7359" s="2" t="s">
        <v>7361</v>
      </c>
      <c r="B7359" s="3" t="s">
        <v>6</v>
      </c>
      <c r="C7359" s="2" t="str">
        <f ca="1">IFERROR(__xludf.DUMMYFUNCTION("GOOGLETRANSLATE(A7359,""bn"",""en"")"),"The product arrived unsealed and requires a refund for a replacement")</f>
        <v>The product arrived unsealed and requires a refund for a replacement</v>
      </c>
    </row>
    <row r="7360" spans="1:3" ht="15.75" customHeight="1" x14ac:dyDescent="0.25">
      <c r="A7360" s="2" t="s">
        <v>7362</v>
      </c>
      <c r="B7360" s="3" t="s">
        <v>4</v>
      </c>
      <c r="C7360" s="2" t="str">
        <f ca="1">IFERROR(__xludf.DUMMYFUNCTION("GOOGLETRANSLATE(A7360,""bn"",""en"")"),"I am very happy with the purchase of this air cooler")</f>
        <v>I am very happy with the purchase of this air cooler</v>
      </c>
    </row>
    <row r="7361" spans="1:3" ht="15.75" customHeight="1" x14ac:dyDescent="0.25">
      <c r="A7361" s="2" t="s">
        <v>7363</v>
      </c>
      <c r="B7361" s="3" t="s">
        <v>6</v>
      </c>
      <c r="C7361" s="2" t="str">
        <f ca="1">IFERROR(__xludf.DUMMYFUNCTION("GOOGLETRANSLATE(A7361,""bn"",""en"")"),"Buying gold is fun but expensive")</f>
        <v>Buying gold is fun but expensive</v>
      </c>
    </row>
    <row r="7362" spans="1:3" ht="15.75" customHeight="1" x14ac:dyDescent="0.25">
      <c r="A7362" s="2" t="s">
        <v>7364</v>
      </c>
      <c r="B7362" s="3" t="s">
        <v>4</v>
      </c>
      <c r="C7362" s="2" t="str">
        <f ca="1">IFERROR(__xludf.DUMMYFUNCTION("GOOGLETRANSLATE(A7362,""bn"",""en"")"),"Capable of holding the audience's attention")</f>
        <v>Capable of holding the audience's attention</v>
      </c>
    </row>
    <row r="7363" spans="1:3" ht="15.75" customHeight="1" x14ac:dyDescent="0.25">
      <c r="A7363" s="2" t="s">
        <v>7365</v>
      </c>
      <c r="B7363" s="3" t="s">
        <v>2</v>
      </c>
      <c r="C7363" s="2" t="str">
        <f ca="1">IFERROR(__xludf.DUMMYFUNCTION("GOOGLETRANSLATE(A7363,""bn"",""en"")")," Fairly good for the price")</f>
        <v xml:space="preserve"> Fairly good for the price</v>
      </c>
    </row>
    <row r="7364" spans="1:3" ht="15.75" customHeight="1" x14ac:dyDescent="0.25">
      <c r="A7364" s="2" t="s">
        <v>7366</v>
      </c>
      <c r="B7364" s="3" t="s">
        <v>2</v>
      </c>
      <c r="C7364" s="2" t="str">
        <f ca="1">IFERROR(__xludf.DUMMYFUNCTION("GOOGLETRANSLATE(A7364,""bn"",""en"")"),"A sleep mask blocks light but compresses the nose")</f>
        <v>A sleep mask blocks light but compresses the nose</v>
      </c>
    </row>
    <row r="7365" spans="1:3" ht="15.75" customHeight="1" x14ac:dyDescent="0.25">
      <c r="A7365" s="2" t="s">
        <v>7367</v>
      </c>
      <c r="B7365" s="3" t="s">
        <v>6</v>
      </c>
      <c r="C7365" s="2" t="str">
        <f ca="1">IFERROR(__xludf.DUMMYFUNCTION("GOOGLETRANSLATE(A7365,""bn"",""en"")"),"The misleading description disappointed me with the purchase")</f>
        <v>The misleading description disappointed me with the purchase</v>
      </c>
    </row>
    <row r="7366" spans="1:3" ht="15.75" customHeight="1" x14ac:dyDescent="0.25">
      <c r="A7366" s="2" t="s">
        <v>7368</v>
      </c>
      <c r="B7366" s="3" t="s">
        <v>4</v>
      </c>
      <c r="C7366" s="2" t="str">
        <f ca="1">IFERROR(__xludf.DUMMYFUNCTION("GOOGLETRANSLATE(A7366,""bn"",""en"")"),"This body wash does the job of moisturizing")</f>
        <v>This body wash does the job of moisturizing</v>
      </c>
    </row>
    <row r="7367" spans="1:3" ht="15.75" customHeight="1" x14ac:dyDescent="0.25">
      <c r="A7367" s="2" t="s">
        <v>7369</v>
      </c>
      <c r="B7367" s="3" t="s">
        <v>6</v>
      </c>
      <c r="C7367" s="2" t="str">
        <f ca="1">IFERROR(__xludf.DUMMYFUNCTION("GOOGLETRANSLATE(A7367,""bn"",""en"")"),"Air fryer emits a burning smell and is unsafe to use")</f>
        <v>Air fryer emits a burning smell and is unsafe to use</v>
      </c>
    </row>
    <row r="7368" spans="1:3" ht="15.75" customHeight="1" x14ac:dyDescent="0.25">
      <c r="A7368" s="2" t="s">
        <v>7370</v>
      </c>
      <c r="B7368" s="3" t="s">
        <v>2</v>
      </c>
      <c r="C7368" s="2" t="str">
        <f ca="1">IFERROR(__xludf.DUMMYFUNCTION("GOOGLETRANSLATE(A7368,""bn"",""en"")"),"Customer service was fairly acceptable")</f>
        <v>Customer service was fairly acceptable</v>
      </c>
    </row>
    <row r="7369" spans="1:3" ht="15.75" customHeight="1" x14ac:dyDescent="0.25">
      <c r="A7369" s="2" t="s">
        <v>7371</v>
      </c>
      <c r="B7369" s="3" t="s">
        <v>4</v>
      </c>
      <c r="C7369" s="2" t="str">
        <f ca="1">IFERROR(__xludf.DUMMYFUNCTION("GOOGLETRANSLATE(A7369,""bn"",""en"")"),"Sofa back cushions provide proper support")</f>
        <v>Sofa back cushions provide proper support</v>
      </c>
    </row>
    <row r="7370" spans="1:3" ht="15.75" customHeight="1" x14ac:dyDescent="0.25">
      <c r="A7370" s="2" t="s">
        <v>7372</v>
      </c>
      <c r="B7370" s="3" t="s">
        <v>4</v>
      </c>
      <c r="C7370" s="2" t="str">
        <f ca="1">IFERROR(__xludf.DUMMYFUNCTION("GOOGLETRANSLATE(A7370,""bn"",""en"")"),"The flower looks equally beautiful in different seasons")</f>
        <v>The flower looks equally beautiful in different seasons</v>
      </c>
    </row>
    <row r="7371" spans="1:3" ht="15.75" customHeight="1" x14ac:dyDescent="0.25">
      <c r="A7371" s="2" t="s">
        <v>7373</v>
      </c>
      <c r="B7371" s="3" t="s">
        <v>4</v>
      </c>
      <c r="C7371" s="2" t="str">
        <f ca="1">IFERROR(__xludf.DUMMYFUNCTION("GOOGLETRANSLATE(A7371,""bn"",""en"")"),"Our garden is always fragrant with flowers")</f>
        <v>Our garden is always fragrant with flowers</v>
      </c>
    </row>
    <row r="7372" spans="1:3" ht="15.75" customHeight="1" x14ac:dyDescent="0.25">
      <c r="A7372" s="2" t="s">
        <v>7374</v>
      </c>
      <c r="B7372" s="3" t="s">
        <v>2</v>
      </c>
      <c r="C7372" s="2" t="str">
        <f ca="1">IFERROR(__xludf.DUMMYFUNCTION("GOOGLETRANSLATE(A7372,""bn"",""en"")"),"Please note that these may contain occasional errors")</f>
        <v>Please note that these may contain occasional errors</v>
      </c>
    </row>
    <row r="7373" spans="1:3" ht="15.75" customHeight="1" x14ac:dyDescent="0.25">
      <c r="A7373" s="2" t="s">
        <v>7375</v>
      </c>
      <c r="B7373" s="3" t="s">
        <v>2</v>
      </c>
      <c r="C7373" s="2" t="str">
        <f ca="1">IFERROR(__xludf.DUMMYFUNCTION("GOOGLETRANSLATE(A7373,""bn"",""en"")"),"Towels are white and basic")</f>
        <v>Towels are white and basic</v>
      </c>
    </row>
    <row r="7374" spans="1:3" ht="15.75" customHeight="1" x14ac:dyDescent="0.25">
      <c r="A7374" s="2" t="s">
        <v>7376</v>
      </c>
      <c r="B7374" s="3" t="s">
        <v>6</v>
      </c>
      <c r="C7374" s="2" t="str">
        <f ca="1">IFERROR(__xludf.DUMMYFUNCTION("GOOGLETRANSLATE(A7374,""bn"",""en"")"),"The material of the product is cheap and easily damaged")</f>
        <v>The material of the product is cheap and easily damaged</v>
      </c>
    </row>
    <row r="7375" spans="1:3" ht="15.75" customHeight="1" x14ac:dyDescent="0.25">
      <c r="A7375" s="2" t="s">
        <v>7377</v>
      </c>
      <c r="B7375" s="3" t="s">
        <v>4</v>
      </c>
      <c r="C7375" s="2" t="str">
        <f ca="1">IFERROR(__xludf.DUMMYFUNCTION("GOOGLETRANSLATE(A7375,""bn"",""en"")"),"Excellent value product for long term grooming")</f>
        <v>Excellent value product for long term grooming</v>
      </c>
    </row>
    <row r="7376" spans="1:3" ht="15.75" customHeight="1" x14ac:dyDescent="0.25">
      <c r="A7376" s="2" t="s">
        <v>7378</v>
      </c>
      <c r="B7376" s="3" t="s">
        <v>6</v>
      </c>
      <c r="C7376" s="2" t="str">
        <f ca="1">IFERROR(__xludf.DUMMYFUNCTION("GOOGLETRANSLATE(A7376,""bn"",""en"")"),"Inadequate ventilation creates moisture inside")</f>
        <v>Inadequate ventilation creates moisture inside</v>
      </c>
    </row>
    <row r="7377" spans="1:3" ht="15.75" customHeight="1" x14ac:dyDescent="0.25">
      <c r="A7377" s="2" t="s">
        <v>7379</v>
      </c>
      <c r="B7377" s="3" t="s">
        <v>6</v>
      </c>
      <c r="C7377" s="2" t="str">
        <f ca="1">IFERROR(__xludf.DUMMYFUNCTION("GOOGLETRANSLATE(A7377,""bn"",""en"")"),"  The fabric was prone to pilling after just one wear reducing its appearance")</f>
        <v xml:space="preserve">  The fabric was prone to pilling after just one wear reducing its appearance</v>
      </c>
    </row>
    <row r="7378" spans="1:3" ht="15.75" customHeight="1" x14ac:dyDescent="0.25">
      <c r="A7378" s="2" t="s">
        <v>7380</v>
      </c>
      <c r="B7378" s="3" t="s">
        <v>2</v>
      </c>
      <c r="C7378" s="2" t="str">
        <f ca="1">IFERROR(__xludf.DUMMYFUNCTION("GOOGLETRANSLATE(A7378,""bn"",""en"")"),"The drink is quite fresh but high in sugar")</f>
        <v>The drink is quite fresh but high in sugar</v>
      </c>
    </row>
    <row r="7379" spans="1:3" ht="15.75" customHeight="1" x14ac:dyDescent="0.25">
      <c r="A7379" s="2" t="s">
        <v>7381</v>
      </c>
      <c r="B7379" s="3" t="s">
        <v>4</v>
      </c>
      <c r="C7379" s="2" t="str">
        <f ca="1">IFERROR(__xludf.DUMMYFUNCTION("GOOGLETRANSLATE(A7379,""bn"",""en"")"),"This body wash helps reduce cellulite on the skin")</f>
        <v>This body wash helps reduce cellulite on the skin</v>
      </c>
    </row>
    <row r="7380" spans="1:3" ht="15.75" customHeight="1" x14ac:dyDescent="0.25">
      <c r="A7380" s="2" t="s">
        <v>7382</v>
      </c>
      <c r="B7380" s="3" t="s">
        <v>4</v>
      </c>
      <c r="C7380" s="2" t="str">
        <f ca="1">IFERROR(__xludf.DUMMYFUNCTION("GOOGLETRANSLATE(A7380,""bn"",""en"")"),"The child goes to play regularly every day")</f>
        <v>The child goes to play regularly every day</v>
      </c>
    </row>
    <row r="7381" spans="1:3" ht="15.75" customHeight="1" x14ac:dyDescent="0.25">
      <c r="A7381" s="2" t="s">
        <v>7383</v>
      </c>
      <c r="B7381" s="3" t="s">
        <v>2</v>
      </c>
      <c r="C7381" s="2" t="str">
        <f ca="1">IFERROR(__xludf.DUMMYFUNCTION("GOOGLETRANSLATE(A7381,""bn"",""en"")"),"Boil water and use")</f>
        <v>Boil water and use</v>
      </c>
    </row>
    <row r="7382" spans="1:3" ht="15.75" customHeight="1" x14ac:dyDescent="0.25">
      <c r="A7382" s="2" t="s">
        <v>7384</v>
      </c>
      <c r="B7382" s="3" t="s">
        <v>6</v>
      </c>
      <c r="C7382" s="2" t="str">
        <f ca="1">IFERROR(__xludf.DUMMYFUNCTION("GOOGLETRANSLATE(A7382,""bn"",""en"")"),"The garment had a strong chemical smell that persisted even after washing indicating poor quality dyes")</f>
        <v>The garment had a strong chemical smell that persisted even after washing indicating poor quality dyes</v>
      </c>
    </row>
    <row r="7383" spans="1:3" ht="15.75" customHeight="1" x14ac:dyDescent="0.25">
      <c r="A7383" s="2" t="s">
        <v>7385</v>
      </c>
      <c r="B7383" s="3" t="s">
        <v>6</v>
      </c>
      <c r="C7383" s="2" t="str">
        <f ca="1">IFERROR(__xludf.DUMMYFUNCTION("GOOGLETRANSLATE(A7383,""bn"",""en"")"),"The hinge of the product was loose causing instability")</f>
        <v>The hinge of the product was loose causing instability</v>
      </c>
    </row>
    <row r="7384" spans="1:3" ht="15.75" customHeight="1" x14ac:dyDescent="0.25">
      <c r="A7384" s="2" t="s">
        <v>7386</v>
      </c>
      <c r="B7384" s="3" t="s">
        <v>6</v>
      </c>
      <c r="C7384" s="2" t="str">
        <f ca="1">IFERROR(__xludf.DUMMYFUNCTION("GOOGLETRANSLATE(A7384,""bn"",""en"")"),"The packaging lacked durability which leaked during shipping")</f>
        <v>The packaging lacked durability which leaked during shipping</v>
      </c>
    </row>
    <row r="7385" spans="1:3" ht="15.75" customHeight="1" x14ac:dyDescent="0.25">
      <c r="A7385" s="2" t="s">
        <v>7387</v>
      </c>
      <c r="B7385" s="3" t="s">
        <v>2</v>
      </c>
      <c r="C7385" s="2" t="str">
        <f ca="1">IFERROR(__xludf.DUMMYFUNCTION("GOOGLETRANSLATE(A7385,""bn"",""en"")"),"Not quite consistent with perfect conditions")</f>
        <v>Not quite consistent with perfect conditions</v>
      </c>
    </row>
    <row r="7386" spans="1:3" ht="15.75" customHeight="1" x14ac:dyDescent="0.25">
      <c r="A7386" s="2" t="s">
        <v>7388</v>
      </c>
      <c r="B7386" s="3" t="s">
        <v>2</v>
      </c>
      <c r="C7386" s="2" t="str">
        <f ca="1">IFERROR(__xludf.DUMMYFUNCTION("GOOGLETRANSLATE(A7386,""bn"",""en"")"),"Feels good to hold in hand while using but is quite large in size")</f>
        <v>Feels good to hold in hand while using but is quite large in size</v>
      </c>
    </row>
    <row r="7387" spans="1:3" ht="15.75" customHeight="1" x14ac:dyDescent="0.25">
      <c r="A7387" s="2" t="s">
        <v>7389</v>
      </c>
      <c r="B7387" s="3" t="s">
        <v>6</v>
      </c>
      <c r="C7387" s="2" t="str">
        <f ca="1">IFERROR(__xludf.DUMMYFUNCTION("GOOGLETRANSLATE(A7387,""bn"",""en"")")," Buttons not responsive to touch Requires multiple presses for registration")</f>
        <v xml:space="preserve"> Buttons not responsive to touch Requires multiple presses for registration</v>
      </c>
    </row>
    <row r="7388" spans="1:3" ht="15.75" customHeight="1" x14ac:dyDescent="0.25">
      <c r="A7388" s="2" t="s">
        <v>7390</v>
      </c>
      <c r="B7388" s="3" t="s">
        <v>4</v>
      </c>
      <c r="C7388" s="2" t="str">
        <f ca="1">IFERROR(__xludf.DUMMYFUNCTION("GOOGLETRANSLATE(A7388,""bn"",""en"")"),"The design of the coffee mug is very attractive and comfortable to use")</f>
        <v>The design of the coffee mug is very attractive and comfortable to use</v>
      </c>
    </row>
    <row r="7389" spans="1:3" ht="15.75" customHeight="1" x14ac:dyDescent="0.25">
      <c r="A7389" s="2" t="s">
        <v>7391</v>
      </c>
      <c r="B7389" s="3" t="s">
        <v>2</v>
      </c>
      <c r="C7389" s="2" t="str">
        <f ca="1">IFERROR(__xludf.DUMMYFUNCTION("GOOGLETRANSLATE(A7389,""bn"",""en"")"),"User reviews are mixed")</f>
        <v>User reviews are mixed</v>
      </c>
    </row>
    <row r="7390" spans="1:3" ht="15.75" customHeight="1" x14ac:dyDescent="0.25">
      <c r="A7390" s="2" t="s">
        <v>7392</v>
      </c>
      <c r="B7390" s="3" t="s">
        <v>4</v>
      </c>
      <c r="C7390" s="2" t="str">
        <f ca="1">IFERROR(__xludf.DUMMYFUNCTION("GOOGLETRANSLATE(A7390,""bn"",""en"")"),"Excellent picture quality")</f>
        <v>Excellent picture quality</v>
      </c>
    </row>
    <row r="7391" spans="1:3" ht="15.75" customHeight="1" x14ac:dyDescent="0.25">
      <c r="A7391" s="2" t="s">
        <v>7393</v>
      </c>
      <c r="B7391" s="3" t="s">
        <v>6</v>
      </c>
      <c r="C7391" s="2" t="str">
        <f ca="1">IFERROR(__xludf.DUMMYFUNCTION("GOOGLETRANSLATE(A7391,""bn"",""en"")"),"The material used for clothing is cheap and scratches easily giving it a worn out look quickly")</f>
        <v>The material used for clothing is cheap and scratches easily giving it a worn out look quickly</v>
      </c>
    </row>
    <row r="7392" spans="1:3" ht="15.75" customHeight="1" x14ac:dyDescent="0.25">
      <c r="A7392" s="2" t="s">
        <v>7394</v>
      </c>
      <c r="B7392" s="3" t="s">
        <v>4</v>
      </c>
      <c r="C7392" s="2" t="str">
        <f ca="1">IFERROR(__xludf.DUMMYFUNCTION("GOOGLETRANSLATE(A7392,""bn"",""en"")"),"Beauty soap maintains the pH balance of the skin")</f>
        <v>Beauty soap maintains the pH balance of the skin</v>
      </c>
    </row>
    <row r="7393" spans="1:3" ht="15.75" customHeight="1" x14ac:dyDescent="0.25">
      <c r="A7393" s="2" t="s">
        <v>7395</v>
      </c>
      <c r="B7393" s="3" t="s">
        <v>4</v>
      </c>
      <c r="C7393" s="2" t="str">
        <f ca="1">IFERROR(__xludf.DUMMYFUNCTION("GOOGLETRANSLATE(A7393,""bn"",""en"")"),"It's much better than I expected")</f>
        <v>It's much better than I expected</v>
      </c>
    </row>
    <row r="7394" spans="1:3" ht="15.75" customHeight="1" x14ac:dyDescent="0.25">
      <c r="A7394" s="2" t="s">
        <v>7396</v>
      </c>
      <c r="B7394" s="3" t="s">
        <v>4</v>
      </c>
      <c r="C7394" s="2" t="str">
        <f ca="1">IFERROR(__xludf.DUMMYFUNCTION("GOOGLETRANSLATE(A7394,""bn"",""en"")"),"A very effective product")</f>
        <v>A very effective product</v>
      </c>
    </row>
    <row r="7395" spans="1:3" ht="15.75" customHeight="1" x14ac:dyDescent="0.25">
      <c r="A7395" s="2" t="s">
        <v>7397</v>
      </c>
      <c r="B7395" s="3" t="s">
        <v>2</v>
      </c>
      <c r="C7395" s="2" t="str">
        <f ca="1">IFERROR(__xludf.DUMMYFUNCTION("GOOGLETRANSLATE(A7395,""bn"",""en"")"),"Stackable but unstable in height")</f>
        <v>Stackable but unstable in height</v>
      </c>
    </row>
    <row r="7396" spans="1:3" ht="15.75" customHeight="1" x14ac:dyDescent="0.25">
      <c r="A7396" s="2" t="s">
        <v>7398</v>
      </c>
      <c r="B7396" s="3" t="s">
        <v>6</v>
      </c>
      <c r="C7396" s="2" t="str">
        <f ca="1">IFERROR(__xludf.DUMMYFUNCTION("GOOGLETRANSLATE(A7396,""bn"",""en"")")," The inner coating flakes off over time contaminating the food with color particles")</f>
        <v xml:space="preserve"> The inner coating flakes off over time contaminating the food with color particles</v>
      </c>
    </row>
    <row r="7397" spans="1:3" ht="15.75" customHeight="1" x14ac:dyDescent="0.25">
      <c r="A7397" s="2" t="s">
        <v>7399</v>
      </c>
      <c r="B7397" s="3" t="s">
        <v>6</v>
      </c>
      <c r="C7397" s="2" t="str">
        <f ca="1">IFERROR(__xludf.DUMMYFUNCTION("GOOGLETRANSLATE(A7397,""bn"",""en"")"),"OK for a nonstick surface")</f>
        <v>OK for a nonstick surface</v>
      </c>
    </row>
    <row r="7398" spans="1:3" ht="15.75" customHeight="1" x14ac:dyDescent="0.25">
      <c r="A7398" s="2" t="s">
        <v>7400</v>
      </c>
      <c r="B7398" s="3" t="s">
        <v>4</v>
      </c>
      <c r="C7398" s="2" t="str">
        <f ca="1">IFERROR(__xludf.DUMMYFUNCTION("GOOGLETRANSLATE(A7398,""bn"",""en"")"),"I have noticed that these utensils retain their shine even after use and after washing they look like new")</f>
        <v>I have noticed that these utensils retain their shine even after use and after washing they look like new</v>
      </c>
    </row>
    <row r="7399" spans="1:3" ht="15.75" customHeight="1" x14ac:dyDescent="0.25">
      <c r="A7399" s="2" t="s">
        <v>7401</v>
      </c>
      <c r="B7399" s="3" t="s">
        <v>2</v>
      </c>
      <c r="C7399" s="2" t="str">
        <f ca="1">IFERROR(__xludf.DUMMYFUNCTION("GOOGLETRANSLATE(A7399,""bn"",""en"")"),"There are pictures of people from different professions but stereotyped")</f>
        <v>There are pictures of people from different professions but stereotyped</v>
      </c>
    </row>
    <row r="7400" spans="1:3" ht="15.75" customHeight="1" x14ac:dyDescent="0.25">
      <c r="A7400" s="2" t="s">
        <v>7402</v>
      </c>
      <c r="B7400" s="3" t="s">
        <v>6</v>
      </c>
      <c r="C7400" s="2" t="str">
        <f ca="1">IFERROR(__xludf.DUMMYFUNCTION("GOOGLETRANSLATE(A7400,""bn"",""en"")"),"Coffee machine reservoir leaks make a mess on the counter")</f>
        <v>Coffee machine reservoir leaks make a mess on the counter</v>
      </c>
    </row>
    <row r="7401" spans="1:3" ht="15.75" customHeight="1" x14ac:dyDescent="0.25">
      <c r="A7401" s="2" t="s">
        <v>7403</v>
      </c>
      <c r="B7401" s="3" t="s">
        <v>6</v>
      </c>
      <c r="C7401" s="2" t="str">
        <f ca="1">IFERROR(__xludf.DUMMYFUNCTION("GOOGLETRANSLATE(A7401,""bn"",""en"")"),"Lack of durability is not worth the price")</f>
        <v>Lack of durability is not worth the price</v>
      </c>
    </row>
    <row r="7402" spans="1:3" ht="15.75" customHeight="1" x14ac:dyDescent="0.25">
      <c r="A7402" s="2" t="s">
        <v>7404</v>
      </c>
      <c r="B7402" s="3" t="s">
        <v>2</v>
      </c>
      <c r="C7402" s="2" t="str">
        <f ca="1">IFERROR(__xludf.DUMMYFUNCTION("GOOGLETRANSLATE(A7402,""bn"",""en"")"),"It is available in different sizes but there is no variety in designs")</f>
        <v>It is available in different sizes but there is no variety in designs</v>
      </c>
    </row>
    <row r="7403" spans="1:3" ht="15.75" customHeight="1" x14ac:dyDescent="0.25">
      <c r="A7403" s="2" t="s">
        <v>7405</v>
      </c>
      <c r="B7403" s="3" t="s">
        <v>4</v>
      </c>
      <c r="C7403" s="2" t="str">
        <f ca="1">IFERROR(__xludf.DUMMYFUNCTION("GOOGLETRANSLATE(A7403,""bn"",""en"")"),"Oraimo always gives the best product quality is excellent")</f>
        <v>Oraimo always gives the best product quality is excellent</v>
      </c>
    </row>
    <row r="7404" spans="1:3" ht="15.75" customHeight="1" x14ac:dyDescent="0.25">
      <c r="A7404" s="2" t="s">
        <v>7406</v>
      </c>
      <c r="B7404" s="3" t="s">
        <v>6</v>
      </c>
      <c r="C7404" s="2" t="str">
        <f ca="1">IFERROR(__xludf.DUMMYFUNCTION("GOOGLETRANSLATE(A7404,""bn"",""en"")")," The bezels were prone to chipping and peeling which detracted from the overall aesthetic")</f>
        <v xml:space="preserve"> The bezels were prone to chipping and peeling which detracted from the overall aesthetic</v>
      </c>
    </row>
    <row r="7405" spans="1:3" ht="15.75" customHeight="1" x14ac:dyDescent="0.25">
      <c r="A7405" s="2" t="s">
        <v>7407</v>
      </c>
      <c r="B7405" s="3" t="s">
        <v>4</v>
      </c>
      <c r="C7405" s="2" t="str">
        <f ca="1">IFERROR(__xludf.DUMMYFUNCTION("GOOGLETRANSLATE(A7405,""bn"",""en"")"),"With voice command support, you can control the speaker without using your hands")</f>
        <v>With voice command support, you can control the speaker without using your hands</v>
      </c>
    </row>
    <row r="7406" spans="1:3" ht="15.75" customHeight="1" x14ac:dyDescent="0.25">
      <c r="A7406" s="2" t="s">
        <v>7408</v>
      </c>
      <c r="B7406" s="3" t="s">
        <v>6</v>
      </c>
      <c r="C7406" s="2" t="str">
        <f ca="1">IFERROR(__xludf.DUMMYFUNCTION("GOOGLETRANSLATE(A7406,""bn"",""en"")"),"The item's performance was inconsistent with its advertised capabilities")</f>
        <v>The item's performance was inconsistent with its advertised capabilities</v>
      </c>
    </row>
    <row r="7407" spans="1:3" ht="15.75" customHeight="1" x14ac:dyDescent="0.25">
      <c r="A7407" s="2" t="s">
        <v>7409</v>
      </c>
      <c r="B7407" s="3" t="s">
        <v>4</v>
      </c>
      <c r="C7407" s="2" t="str">
        <f ca="1">IFERROR(__xludf.DUMMYFUNCTION("GOOGLETRANSLATE(A7407,""bn"",""en"")"),"Using a makeup brush is a skill")</f>
        <v>Using a makeup brush is a skill</v>
      </c>
    </row>
    <row r="7408" spans="1:3" ht="15.75" customHeight="1" x14ac:dyDescent="0.25">
      <c r="A7408" s="2" t="s">
        <v>7410</v>
      </c>
      <c r="B7408" s="3" t="s">
        <v>2</v>
      </c>
      <c r="C7408" s="2" t="str">
        <f ca="1">IFERROR(__xludf.DUMMYFUNCTION("GOOGLETRANSLATE(A7408,""bn"",""en"")"),"The drink is sweet but can be a problem if it is too cold")</f>
        <v>The drink is sweet but can be a problem if it is too cold</v>
      </c>
    </row>
    <row r="7409" spans="1:3" ht="15.75" customHeight="1" x14ac:dyDescent="0.25">
      <c r="A7409" s="2" t="s">
        <v>7411</v>
      </c>
      <c r="B7409" s="3" t="s">
        <v>6</v>
      </c>
      <c r="C7409" s="2" t="str">
        <f ca="1">IFERROR(__xludf.DUMMYFUNCTION("GOOGLETRANSLATE(A7409,""bn"",""en"")"),"Short power cords limit mounting options")</f>
        <v>Short power cords limit mounting options</v>
      </c>
    </row>
    <row r="7410" spans="1:3" ht="15.75" customHeight="1" x14ac:dyDescent="0.25">
      <c r="A7410" s="2" t="s">
        <v>7412</v>
      </c>
      <c r="B7410" s="3" t="s">
        <v>6</v>
      </c>
      <c r="C7410" s="2" t="str">
        <f ca="1">IFERROR(__xludf.DUMMYFUNCTION("GOOGLETRANSLATE(A7410,""bn"",""en"")"),"Lack of effectiveness in controlling frizz or flyaways even with regular use")</f>
        <v>Lack of effectiveness in controlling frizz or flyaways even with regular use</v>
      </c>
    </row>
    <row r="7411" spans="1:3" ht="15.75" customHeight="1" x14ac:dyDescent="0.25">
      <c r="A7411" s="2" t="s">
        <v>7413</v>
      </c>
      <c r="B7411" s="3" t="s">
        <v>4</v>
      </c>
      <c r="C7411" s="2" t="str">
        <f ca="1">IFERROR(__xludf.DUMMYFUNCTION("GOOGLETRANSLATE(A7411,""bn"",""en"")"),"The spoons, forks and knives that come with the set are very comfortable to hold, making it a pleasant experience to use")</f>
        <v>The spoons, forks and knives that come with the set are very comfortable to hold, making it a pleasant experience to use</v>
      </c>
    </row>
    <row r="7412" spans="1:3" ht="15.75" customHeight="1" x14ac:dyDescent="0.25">
      <c r="A7412" s="2" t="s">
        <v>7414</v>
      </c>
      <c r="B7412" s="3" t="s">
        <v>4</v>
      </c>
      <c r="C7412" s="2" t="str">
        <f ca="1">IFERROR(__xludf.DUMMYFUNCTION("GOOGLETRANSLATE(A7412,""bn"",""en"")"),"The air cools very quickly")</f>
        <v>The air cools very quickly</v>
      </c>
    </row>
    <row r="7413" spans="1:3" ht="15.75" customHeight="1" x14ac:dyDescent="0.25">
      <c r="A7413" s="2" t="s">
        <v>7415</v>
      </c>
      <c r="B7413" s="3" t="s">
        <v>6</v>
      </c>
      <c r="C7413" s="2" t="str">
        <f ca="1">IFERROR(__xludf.DUMMYFUNCTION("GOOGLETRANSLATE(A7413,""bn"",""en"")"),"The fabric of the dress felt cheap and uncomfortable against the skin")</f>
        <v>The fabric of the dress felt cheap and uncomfortable against the skin</v>
      </c>
    </row>
    <row r="7414" spans="1:3" ht="15.75" customHeight="1" x14ac:dyDescent="0.25">
      <c r="A7414" s="2" t="s">
        <v>7416</v>
      </c>
      <c r="B7414" s="3" t="s">
        <v>2</v>
      </c>
      <c r="C7414" s="2" t="str">
        <f ca="1">IFERROR(__xludf.DUMMYFUNCTION("GOOGLETRANSLATE(A7414,""bn"",""en"")"),"Cost is low but not suitable for long term use")</f>
        <v>Cost is low but not suitable for long term use</v>
      </c>
    </row>
    <row r="7415" spans="1:3" ht="15.75" customHeight="1" x14ac:dyDescent="0.25">
      <c r="A7415" s="2" t="s">
        <v>7417</v>
      </c>
      <c r="B7415" s="3" t="s">
        <v>6</v>
      </c>
      <c r="C7415" s="2" t="str">
        <f ca="1">IFERROR(__xludf.DUMMYFUNCTION("GOOGLETRANSLATE(A7415,""bn"",""en"")"),"The ceramic of the teapot was thin and brittle, prone to cracking easily")</f>
        <v>The ceramic of the teapot was thin and brittle, prone to cracking easily</v>
      </c>
    </row>
    <row r="7416" spans="1:3" ht="15.75" customHeight="1" x14ac:dyDescent="0.25">
      <c r="A7416" s="2" t="s">
        <v>7418</v>
      </c>
      <c r="B7416" s="3" t="s">
        <v>2</v>
      </c>
      <c r="C7416" s="2" t="str">
        <f ca="1">IFERROR(__xludf.DUMMYFUNCTION("GOOGLETRANSLATE(A7416,""bn"",""en"")"),"Works but not perfect")</f>
        <v>Works but not perfect</v>
      </c>
    </row>
    <row r="7417" spans="1:3" ht="15.75" customHeight="1" x14ac:dyDescent="0.25">
      <c r="A7417" s="2" t="s">
        <v>7419</v>
      </c>
      <c r="B7417" s="3" t="s">
        <v>2</v>
      </c>
      <c r="C7417" s="2" t="str">
        <f ca="1">IFERROR(__xludf.DUMMYFUNCTION("GOOGLETRANSLATE(A7417,""bn"",""en"")"),"If it worked, I could have chosen another brand")</f>
        <v>If it worked, I could have chosen another brand</v>
      </c>
    </row>
    <row r="7418" spans="1:3" ht="15.75" customHeight="1" x14ac:dyDescent="0.25">
      <c r="A7418" s="2" t="s">
        <v>7420</v>
      </c>
      <c r="B7418" s="3" t="s">
        <v>4</v>
      </c>
      <c r="C7418" s="2" t="str">
        <f ca="1">IFERROR(__xludf.DUMMYFUNCTION("GOOGLETRANSLATE(A7418,""bn"",""en"")"),"You will feel refreshed after using this body wash")</f>
        <v>You will feel refreshed after using this body wash</v>
      </c>
    </row>
    <row r="7419" spans="1:3" ht="15.75" customHeight="1" x14ac:dyDescent="0.25">
      <c r="A7419" s="2" t="s">
        <v>7421</v>
      </c>
      <c r="B7419" s="3" t="s">
        <v>6</v>
      </c>
      <c r="C7419" s="2" t="str">
        <f ca="1">IFERROR(__xludf.DUMMYFUNCTION("GOOGLETRANSLATE(A7419,""bn"",""en"")"),"Sizing problems persist, leading to repeated frustrations")</f>
        <v>Sizing problems persist, leading to repeated frustrations</v>
      </c>
    </row>
    <row r="7420" spans="1:3" ht="15.75" customHeight="1" x14ac:dyDescent="0.25">
      <c r="A7420" s="2" t="s">
        <v>7422</v>
      </c>
      <c r="B7420" s="3" t="s">
        <v>6</v>
      </c>
      <c r="C7420" s="2" t="str">
        <f ca="1">IFERROR(__xludf.DUMMYFUNCTION("GOOGLETRANSLATE(A7420,""bn"",""en"")"),"The fabric feels scratchy and abrasive against the skin")</f>
        <v>The fabric feels scratchy and abrasive against the skin</v>
      </c>
    </row>
    <row r="7421" spans="1:3" ht="15.75" customHeight="1" x14ac:dyDescent="0.25">
      <c r="A7421" s="2" t="s">
        <v>7423</v>
      </c>
      <c r="B7421" s="3" t="s">
        <v>2</v>
      </c>
      <c r="C7421" s="2" t="str">
        <f ca="1">IFERROR(__xludf.DUMMYFUNCTION("GOOGLETRANSLATE(A7421,""bn"",""en"")"),"The price-quality ratio is not so good")</f>
        <v>The price-quality ratio is not so good</v>
      </c>
    </row>
    <row r="7422" spans="1:3" ht="15.75" customHeight="1" x14ac:dyDescent="0.25">
      <c r="A7422" s="2" t="s">
        <v>7424</v>
      </c>
      <c r="B7422" s="3" t="s">
        <v>4</v>
      </c>
      <c r="C7422" s="2" t="str">
        <f ca="1">IFERROR(__xludf.DUMMYFUNCTION("GOOGLETRANSLATE(A7422,""bn"",""en"")"),"Simply Works is good value")</f>
        <v>Simply Works is good value</v>
      </c>
    </row>
    <row r="7423" spans="1:3" ht="15.75" customHeight="1" x14ac:dyDescent="0.25">
      <c r="A7423" s="2" t="s">
        <v>7425</v>
      </c>
      <c r="B7423" s="3" t="s">
        <v>2</v>
      </c>
      <c r="C7423" s="2" t="str">
        <f ca="1">IFERROR(__xludf.DUMMYFUNCTION("GOOGLETRANSLATE(A7423,""bn"",""en"")"),"Good price moderate quality")</f>
        <v>Good price moderate quality</v>
      </c>
    </row>
    <row r="7424" spans="1:3" ht="15.75" customHeight="1" x14ac:dyDescent="0.25">
      <c r="A7424" s="2" t="s">
        <v>7426</v>
      </c>
      <c r="B7424" s="3" t="s">
        <v>2</v>
      </c>
      <c r="C7424" s="2" t="str">
        <f ca="1">IFERROR(__xludf.DUMMYFUNCTION("GOOGLETRANSLATE(A7424,""bn"",""en"")"),"Although plant growth was normal, the fertilizer did not improve significantly")</f>
        <v>Although plant growth was normal, the fertilizer did not improve significantly</v>
      </c>
    </row>
    <row r="7425" spans="1:3" ht="15.75" customHeight="1" x14ac:dyDescent="0.25">
      <c r="A7425" s="2" t="s">
        <v>7427</v>
      </c>
      <c r="B7425" s="3" t="s">
        <v>4</v>
      </c>
      <c r="C7425" s="2" t="str">
        <f ca="1">IFERROR(__xludf.DUMMYFUNCTION("GOOGLETRANSLATE(A7425,""bn"",""en"")"),"Since using this honey the health has improved a lot")</f>
        <v>Since using this honey the health has improved a lot</v>
      </c>
    </row>
    <row r="7426" spans="1:3" ht="15.75" customHeight="1" x14ac:dyDescent="0.25">
      <c r="A7426" s="2" t="s">
        <v>7428</v>
      </c>
      <c r="B7426" s="3" t="s">
        <v>6</v>
      </c>
      <c r="C7426" s="2" t="str">
        <f ca="1">IFERROR(__xludf.DUMMYFUNCTION("GOOGLETRANSLATE(A7426,""bn"",""en"")"),"The smart doorbell app drains the phone's battery very quickly")</f>
        <v>The smart doorbell app drains the phone's battery very quickly</v>
      </c>
    </row>
    <row r="7427" spans="1:3" ht="15.75" customHeight="1" x14ac:dyDescent="0.25">
      <c r="A7427" s="2" t="s">
        <v>7429</v>
      </c>
      <c r="B7427" s="3" t="s">
        <v>6</v>
      </c>
      <c r="C7427" s="2" t="str">
        <f ca="1">IFERROR(__xludf.DUMMYFUNCTION("GOOGLETRANSLATE(A7427,""bn"",""en"")"),"As a result of the swing, he returned and was very unhappy")</f>
        <v>As a result of the swing, he returned and was very unhappy</v>
      </c>
    </row>
    <row r="7428" spans="1:3" ht="15.75" customHeight="1" x14ac:dyDescent="0.25">
      <c r="A7428" s="2" t="s">
        <v>7430</v>
      </c>
      <c r="B7428" s="3" t="s">
        <v>6</v>
      </c>
      <c r="C7428" s="2" t="str">
        <f ca="1">IFERROR(__xludf.DUMMYFUNCTION("GOOGLETRANSLATE(A7428,""bn"",""en"")"),"The steam function of the iron causes water stains on clothes by spitting water")</f>
        <v>The steam function of the iron causes water stains on clothes by spitting water</v>
      </c>
    </row>
    <row r="7429" spans="1:3" ht="15.75" customHeight="1" x14ac:dyDescent="0.25">
      <c r="A7429" s="2" t="s">
        <v>7431</v>
      </c>
      <c r="B7429" s="3" t="s">
        <v>2</v>
      </c>
      <c r="C7429" s="2" t="str">
        <f ca="1">IFERROR(__xludf.DUMMYFUNCTION("GOOGLETRANSLATE(A7429,""bn"",""en"")"),"The price is low but the quality is low")</f>
        <v>The price is low but the quality is low</v>
      </c>
    </row>
    <row r="7430" spans="1:3" ht="15.75" customHeight="1" x14ac:dyDescent="0.25">
      <c r="A7430" s="2" t="s">
        <v>7432</v>
      </c>
      <c r="B7430" s="3" t="s">
        <v>6</v>
      </c>
      <c r="C7430" s="2" t="str">
        <f ca="1">IFERROR(__xludf.DUMMYFUNCTION("GOOGLETRANSLATE(A7430,""bn"",""en"")"),"The cups were poorly shaped with uneven rims")</f>
        <v>The cups were poorly shaped with uneven rims</v>
      </c>
    </row>
    <row r="7431" spans="1:3" ht="15.75" customHeight="1" x14ac:dyDescent="0.25">
      <c r="A7431" s="2" t="s">
        <v>7433</v>
      </c>
      <c r="B7431" s="3" t="s">
        <v>4</v>
      </c>
      <c r="C7431" s="2" t="str">
        <f ca="1">IFERROR(__xludf.DUMMYFUNCTION("GOOGLETRANSLATE(A7431,""bn"",""en"")"),"The packaging is attractive and the colors are nicely arranged")</f>
        <v>The packaging is attractive and the colors are nicely arranged</v>
      </c>
    </row>
    <row r="7432" spans="1:3" ht="15.75" customHeight="1" x14ac:dyDescent="0.25">
      <c r="A7432" s="2" t="s">
        <v>7434</v>
      </c>
      <c r="B7432" s="3" t="s">
        <v>2</v>
      </c>
      <c r="C7432" s="2" t="str">
        <f ca="1">IFERROR(__xludf.DUMMYFUNCTION("GOOGLETRANSLATE(A7432,""bn"",""en"")"),"The inner part of the pad is functional")</f>
        <v>The inner part of the pad is functional</v>
      </c>
    </row>
    <row r="7433" spans="1:3" ht="15.75" customHeight="1" x14ac:dyDescent="0.25">
      <c r="A7433" s="2" t="s">
        <v>7435</v>
      </c>
      <c r="B7433" s="3" t="s">
        <v>6</v>
      </c>
      <c r="C7433" s="2" t="str">
        <f ca="1">IFERROR(__xludf.DUMMYFUNCTION("GOOGLETRANSLATE(A7433,""bn"",""en"")"),"I didn't expect to be so disappointed")</f>
        <v>I didn't expect to be so disappointed</v>
      </c>
    </row>
    <row r="7434" spans="1:3" ht="15.75" customHeight="1" x14ac:dyDescent="0.25">
      <c r="A7434" s="2" t="s">
        <v>7436</v>
      </c>
      <c r="B7434" s="3" t="s">
        <v>6</v>
      </c>
      <c r="C7434" s="2" t="str">
        <f ca="1">IFERROR(__xludf.DUMMYFUNCTION("GOOGLETRANSLATE(A7434,""bn"",""en"")"),"The handle of an electric frying pan gets very hot, a potential burn hazard")</f>
        <v>The handle of an electric frying pan gets very hot, a potential burn hazard</v>
      </c>
    </row>
    <row r="7435" spans="1:3" ht="15.75" customHeight="1" x14ac:dyDescent="0.25">
      <c r="A7435" s="2" t="s">
        <v>7437</v>
      </c>
      <c r="B7435" s="3" t="s">
        <v>4</v>
      </c>
      <c r="C7435" s="2" t="str">
        <f ca="1">IFERROR(__xludf.DUMMYFUNCTION("GOOGLETRANSLATE(A7435,""bn"",""en"")"),"The makeup kit is suitable for all skin types")</f>
        <v>The makeup kit is suitable for all skin types</v>
      </c>
    </row>
    <row r="7436" spans="1:3" ht="15.75" customHeight="1" x14ac:dyDescent="0.25">
      <c r="A7436" s="2" t="s">
        <v>7438</v>
      </c>
      <c r="B7436" s="3" t="s">
        <v>4</v>
      </c>
      <c r="C7436" s="2" t="str">
        <f ca="1">IFERROR(__xludf.DUMMYFUNCTION("GOOGLETRANSLATE(A7436,""bn"",""en"")"),"Great for the price")</f>
        <v>Great for the price</v>
      </c>
    </row>
    <row r="7437" spans="1:3" ht="15.75" customHeight="1" x14ac:dyDescent="0.25">
      <c r="A7437" s="2" t="s">
        <v>7439</v>
      </c>
      <c r="B7437" s="3" t="s">
        <v>2</v>
      </c>
      <c r="C7437" s="2" t="str">
        <f ca="1">IFERROR(__xludf.DUMMYFUNCTION("GOOGLETRANSLATE(A7437,""bn"",""en"")"),"Extra key rings are sometimes misplaced")</f>
        <v>Extra key rings are sometimes misplaced</v>
      </c>
    </row>
    <row r="7438" spans="1:3" ht="15.75" customHeight="1" x14ac:dyDescent="0.25">
      <c r="A7438" s="2" t="s">
        <v>7440</v>
      </c>
      <c r="B7438" s="3" t="s">
        <v>4</v>
      </c>
      <c r="C7438" s="2" t="str">
        <f ca="1">IFERROR(__xludf.DUMMYFUNCTION("GOOGLETRANSLATE(A7438,""bn"",""en"")"),"The weight of the pencil is very light and does not hurt the hand while writing for a long time")</f>
        <v>The weight of the pencil is very light and does not hurt the hand while writing for a long time</v>
      </c>
    </row>
    <row r="7439" spans="1:3" ht="15.75" customHeight="1" x14ac:dyDescent="0.25">
      <c r="A7439" s="2" t="s">
        <v>7441</v>
      </c>
      <c r="B7439" s="3" t="s">
        <v>4</v>
      </c>
      <c r="C7439" s="2" t="str">
        <f ca="1">IFERROR(__xludf.DUMMYFUNCTION("GOOGLETRANSLATE(A7439,""bn"",""en"")"),"Great for watching time")</f>
        <v>Great for watching time</v>
      </c>
    </row>
    <row r="7440" spans="1:3" ht="15.75" customHeight="1" x14ac:dyDescent="0.25">
      <c r="A7440" s="2" t="s">
        <v>7442</v>
      </c>
      <c r="B7440" s="3" t="s">
        <v>6</v>
      </c>
      <c r="C7440" s="2" t="str">
        <f ca="1">IFERROR(__xludf.DUMMYFUNCTION("GOOGLETRANSLATE(A7440,""bn"",""en"")")," Control panel buttons are stuck when pressed making it difficult to adjust settings")</f>
        <v xml:space="preserve"> Control panel buttons are stuck when pressed making it difficult to adjust settings</v>
      </c>
    </row>
    <row r="7441" spans="1:3" ht="15.75" customHeight="1" x14ac:dyDescent="0.25">
      <c r="A7441" s="2" t="s">
        <v>7443</v>
      </c>
      <c r="B7441" s="3" t="s">
        <v>4</v>
      </c>
      <c r="C7441" s="2" t="str">
        <f ca="1">IFERROR(__xludf.DUMMYFUNCTION("GOOGLETRANSLATE(A7441,""bn"",""en"")"),"Every chapter of the new book is very interesting")</f>
        <v>Every chapter of the new book is very interesting</v>
      </c>
    </row>
    <row r="7442" spans="1:3" ht="15.75" customHeight="1" x14ac:dyDescent="0.25">
      <c r="A7442" s="2" t="s">
        <v>7444</v>
      </c>
      <c r="B7442" s="3" t="s">
        <v>6</v>
      </c>
      <c r="C7442" s="2" t="str">
        <f ca="1">IFERROR(__xludf.DUMMYFUNCTION("GOOGLETRANSLATE(A7442,""bn"",""en"")"),"Setting powder leaves a white cast on photos making skin look ghostly")</f>
        <v>Setting powder leaves a white cast on photos making skin look ghostly</v>
      </c>
    </row>
    <row r="7443" spans="1:3" ht="15.75" customHeight="1" x14ac:dyDescent="0.25">
      <c r="A7443" s="2" t="s">
        <v>7445</v>
      </c>
      <c r="B7443" s="3" t="s">
        <v>4</v>
      </c>
      <c r="C7443" s="2" t="str">
        <f ca="1">IFERROR(__xludf.DUMMYFUNCTION("GOOGLETRANSLATE(A7443,""bn"",""en"")"),"Great portable scanner that is easy to use")</f>
        <v>Great portable scanner that is easy to use</v>
      </c>
    </row>
    <row r="7444" spans="1:3" ht="15.75" customHeight="1" x14ac:dyDescent="0.25">
      <c r="A7444" s="2" t="s">
        <v>7446</v>
      </c>
      <c r="B7444" s="3" t="s">
        <v>2</v>
      </c>
      <c r="C7444" s="2" t="str">
        <f ca="1">IFERROR(__xludf.DUMMYFUNCTION("GOOGLETRANSLATE(A7444,""bn"",""en"")"),"The product may last longer but has some limitations")</f>
        <v>The product may last longer but has some limitations</v>
      </c>
    </row>
    <row r="7445" spans="1:3" ht="15.75" customHeight="1" x14ac:dyDescent="0.25">
      <c r="A7445" s="2" t="s">
        <v>7447</v>
      </c>
      <c r="B7445" s="3" t="s">
        <v>6</v>
      </c>
      <c r="C7445" s="2" t="str">
        <f ca="1">IFERROR(__xludf.DUMMYFUNCTION("GOOGLETRANSLATE(A7445,""bn"",""en"")"),"The exterior surface is prone to scratching and requires delicate handling to prevent damage")</f>
        <v>The exterior surface is prone to scratching and requires delicate handling to prevent damage</v>
      </c>
    </row>
    <row r="7446" spans="1:3" ht="15.75" customHeight="1" x14ac:dyDescent="0.25">
      <c r="A7446" s="2" t="s">
        <v>7448</v>
      </c>
      <c r="B7446" s="3" t="s">
        <v>4</v>
      </c>
      <c r="C7446" s="2" t="str">
        <f ca="1">IFERROR(__xludf.DUMMYFUNCTION("GOOGLETRANSLATE(A7446,""bn"",""en"")"),"Liked a lot ")</f>
        <v xml:space="preserve">Liked a lot </v>
      </c>
    </row>
    <row r="7447" spans="1:3" ht="15.75" customHeight="1" x14ac:dyDescent="0.25">
      <c r="A7447" s="2" t="s">
        <v>7449</v>
      </c>
      <c r="B7447" s="3" t="s">
        <v>2</v>
      </c>
      <c r="C7447" s="2" t="str">
        <f ca="1">IFERROR(__xludf.DUMMYFUNCTION("GOOGLETRANSLATE(A7447,""bn"",""en"")"),"Some plants did well but the fertilizer was not fully effective")</f>
        <v>Some plants did well but the fertilizer was not fully effective</v>
      </c>
    </row>
    <row r="7448" spans="1:3" ht="15.75" customHeight="1" x14ac:dyDescent="0.25">
      <c r="A7448" s="2" t="s">
        <v>7450</v>
      </c>
      <c r="B7448" s="3" t="s">
        <v>4</v>
      </c>
      <c r="C7448" s="2" t="str">
        <f ca="1">IFERROR(__xludf.DUMMYFUNCTION("GOOGLETRANSLATE(A7448,""bn"",""en"")"),"Drinking this tea starts my day in a good way")</f>
        <v>Drinking this tea starts my day in a good way</v>
      </c>
    </row>
    <row r="7449" spans="1:3" ht="15.75" customHeight="1" x14ac:dyDescent="0.25">
      <c r="A7449" s="2" t="s">
        <v>7451</v>
      </c>
      <c r="B7449" s="3" t="s">
        <v>6</v>
      </c>
      <c r="C7449" s="2" t="str">
        <f ca="1">IFERROR(__xludf.DUMMYFUNCTION("GOOGLETRANSLATE(A7449,""bn"",""en"")"),"Excess product residue left hair feeling heavy and greasy")</f>
        <v>Excess product residue left hair feeling heavy and greasy</v>
      </c>
    </row>
    <row r="7450" spans="1:3" ht="15.75" customHeight="1" x14ac:dyDescent="0.25">
      <c r="A7450" s="2" t="s">
        <v>7452</v>
      </c>
      <c r="B7450" s="3" t="s">
        <v>4</v>
      </c>
      <c r="C7450" s="2" t="str">
        <f ca="1">IFERROR(__xludf.DUMMYFUNCTION("GOOGLETRANSLATE(A7450,""bn"",""en"")"),"Made using healthy ingredients")</f>
        <v>Made using healthy ingredients</v>
      </c>
    </row>
    <row r="7451" spans="1:3" ht="15.75" customHeight="1" x14ac:dyDescent="0.25">
      <c r="A7451" s="2" t="s">
        <v>7453</v>
      </c>
      <c r="B7451" s="3" t="s">
        <v>4</v>
      </c>
      <c r="C7451" s="2" t="str">
        <f ca="1">IFERROR(__xludf.DUMMYFUNCTION("GOOGLETRANSLATE(A7451,""bn"",""en"")"),"This body wash cleans the skin pores")</f>
        <v>This body wash cleans the skin pores</v>
      </c>
    </row>
    <row r="7452" spans="1:3" ht="15.75" customHeight="1" x14ac:dyDescent="0.25">
      <c r="A7452" s="2" t="s">
        <v>7454</v>
      </c>
      <c r="B7452" s="3" t="s">
        <v>2</v>
      </c>
      <c r="C7452" s="2" t="str">
        <f ca="1">IFERROR(__xludf.DUMMYFUNCTION("GOOGLETRANSLATE(A7452,""bn"",""en"")"),"Use in drip coffee gives acceptable results")</f>
        <v>Use in drip coffee gives acceptable results</v>
      </c>
    </row>
    <row r="7453" spans="1:3" ht="15.75" customHeight="1" x14ac:dyDescent="0.25">
      <c r="A7453" s="2" t="s">
        <v>7455</v>
      </c>
      <c r="B7453" s="3" t="s">
        <v>2</v>
      </c>
      <c r="C7453" s="2" t="str">
        <f ca="1">IFERROR(__xludf.DUMMYFUNCTION("GOOGLETRANSLATE(A7453,""bn"",""en"")"),"somewhat satisfactory")</f>
        <v>somewhat satisfactory</v>
      </c>
    </row>
    <row r="7454" spans="1:3" ht="15.75" customHeight="1" x14ac:dyDescent="0.25">
      <c r="A7454" s="2" t="s">
        <v>7456</v>
      </c>
      <c r="B7454" s="3" t="s">
        <v>6</v>
      </c>
      <c r="C7454" s="2" t="str">
        <f ca="1">IFERROR(__xludf.DUMMYFUNCTION("GOOGLETRANSLATE(A7454,""bn"",""en"")"),"Design movement and performance analysis shows the limitations of the movement and performance of the garment")</f>
        <v>Design movement and performance analysis shows the limitations of the movement and performance of the garment</v>
      </c>
    </row>
    <row r="7455" spans="1:3" ht="15.75" customHeight="1" x14ac:dyDescent="0.25">
      <c r="A7455" s="2" t="s">
        <v>7457</v>
      </c>
      <c r="B7455" s="3" t="s">
        <v>6</v>
      </c>
      <c r="C7455" s="2" t="str">
        <f ca="1">IFERROR(__xludf.DUMMYFUNCTION("GOOGLETRANSLATE(A7455,""bn"",""en"")"),"The makeup sponge tears easily after just a few washes making it unusable")</f>
        <v>The makeup sponge tears easily after just a few washes making it unusable</v>
      </c>
    </row>
    <row r="7456" spans="1:3" ht="15.75" customHeight="1" x14ac:dyDescent="0.25">
      <c r="A7456" s="2" t="s">
        <v>7458</v>
      </c>
      <c r="B7456" s="3" t="s">
        <v>2</v>
      </c>
      <c r="C7456" s="2" t="str">
        <f ca="1">IFERROR(__xludf.DUMMYFUNCTION("GOOGLETRANSLATE(A7456,""bn"",""en"")"),"The bathtub pillow can be used but gets moldy quickly")</f>
        <v>The bathtub pillow can be used but gets moldy quickly</v>
      </c>
    </row>
    <row r="7457" spans="1:3" ht="15.75" customHeight="1" x14ac:dyDescent="0.25">
      <c r="A7457" s="2" t="s">
        <v>7459</v>
      </c>
      <c r="B7457" s="3" t="s">
        <v>6</v>
      </c>
      <c r="C7457" s="2" t="str">
        <f ca="1">IFERROR(__xludf.DUMMYFUNCTION("GOOGLETRANSLATE(A7457,""bn"",""en"")"),"The camera's touchscreen interface is unresponsive and tends to lag, slowing things down")</f>
        <v>The camera's touchscreen interface is unresponsive and tends to lag, slowing things down</v>
      </c>
    </row>
    <row r="7458" spans="1:3" ht="15.75" customHeight="1" x14ac:dyDescent="0.25">
      <c r="A7458" s="2" t="s">
        <v>7460</v>
      </c>
      <c r="B7458" s="3" t="s">
        <v>6</v>
      </c>
      <c r="C7458" s="2" t="str">
        <f ca="1">IFERROR(__xludf.DUMMYFUNCTION("GOOGLETRANSLATE(A7458,""bn"",""en"")"),"The VoiceActive speaker can't understand pronunciation which is frustrating")</f>
        <v>The VoiceActive speaker can't understand pronunciation which is frustrating</v>
      </c>
    </row>
    <row r="7459" spans="1:3" ht="15.75" customHeight="1" x14ac:dyDescent="0.25">
      <c r="A7459" s="2" t="s">
        <v>7461</v>
      </c>
      <c r="B7459" s="3" t="s">
        <v>4</v>
      </c>
      <c r="C7459" s="2" t="str">
        <f ca="1">IFERROR(__xludf.DUMMYFUNCTION("GOOGLETRANSLATE(A7459,""bn"",""en"")"),"I love the color fastness of this set as it has not faded after many uses and washes")</f>
        <v>I love the color fastness of this set as it has not faded after many uses and washes</v>
      </c>
    </row>
    <row r="7460" spans="1:3" ht="15.75" customHeight="1" x14ac:dyDescent="0.25">
      <c r="A7460" s="2" t="s">
        <v>7462</v>
      </c>
      <c r="B7460" s="3" t="s">
        <v>4</v>
      </c>
      <c r="C7460" s="2" t="str">
        <f ca="1">IFERROR(__xludf.DUMMYFUNCTION("GOOGLETRANSLATE(A7460,""bn"",""en"")"),"The battery life of this device is very long")</f>
        <v>The battery life of this device is very long</v>
      </c>
    </row>
    <row r="7461" spans="1:3" ht="15.75" customHeight="1" x14ac:dyDescent="0.25">
      <c r="A7461" s="2" t="s">
        <v>7463</v>
      </c>
      <c r="B7461" s="3" t="s">
        <v>2</v>
      </c>
      <c r="C7461" s="2" t="str">
        <f ca="1">IFERROR(__xludf.DUMMYFUNCTION("GOOGLETRANSLATE(A7461,""bn"",""en"")"),"Made a bit of a difference but felt a bit overrated")</f>
        <v>Made a bit of a difference but felt a bit overrated</v>
      </c>
    </row>
    <row r="7462" spans="1:3" ht="15.75" customHeight="1" x14ac:dyDescent="0.25">
      <c r="A7462" s="2" t="s">
        <v>7464</v>
      </c>
      <c r="B7462" s="3" t="s">
        <v>2</v>
      </c>
      <c r="C7462" s="2" t="str">
        <f ca="1">IFERROR(__xludf.DUMMYFUNCTION("GOOGLETRANSLATE(A7462,""bn"",""en"")"),"Sound is ok on headphones but ears hurt after a long time")</f>
        <v>Sound is ok on headphones but ears hurt after a long time</v>
      </c>
    </row>
    <row r="7463" spans="1:3" ht="15.75" customHeight="1" x14ac:dyDescent="0.25">
      <c r="A7463" s="2" t="s">
        <v>7465</v>
      </c>
      <c r="B7463" s="3" t="s">
        <v>4</v>
      </c>
      <c r="C7463" s="2" t="str">
        <f ca="1">IFERROR(__xludf.DUMMYFUNCTION("GOOGLETRANSLATE(A7463,""bn"",""en"")"),"This coffee starts my day with an amazing experience")</f>
        <v>This coffee starts my day with an amazing experience</v>
      </c>
    </row>
    <row r="7464" spans="1:3" ht="15.75" customHeight="1" x14ac:dyDescent="0.25">
      <c r="A7464" s="2" t="s">
        <v>7466</v>
      </c>
      <c r="B7464" s="3" t="s">
        <v>4</v>
      </c>
      <c r="C7464" s="2" t="str">
        <f ca="1">IFERROR(__xludf.DUMMYFUNCTION("GOOGLETRANSLATE(A7464,""bn"",""en"")")," In the future I will order more products and the product is much better and if works well")</f>
        <v xml:space="preserve"> In the future I will order more products and the product is much better and if works well</v>
      </c>
    </row>
    <row r="7465" spans="1:3" ht="15.75" customHeight="1" x14ac:dyDescent="0.25">
      <c r="A7465" s="2" t="s">
        <v>7467</v>
      </c>
      <c r="B7465" s="3" t="s">
        <v>2</v>
      </c>
      <c r="C7465" s="2" t="str">
        <f ca="1">IFERROR(__xludf.DUMMYFUNCTION("GOOGLETRANSLATE(A7465,""bn"",""en"")"),"The quality of the plastic is fair")</f>
        <v>The quality of the plastic is fair</v>
      </c>
    </row>
    <row r="7466" spans="1:3" ht="15.75" customHeight="1" x14ac:dyDescent="0.25">
      <c r="A7466" s="2" t="s">
        <v>7468</v>
      </c>
      <c r="B7466" s="3" t="s">
        <v>4</v>
      </c>
      <c r="C7466" s="2" t="str">
        <f ca="1">IFERROR(__xludf.DUMMYFUNCTION("GOOGLETRANSLATE(A7466,""bn"",""en"")"),"The camera of the mobile is very high quality")</f>
        <v>The camera of the mobile is very high quality</v>
      </c>
    </row>
    <row r="7467" spans="1:3" ht="15.75" customHeight="1" x14ac:dyDescent="0.25">
      <c r="A7467" s="2" t="s">
        <v>7469</v>
      </c>
      <c r="B7467" s="3" t="s">
        <v>6</v>
      </c>
      <c r="C7467" s="2" t="str">
        <f ca="1">IFERROR(__xludf.DUMMYFUNCTION("GOOGLETRANSLATE(A7467,""bn"",""en"")"),"The hair serum left my hair feeling greasy and weighed down")</f>
        <v>The hair serum left my hair feeling greasy and weighed down</v>
      </c>
    </row>
    <row r="7468" spans="1:3" ht="15.75" customHeight="1" x14ac:dyDescent="0.25">
      <c r="A7468" s="2" t="s">
        <v>7470</v>
      </c>
      <c r="B7468" s="3" t="s">
        <v>4</v>
      </c>
      <c r="C7468" s="2" t="str">
        <f ca="1">IFERROR(__xludf.DUMMYFUNCTION("GOOGLETRANSLATE(A7468,""bn"",""en"")"),"I searched and found that the mobile battery was fully charged in one hour and ten minutes")</f>
        <v>I searched and found that the mobile battery was fully charged in one hour and ten minutes</v>
      </c>
    </row>
    <row r="7469" spans="1:3" ht="15.75" customHeight="1" x14ac:dyDescent="0.25">
      <c r="A7469" s="2" t="s">
        <v>7471</v>
      </c>
      <c r="B7469" s="3" t="s">
        <v>4</v>
      </c>
      <c r="C7469" s="2" t="str">
        <f ca="1">IFERROR(__xludf.DUMMYFUNCTION("GOOGLETRANSLATE(A7469,""bn"",""en"")"),"Great product great product easy perfect and fast")</f>
        <v>Great product great product easy perfect and fast</v>
      </c>
    </row>
    <row r="7470" spans="1:3" ht="15.75" customHeight="1" x14ac:dyDescent="0.25">
      <c r="A7470" s="2" t="s">
        <v>7472</v>
      </c>
      <c r="B7470" s="3" t="s">
        <v>2</v>
      </c>
      <c r="C7470" s="2" t="str">
        <f ca="1">IFERROR(__xludf.DUMMYFUNCTION("GOOGLETRANSLATE(A7470,""bn"",""en"")"),"Reusable but color fades after each use")</f>
        <v>Reusable but color fades after each use</v>
      </c>
    </row>
    <row r="7471" spans="1:3" ht="15.75" customHeight="1" x14ac:dyDescent="0.25">
      <c r="A7471" s="2" t="s">
        <v>7473</v>
      </c>
      <c r="B7471" s="3" t="s">
        <v>2</v>
      </c>
      <c r="C7471" s="2" t="str">
        <f ca="1">IFERROR(__xludf.DUMMYFUNCTION("GOOGLETRANSLATE(A7471,""bn"",""en"")"),"Keeps warm but can overheat at times")</f>
        <v>Keeps warm but can overheat at times</v>
      </c>
    </row>
    <row r="7472" spans="1:3" ht="15.75" customHeight="1" x14ac:dyDescent="0.25">
      <c r="A7472" s="2" t="s">
        <v>7474</v>
      </c>
      <c r="B7472" s="3" t="s">
        <v>4</v>
      </c>
      <c r="C7472" s="2" t="str">
        <f ca="1">IFERROR(__xludf.DUMMYFUNCTION("GOOGLETRANSLATE(A7472,""bn"",""en"")"),"The watch is very reliable")</f>
        <v>The watch is very reliable</v>
      </c>
    </row>
    <row r="7473" spans="1:3" ht="15.75" customHeight="1" x14ac:dyDescent="0.25">
      <c r="A7473" s="2" t="s">
        <v>7475</v>
      </c>
      <c r="B7473" s="3" t="s">
        <v>6</v>
      </c>
      <c r="C7473" s="2" t="str">
        <f ca="1">IFERROR(__xludf.DUMMYFUNCTION("GOOGLETRANSLATE(A7473,""bn"",""en"")"),"Item size was too large taking up too much space")</f>
        <v>Item size was too large taking up too much space</v>
      </c>
    </row>
    <row r="7474" spans="1:3" ht="15.75" customHeight="1" x14ac:dyDescent="0.25">
      <c r="A7474" s="2" t="s">
        <v>7476</v>
      </c>
      <c r="B7474" s="3" t="s">
        <v>4</v>
      </c>
      <c r="C7474" s="2" t="str">
        <f ca="1">IFERROR(__xludf.DUMMYFUNCTION("GOOGLETRANSLATE(A7474,""bn"",""en"")"),"Hair has become much healthier by using the shampoo")</f>
        <v>Hair has become much healthier by using the shampoo</v>
      </c>
    </row>
    <row r="7475" spans="1:3" ht="15.75" customHeight="1" x14ac:dyDescent="0.25">
      <c r="A7475" s="2" t="s">
        <v>7477</v>
      </c>
      <c r="B7475" s="3" t="s">
        <v>2</v>
      </c>
      <c r="C7475" s="2" t="str">
        <f ca="1">IFERROR(__xludf.DUMMYFUNCTION("GOOGLETRANSLATE(A7475,""bn"",""en"")"),"Investments have value savings may not meet expectations")</f>
        <v>Investments have value savings may not meet expectations</v>
      </c>
    </row>
    <row r="7476" spans="1:3" ht="15.75" customHeight="1" x14ac:dyDescent="0.25">
      <c r="A7476" s="2" t="s">
        <v>7478</v>
      </c>
      <c r="B7476" s="3" t="s">
        <v>4</v>
      </c>
      <c r="C7476" s="2" t="str">
        <f ca="1">IFERROR(__xludf.DUMMYFUNCTION("GOOGLETRANSLATE(A7476,""bn"",""en"")"),"Great value")</f>
        <v>Great value</v>
      </c>
    </row>
    <row r="7477" spans="1:3" ht="15.75" customHeight="1" x14ac:dyDescent="0.25">
      <c r="A7477" s="2" t="s">
        <v>7479</v>
      </c>
      <c r="B7477" s="3" t="s">
        <v>6</v>
      </c>
      <c r="C7477" s="2" t="str">
        <f ca="1">IFERROR(__xludf.DUMMYFUNCTION("GOOGLETRANSLATE(A7477,""bn"",""en"")"),"Sustainability issues are quickly emerging")</f>
        <v>Sustainability issues are quickly emerging</v>
      </c>
    </row>
    <row r="7478" spans="1:3" ht="15.75" customHeight="1" x14ac:dyDescent="0.25">
      <c r="A7478" s="2" t="s">
        <v>7480</v>
      </c>
      <c r="B7478" s="3" t="s">
        <v>4</v>
      </c>
      <c r="C7478" s="2" t="str">
        <f ca="1">IFERROR(__xludf.DUMMYFUNCTION("GOOGLETRANSLATE(A7478,""bn"",""en"")"),"I learned a lot from reading the book")</f>
        <v>I learned a lot from reading the book</v>
      </c>
    </row>
    <row r="7479" spans="1:3" ht="15.75" customHeight="1" x14ac:dyDescent="0.25">
      <c r="A7479" s="2" t="s">
        <v>7481</v>
      </c>
      <c r="B7479" s="3" t="s">
        <v>4</v>
      </c>
      <c r="C7479" s="2" t="str">
        <f ca="1">IFERROR(__xludf.DUMMYFUNCTION("GOOGLETRANSLATE(A7479,""bn"",""en"")"),"The glasses case is sturdy and looks stylish")</f>
        <v>The glasses case is sturdy and looks stylish</v>
      </c>
    </row>
    <row r="7480" spans="1:3" ht="15.75" customHeight="1" x14ac:dyDescent="0.25">
      <c r="A7480" s="2" t="s">
        <v>7482</v>
      </c>
      <c r="B7480" s="3" t="s">
        <v>2</v>
      </c>
      <c r="C7480" s="2" t="str">
        <f ca="1">IFERROR(__xludf.DUMMYFUNCTION("GOOGLETRANSLATE(A7480,""bn"",""en"")"),"The design is nice but seems not durable")</f>
        <v>The design is nice but seems not durable</v>
      </c>
    </row>
    <row r="7481" spans="1:3" ht="15.75" customHeight="1" x14ac:dyDescent="0.25">
      <c r="A7481" s="2" t="s">
        <v>7483</v>
      </c>
      <c r="B7481" s="3" t="s">
        <v>2</v>
      </c>
      <c r="C7481" s="2" t="str">
        <f ca="1">IFERROR(__xludf.DUMMYFUNCTION("GOOGLETRANSLATE(A7481,""bn"",""en"")"),"Usable but not very attractive")</f>
        <v>Usable but not very attractive</v>
      </c>
    </row>
    <row r="7482" spans="1:3" ht="15.75" customHeight="1" x14ac:dyDescent="0.25">
      <c r="A7482" s="2" t="s">
        <v>7484</v>
      </c>
      <c r="B7482" s="3" t="s">
        <v>2</v>
      </c>
      <c r="C7482" s="2" t="str">
        <f ca="1">IFERROR(__xludf.DUMMYFUNCTION("GOOGLETRANSLATE(A7482,""bn"",""en"")"),"Golf club designs are beautiful but irons are heavy")</f>
        <v>Golf club designs are beautiful but irons are heavy</v>
      </c>
    </row>
    <row r="7483" spans="1:3" ht="15.75" customHeight="1" x14ac:dyDescent="0.25">
      <c r="A7483" s="2" t="s">
        <v>7485</v>
      </c>
      <c r="B7483" s="3" t="s">
        <v>6</v>
      </c>
      <c r="C7483" s="2" t="str">
        <f ca="1">IFERROR(__xludf.DUMMYFUNCTION("GOOGLETRANSLATE(A7483,""bn"",""en"")")," The door does not latch securely causing it to open unexpectedly")</f>
        <v xml:space="preserve"> The door does not latch securely causing it to open unexpectedly</v>
      </c>
    </row>
    <row r="7484" spans="1:3" ht="15.75" customHeight="1" x14ac:dyDescent="0.25">
      <c r="A7484" s="2" t="s">
        <v>7486</v>
      </c>
      <c r="B7484" s="3" t="s">
        <v>4</v>
      </c>
      <c r="C7484" s="2" t="str">
        <f ca="1">IFERROR(__xludf.DUMMYFUNCTION("GOOGLETRANSLATE(A7484,""bn"",""en"")"),"Long lasting and durable")</f>
        <v>Long lasting and durable</v>
      </c>
    </row>
    <row r="7485" spans="1:3" ht="15.75" customHeight="1" x14ac:dyDescent="0.25">
      <c r="A7485" s="2" t="s">
        <v>7487</v>
      </c>
      <c r="B7485" s="3" t="s">
        <v>6</v>
      </c>
      <c r="C7485" s="2" t="str">
        <f ca="1">IFERROR(__xludf.DUMMYFUNCTION("GOOGLETRANSLATE(A7485,""bn"",""en"")"),"Poor durability and construction ")</f>
        <v xml:space="preserve">Poor durability and construction </v>
      </c>
    </row>
    <row r="7486" spans="1:3" ht="15.75" customHeight="1" x14ac:dyDescent="0.25">
      <c r="A7486" s="2" t="s">
        <v>7488</v>
      </c>
      <c r="B7486" s="3" t="s">
        <v>2</v>
      </c>
      <c r="C7486" s="2" t="str">
        <f ca="1">IFERROR(__xludf.DUMMYFUNCTION("GOOGLETRANSLATE(A7486,""bn"",""en"")"),"Did not work May have reliability concerns")</f>
        <v>Did not work May have reliability concerns</v>
      </c>
    </row>
    <row r="7487" spans="1:3" ht="15.75" customHeight="1" x14ac:dyDescent="0.25">
      <c r="A7487" s="2" t="s">
        <v>7489</v>
      </c>
      <c r="B7487" s="3" t="s">
        <v>6</v>
      </c>
      <c r="C7487" s="2" t="str">
        <f ca="1">IFERROR(__xludf.DUMMYFUNCTION("GOOGLETRANSLATE(A7487,""bn"",""en"")"),"The laptop display has uneven backlighting resulting in patches of brightness and darkness")</f>
        <v>The laptop display has uneven backlighting resulting in patches of brightness and darkness</v>
      </c>
    </row>
    <row r="7488" spans="1:3" ht="15.75" customHeight="1" x14ac:dyDescent="0.25">
      <c r="A7488" s="2" t="s">
        <v>7490</v>
      </c>
      <c r="B7488" s="3" t="s">
        <v>2</v>
      </c>
      <c r="C7488" s="2" t="str">
        <f ca="1">IFERROR(__xludf.DUMMYFUNCTION("GOOGLETRANSLATE(A7488,""bn"",""en"")"),"It can be used in any part of electronics")</f>
        <v>It can be used in any part of electronics</v>
      </c>
    </row>
    <row r="7489" spans="1:3" ht="15.75" customHeight="1" x14ac:dyDescent="0.25">
      <c r="A7489" s="2" t="s">
        <v>7491</v>
      </c>
      <c r="B7489" s="3" t="s">
        <v>4</v>
      </c>
      <c r="C7489" s="2" t="str">
        <f ca="1">IFERROR(__xludf.DUMMYFUNCTION("GOOGLETRANSLATE(A7489,""bn"",""en"")"),"Water resistant for outdoor use, getting wet in the rain is no problem")</f>
        <v>Water resistant for outdoor use, getting wet in the rain is no problem</v>
      </c>
    </row>
    <row r="7490" spans="1:3" ht="15.75" customHeight="1" x14ac:dyDescent="0.25">
      <c r="A7490" s="2" t="s">
        <v>7492</v>
      </c>
      <c r="B7490" s="3" t="s">
        <v>6</v>
      </c>
      <c r="C7490" s="2" t="str">
        <f ca="1">IFERROR(__xludf.DUMMYFUNCTION("GOOGLETRANSLATE(A7490,""bn"",""en"")"),"The wash left my skin feeling dry and tight")</f>
        <v>The wash left my skin feeling dry and tight</v>
      </c>
    </row>
    <row r="7491" spans="1:3" ht="15.75" customHeight="1" x14ac:dyDescent="0.25">
      <c r="A7491" s="2" t="s">
        <v>7493</v>
      </c>
      <c r="B7491" s="3" t="s">
        <v>4</v>
      </c>
      <c r="C7491" s="2" t="str">
        <f ca="1">IFERROR(__xludf.DUMMYFUNCTION("GOOGLETRANSLATE(A7491,""bn"",""en"")"),"Changing the watch battery is easy")</f>
        <v>Changing the watch battery is easy</v>
      </c>
    </row>
    <row r="7492" spans="1:3" ht="15.75" customHeight="1" x14ac:dyDescent="0.25">
      <c r="A7492" s="2" t="s">
        <v>7494</v>
      </c>
      <c r="B7492" s="3" t="s">
        <v>6</v>
      </c>
      <c r="C7492" s="2" t="str">
        <f ca="1">IFERROR(__xludf.DUMMYFUNCTION("GOOGLETRANSLATE(A7492,""bn"",""en"")"),"Got one with a weird smell that indicates bad storage")</f>
        <v>Got one with a weird smell that indicates bad storage</v>
      </c>
    </row>
    <row r="7493" spans="1:3" ht="15.75" customHeight="1" x14ac:dyDescent="0.25">
      <c r="A7493" s="2" t="s">
        <v>7495</v>
      </c>
      <c r="B7493" s="3" t="s">
        <v>6</v>
      </c>
      <c r="C7493" s="2" t="str">
        <f ca="1">IFERROR(__xludf.DUMMYFUNCTION("GOOGLETRANSLATE(A7493,""bn"",""en"")"),"The chemical taste and stale texture of the microwave popcorn was a far cry from the aroma of freshly popped corn")</f>
        <v>The chemical taste and stale texture of the microwave popcorn was a far cry from the aroma of freshly popped corn</v>
      </c>
    </row>
    <row r="7494" spans="1:3" ht="15.75" customHeight="1" x14ac:dyDescent="0.25">
      <c r="A7494" s="2" t="s">
        <v>7496</v>
      </c>
      <c r="B7494" s="3" t="s">
        <v>2</v>
      </c>
      <c r="C7494" s="2" t="str">
        <f ca="1">IFERROR(__xludf.DUMMYFUNCTION("GOOGLETRANSLATE(A7494,""bn"",""en"")"),"The plates are of normal size neither big nor small")</f>
        <v>The plates are of normal size neither big nor small</v>
      </c>
    </row>
    <row r="7495" spans="1:3" ht="15.75" customHeight="1" x14ac:dyDescent="0.25">
      <c r="A7495" s="2" t="s">
        <v>7497</v>
      </c>
      <c r="B7495" s="3" t="s">
        <v>4</v>
      </c>
      <c r="C7495" s="2" t="str">
        <f ca="1">IFERROR(__xludf.DUMMYFUNCTION("GOOGLETRANSLATE(A7495,""bn"",""en"")"),"Helpful in creating a calm environment at home")</f>
        <v>Helpful in creating a calm environment at home</v>
      </c>
    </row>
    <row r="7496" spans="1:3" ht="15.75" customHeight="1" x14ac:dyDescent="0.25">
      <c r="A7496" s="2" t="s">
        <v>7498</v>
      </c>
      <c r="B7496" s="3" t="s">
        <v>4</v>
      </c>
      <c r="C7496" s="2" t="str">
        <f ca="1">IFERROR(__xludf.DUMMYFUNCTION("GOOGLETRANSLATE(A7496,""bn"",""en"")"),"The table is very sturdy and can be easily moved")</f>
        <v>The table is very sturdy and can be easily moved</v>
      </c>
    </row>
    <row r="7497" spans="1:3" ht="15.75" customHeight="1" x14ac:dyDescent="0.25">
      <c r="A7497" s="2" t="s">
        <v>7499</v>
      </c>
      <c r="B7497" s="3" t="s">
        <v>2</v>
      </c>
      <c r="C7497" s="2" t="str">
        <f ca="1">IFERROR(__xludf.DUMMYFUNCTION("GOOGLETRANSLATE(A7497,""bn"",""en"")"),"Store properly after use")</f>
        <v>Store properly after use</v>
      </c>
    </row>
    <row r="7498" spans="1:3" ht="15.75" customHeight="1" x14ac:dyDescent="0.25">
      <c r="A7498" s="2" t="s">
        <v>7500</v>
      </c>
      <c r="B7498" s="3" t="s">
        <v>6</v>
      </c>
      <c r="C7498" s="2" t="str">
        <f ca="1">IFERROR(__xludf.DUMMYFUNCTION("GOOGLETRANSLATE(A7498,""bn"",""en"")"),"The curl cream promised definition but left my curls looking frizzy and undefined")</f>
        <v>The curl cream promised definition but left my curls looking frizzy and undefined</v>
      </c>
    </row>
    <row r="7499" spans="1:3" ht="15.75" customHeight="1" x14ac:dyDescent="0.25">
      <c r="A7499" s="2" t="s">
        <v>7501</v>
      </c>
      <c r="B7499" s="3" t="s">
        <v>4</v>
      </c>
      <c r="C7499" s="2" t="str">
        <f ca="1">IFERROR(__xludf.DUMMYFUNCTION("GOOGLETRANSLATE(A7499,""bn"",""en"")"),"With every kiss I feel the variety of its complex flavors")</f>
        <v>With every kiss I feel the variety of its complex flavors</v>
      </c>
    </row>
    <row r="7500" spans="1:3" ht="15.75" customHeight="1" x14ac:dyDescent="0.25">
      <c r="A7500" s="2" t="s">
        <v>7502</v>
      </c>
      <c r="B7500" s="3" t="s">
        <v>6</v>
      </c>
      <c r="C7500" s="2" t="str">
        <f ca="1">IFERROR(__xludf.DUMMYFUNCTION("GOOGLETRANSLATE(A7500,""bn"",""en"")"),"When I pour hot coffee, the carafe in the coffee maker breaks and creates a mess")</f>
        <v>When I pour hot coffee, the carafe in the coffee maker breaks and creates a mess</v>
      </c>
    </row>
    <row r="7501" spans="1:3" ht="15.75" customHeight="1" x14ac:dyDescent="0.25">
      <c r="A7501" s="2" t="s">
        <v>7503</v>
      </c>
      <c r="B7501" s="3" t="s">
        <v>2</v>
      </c>
      <c r="C7501" s="2" t="str">
        <f ca="1">IFERROR(__xludf.DUMMYFUNCTION("GOOGLETRANSLATE(A7501,""bn"",""en"")"),"Can also be used as a dining table")</f>
        <v>Can also be used as a dining table</v>
      </c>
    </row>
    <row r="7502" spans="1:3" ht="15.75" customHeight="1" x14ac:dyDescent="0.25">
      <c r="A7502" s="2" t="s">
        <v>7504</v>
      </c>
      <c r="B7502" s="3" t="s">
        <v>2</v>
      </c>
      <c r="C7502" s="2" t="str">
        <f ca="1">IFERROR(__xludf.DUMMYFUNCTION("GOOGLETRANSLATE(A7502,""bn"",""en"")"),"The color is vibrant but not durable")</f>
        <v>The color is vibrant but not durable</v>
      </c>
    </row>
    <row r="7503" spans="1:3" ht="15.75" customHeight="1" x14ac:dyDescent="0.25">
      <c r="A7503" s="2" t="s">
        <v>7505</v>
      </c>
      <c r="B7503" s="3" t="s">
        <v>4</v>
      </c>
      <c r="C7503" s="2" t="str">
        <f ca="1">IFERROR(__xludf.DUMMYFUNCTION("GOOGLETRANSLATE(A7503,""bn"",""en"")"),"I have noticed that these utensils are stain resistant and even after eating tomato sauce or curry they get cleaned easily")</f>
        <v>I have noticed that these utensils are stain resistant and even after eating tomato sauce or curry they get cleaned easily</v>
      </c>
    </row>
    <row r="7504" spans="1:3" ht="15.75" customHeight="1" x14ac:dyDescent="0.25">
      <c r="A7504" s="2" t="s">
        <v>7506</v>
      </c>
      <c r="B7504" s="3" t="s">
        <v>4</v>
      </c>
      <c r="C7504" s="2" t="str">
        <f ca="1">IFERROR(__xludf.DUMMYFUNCTION("GOOGLETRANSLATE(A7504,""bn"",""en"")"),"The quality of the graphite is very good so it is easy to write and no pressure is applied while writing")</f>
        <v>The quality of the graphite is very good so it is easy to write and no pressure is applied while writing</v>
      </c>
    </row>
    <row r="7505" spans="1:3" ht="15.75" customHeight="1" x14ac:dyDescent="0.25">
      <c r="A7505" s="2" t="s">
        <v>7507</v>
      </c>
      <c r="B7505" s="3" t="s">
        <v>4</v>
      </c>
      <c r="C7505" s="2" t="str">
        <f ca="1">IFERROR(__xludf.DUMMYFUNCTION("GOOGLETRANSLATE(A7505,""bn"",""en"")"),"Good value for money")</f>
        <v>Good value for money</v>
      </c>
    </row>
    <row r="7506" spans="1:3" ht="15.75" customHeight="1" x14ac:dyDescent="0.25">
      <c r="A7506" s="2" t="s">
        <v>7508</v>
      </c>
      <c r="B7506" s="3" t="s">
        <v>6</v>
      </c>
      <c r="C7506" s="2" t="str">
        <f ca="1">IFERROR(__xludf.DUMMYFUNCTION("GOOGLETRANSLATE(A7506,""bn"",""en"")"),"The prepackaged deli meats were thin and had an off-flavor that suggested spoilage")</f>
        <v>The prepackaged deli meats were thin and had an off-flavor that suggested spoilage</v>
      </c>
    </row>
    <row r="7507" spans="1:3" ht="15.75" customHeight="1" x14ac:dyDescent="0.25">
      <c r="A7507" s="2" t="s">
        <v>7509</v>
      </c>
      <c r="B7507" s="3" t="s">
        <v>4</v>
      </c>
      <c r="C7507" s="2" t="str">
        <f ca="1">IFERROR(__xludf.DUMMYFUNCTION("GOOGLETRANSLATE(A7507,""bn"",""en"")"),"Its packaging is very beautiful and hygienic which gives peace of mind while using it")</f>
        <v>Its packaging is very beautiful and hygienic which gives peace of mind while using it</v>
      </c>
    </row>
    <row r="7508" spans="1:3" ht="15.75" customHeight="1" x14ac:dyDescent="0.25">
      <c r="A7508" s="2" t="s">
        <v>7510</v>
      </c>
      <c r="B7508" s="3" t="s">
        <v>2</v>
      </c>
      <c r="C7508" s="2" t="str">
        <f ca="1">IFERROR(__xludf.DUMMYFUNCTION("GOOGLETRANSLATE(A7508,""bn"",""en"")"),"The digital hair color mixer creates color but the formula is limited")</f>
        <v>The digital hair color mixer creates color but the formula is limited</v>
      </c>
    </row>
    <row r="7509" spans="1:3" ht="15.75" customHeight="1" x14ac:dyDescent="0.25">
      <c r="A7509" s="2" t="s">
        <v>7511</v>
      </c>
      <c r="B7509" s="3" t="s">
        <v>2</v>
      </c>
      <c r="C7509" s="2" t="str">
        <f ca="1">IFERROR(__xludf.DUMMYFUNCTION("GOOGLETRANSLATE(A7509,""bn"",""en"")"),"Dries quickly")</f>
        <v>Dries quickly</v>
      </c>
    </row>
    <row r="7510" spans="1:3" ht="15.75" customHeight="1" x14ac:dyDescent="0.25">
      <c r="A7510" s="2" t="s">
        <v>7512</v>
      </c>
      <c r="B7510" s="3" t="s">
        <v>4</v>
      </c>
      <c r="C7510" s="2" t="str">
        <f ca="1">IFERROR(__xludf.DUMMYFUNCTION("GOOGLETRANSLATE(A7510,""bn"",""en"")"),"The camera is perfect in all aspects, the charger is good in one word ")</f>
        <v xml:space="preserve">The camera is perfect in all aspects, the charger is good in one word </v>
      </c>
    </row>
    <row r="7511" spans="1:3" ht="15.75" customHeight="1" x14ac:dyDescent="0.25">
      <c r="A7511" s="2" t="s">
        <v>7513</v>
      </c>
      <c r="B7511" s="3" t="s">
        <v>4</v>
      </c>
      <c r="C7511" s="2" t="str">
        <f ca="1">IFERROR(__xludf.DUMMYFUNCTION("GOOGLETRANSLATE(A7511,""bn"",""en"")"),"The skill and creativity of the artist impressed me")</f>
        <v>The skill and creativity of the artist impressed me</v>
      </c>
    </row>
    <row r="7512" spans="1:3" ht="15.75" customHeight="1" x14ac:dyDescent="0.25">
      <c r="A7512" s="2" t="s">
        <v>7514</v>
      </c>
      <c r="B7512" s="3" t="s">
        <v>4</v>
      </c>
      <c r="C7512" s="2" t="str">
        <f ca="1">IFERROR(__xludf.DUMMYFUNCTION("GOOGLETRANSLATE(A7512,""bn"",""en"")"),"felt good")</f>
        <v>felt good</v>
      </c>
    </row>
    <row r="7513" spans="1:3" ht="15.75" customHeight="1" x14ac:dyDescent="0.25">
      <c r="A7513" s="2" t="s">
        <v>7515</v>
      </c>
      <c r="B7513" s="3" t="s">
        <v>4</v>
      </c>
      <c r="C7513" s="2" t="str">
        <f ca="1">IFERROR(__xludf.DUMMYFUNCTION("GOOGLETRANSLATE(A7513,""bn"",""en"")"),"The sheet is eco-friendly and made of high-quality raw materials")</f>
        <v>The sheet is eco-friendly and made of high-quality raw materials</v>
      </c>
    </row>
    <row r="7514" spans="1:3" ht="15.75" customHeight="1" x14ac:dyDescent="0.25">
      <c r="A7514" s="2" t="s">
        <v>7516</v>
      </c>
      <c r="B7514" s="3" t="s">
        <v>4</v>
      </c>
      <c r="C7514" s="2" t="str">
        <f ca="1">IFERROR(__xludf.DUMMYFUNCTION("GOOGLETRANSLATE(A7514,""bn"",""en"")"),"The fresh fragrance of the beauty soap lasts all day")</f>
        <v>The fresh fragrance of the beauty soap lasts all day</v>
      </c>
    </row>
    <row r="7515" spans="1:3" ht="15.75" customHeight="1" x14ac:dyDescent="0.25">
      <c r="A7515" s="2" t="s">
        <v>7517</v>
      </c>
      <c r="B7515" s="3" t="s">
        <v>2</v>
      </c>
      <c r="C7515" s="2" t="str">
        <f ca="1">IFERROR(__xludf.DUMMYFUNCTION("GOOGLETRANSLATE(A7515,""bn"",""en"")"),"The mixer works well but sometimes has trouble blending some fruits or vegetables ")</f>
        <v xml:space="preserve">The mixer works well but sometimes has trouble blending some fruits or vegetables </v>
      </c>
    </row>
    <row r="7516" spans="1:3" ht="15.75" customHeight="1" x14ac:dyDescent="0.25">
      <c r="A7516" s="2" t="s">
        <v>7518</v>
      </c>
      <c r="B7516" s="3" t="s">
        <v>2</v>
      </c>
      <c r="C7516" s="2" t="str">
        <f ca="1">IFERROR(__xludf.DUMMYFUNCTION("GOOGLETRANSLATE(A7516,""bn"",""en"")"),"Much smaller than expected which may not suit all needs")</f>
        <v>Much smaller than expected which may not suit all needs</v>
      </c>
    </row>
    <row r="7517" spans="1:3" ht="15.75" customHeight="1" x14ac:dyDescent="0.25">
      <c r="A7517" s="2" t="s">
        <v>7519</v>
      </c>
      <c r="B7517" s="3" t="s">
        <v>6</v>
      </c>
      <c r="C7517" s="2" t="str">
        <f ca="1">IFERROR(__xludf.DUMMYFUNCTION("GOOGLETRANSLATE(A7517,""bn"",""en"")"),"Bed frame legs are uneven causing the bed to wobble and feel unstable")</f>
        <v>Bed frame legs are uneven causing the bed to wobble and feel unstable</v>
      </c>
    </row>
    <row r="7518" spans="1:3" ht="15.75" customHeight="1" x14ac:dyDescent="0.25">
      <c r="A7518" s="2" t="s">
        <v>7520</v>
      </c>
      <c r="B7518" s="3" t="s">
        <v>4</v>
      </c>
      <c r="C7518" s="2" t="str">
        <f ca="1">IFERROR(__xludf.DUMMYFUNCTION("GOOGLETRANSLATE(A7518,""bn"",""en"")"),"Beauty soap keeps the skin hydrated")</f>
        <v>Beauty soap keeps the skin hydrated</v>
      </c>
    </row>
    <row r="7519" spans="1:3" ht="15.75" customHeight="1" x14ac:dyDescent="0.25">
      <c r="A7519" s="2" t="s">
        <v>7521</v>
      </c>
      <c r="B7519" s="3" t="s">
        <v>2</v>
      </c>
      <c r="C7519" s="2" t="str">
        <f ca="1">IFERROR(__xludf.DUMMYFUNCTION("GOOGLETRANSLATE(A7519,""bn"",""en"")"),"Production and expiry dates are written on the packet")</f>
        <v>Production and expiry dates are written on the packet</v>
      </c>
    </row>
    <row r="7520" spans="1:3" ht="15.75" customHeight="1" x14ac:dyDescent="0.25">
      <c r="A7520" s="2" t="s">
        <v>7522</v>
      </c>
      <c r="B7520" s="3" t="s">
        <v>4</v>
      </c>
      <c r="C7520" s="2" t="str">
        <f ca="1">IFERROR(__xludf.DUMMYFUNCTION("GOOGLETRANSLATE(A7520,""bn"",""en"")"),"The pad is very soft and supple which provides a comfortable feeling during use")</f>
        <v>The pad is very soft and supple which provides a comfortable feeling during use</v>
      </c>
    </row>
    <row r="7521" spans="1:3" ht="15.75" customHeight="1" x14ac:dyDescent="0.25">
      <c r="A7521" s="2" t="s">
        <v>7523</v>
      </c>
      <c r="B7521" s="3" t="s">
        <v>4</v>
      </c>
      <c r="C7521" s="2" t="str">
        <f ca="1">IFERROR(__xludf.DUMMYFUNCTION("GOOGLETRANSLATE(A7521,""bn"",""en"")"),"I was impressed with the powerful cooling capacity of this air conditioner as it cooled down my whole house in just a few minutes")</f>
        <v>I was impressed with the powerful cooling capacity of this air conditioner as it cooled down my whole house in just a few minutes</v>
      </c>
    </row>
    <row r="7522" spans="1:3" ht="15.75" customHeight="1" x14ac:dyDescent="0.25">
      <c r="A7522" s="2" t="s">
        <v>7524</v>
      </c>
      <c r="B7522" s="3" t="s">
        <v>6</v>
      </c>
      <c r="C7522" s="2" t="str">
        <f ca="1">IFERROR(__xludf.DUMMYFUNCTION("GOOGLETRANSLATE(A7522,""bn"",""en"")"),"Unpleasant odors are emitted from the unit during operation")</f>
        <v>Unpleasant odors are emitted from the unit during operation</v>
      </c>
    </row>
    <row r="7523" spans="1:3" ht="15.75" customHeight="1" x14ac:dyDescent="0.25">
      <c r="A7523" s="2" t="s">
        <v>7525</v>
      </c>
      <c r="B7523" s="3" t="s">
        <v>2</v>
      </c>
      <c r="C7523" s="2" t="str">
        <f ca="1">IFERROR(__xludf.DUMMYFUNCTION("GOOGLETRANSLATE(A7523,""bn"",""en"")"),"The perfect bit for what I need")</f>
        <v>The perfect bit for what I need</v>
      </c>
    </row>
    <row r="7524" spans="1:3" ht="15.75" customHeight="1" x14ac:dyDescent="0.25">
      <c r="A7524" s="2" t="s">
        <v>7526</v>
      </c>
      <c r="B7524" s="3" t="s">
        <v>6</v>
      </c>
      <c r="C7524" s="2" t="str">
        <f ca="1">IFERROR(__xludf.DUMMYFUNCTION("GOOGLETRANSLATE(A7524,""bn"",""en"")"),"Even if care instructions are carefully followed, the metal of the jewelry tarnishes quickly")</f>
        <v>Even if care instructions are carefully followed, the metal of the jewelry tarnishes quickly</v>
      </c>
    </row>
    <row r="7525" spans="1:3" ht="15.75" customHeight="1" x14ac:dyDescent="0.25">
      <c r="A7525" s="2" t="s">
        <v>7527</v>
      </c>
      <c r="B7525" s="3" t="s">
        <v>2</v>
      </c>
      <c r="C7525" s="2" t="str">
        <f ca="1">IFERROR(__xludf.DUMMYFUNCTION("GOOGLETRANSLATE(A7525,""bn"",""en"")"),"The grip of the torch light is a bit slippery")</f>
        <v>The grip of the torch light is a bit slippery</v>
      </c>
    </row>
    <row r="7526" spans="1:3" ht="15.75" customHeight="1" x14ac:dyDescent="0.25">
      <c r="A7526" s="2" t="s">
        <v>7528</v>
      </c>
      <c r="B7526" s="3" t="s">
        <v>6</v>
      </c>
      <c r="C7526" s="2" t="str">
        <f ca="1">IFERROR(__xludf.DUMMYFUNCTION("GOOGLETRANSLATE(A7526,""bn"",""en"")"),"Disappointed the color looks cheap off")</f>
        <v>Disappointed the color looks cheap off</v>
      </c>
    </row>
    <row r="7527" spans="1:3" ht="15.75" customHeight="1" x14ac:dyDescent="0.25">
      <c r="A7527" s="2" t="s">
        <v>7529</v>
      </c>
      <c r="B7527" s="3" t="s">
        <v>4</v>
      </c>
      <c r="C7527" s="2" t="str">
        <f ca="1">IFERROR(__xludf.DUMMYFUNCTION("GOOGLETRANSLATE(A7527,""bn"",""en"")"),"Wallpaper designs completely change the atmosphere of the room")</f>
        <v>Wallpaper designs completely change the atmosphere of the room</v>
      </c>
    </row>
    <row r="7528" spans="1:3" ht="15.75" customHeight="1" x14ac:dyDescent="0.25">
      <c r="A7528" s="2" t="s">
        <v>7530</v>
      </c>
      <c r="B7528" s="3" t="s">
        <v>4</v>
      </c>
      <c r="C7528" s="2" t="str">
        <f ca="1">IFERROR(__xludf.DUMMYFUNCTION("GOOGLETRANSLATE(A7528,""bn"",""en"")"),"The delivery was also received quickly, the delivery man was also good, thanks to everyone")</f>
        <v>The delivery was also received quickly, the delivery man was also good, thanks to everyone</v>
      </c>
    </row>
    <row r="7529" spans="1:3" ht="15.75" customHeight="1" x14ac:dyDescent="0.25">
      <c r="A7529" s="2" t="s">
        <v>7531</v>
      </c>
      <c r="B7529" s="3" t="s">
        <v>6</v>
      </c>
      <c r="C7529" s="2" t="str">
        <f ca="1">IFERROR(__xludf.DUMMYFUNCTION("GOOGLETRANSLATE(A7529,""bn"",""en"")"),"The construction of the item felt inadequate and unreliable")</f>
        <v>The construction of the item felt inadequate and unreliable</v>
      </c>
    </row>
    <row r="7530" spans="1:3" ht="15.75" customHeight="1" x14ac:dyDescent="0.25">
      <c r="A7530" s="2" t="s">
        <v>7532</v>
      </c>
      <c r="B7530" s="3" t="s">
        <v>4</v>
      </c>
      <c r="C7530" s="2" t="str">
        <f ca="1">IFERROR(__xludf.DUMMYFUNCTION("GOOGLETRANSLATE(A7530,""bn"",""en"")"),"This chair is very comfortable to use")</f>
        <v>This chair is very comfortable to use</v>
      </c>
    </row>
    <row r="7531" spans="1:3" ht="15.75" customHeight="1" x14ac:dyDescent="0.25">
      <c r="A7531" s="2" t="s">
        <v>7533</v>
      </c>
      <c r="B7531" s="3" t="s">
        <v>2</v>
      </c>
      <c r="C7531" s="2" t="str">
        <f ca="1">IFERROR(__xludf.DUMMYFUNCTION("GOOGLETRANSLATE(A7531,""bn"",""en"")"),"The color of the plants was good but the yield was reduced")</f>
        <v>The color of the plants was good but the yield was reduced</v>
      </c>
    </row>
    <row r="7532" spans="1:3" ht="15.75" customHeight="1" x14ac:dyDescent="0.25">
      <c r="A7532" s="2" t="s">
        <v>7534</v>
      </c>
      <c r="B7532" s="3" t="s">
        <v>6</v>
      </c>
      <c r="C7532" s="2" t="str">
        <f ca="1">IFERROR(__xludf.DUMMYFUNCTION("GOOGLETRANSLATE(A7532,""bn"",""en"")"),"The packaging was flimsy which caused the paint to leak")</f>
        <v>The packaging was flimsy which caused the paint to leak</v>
      </c>
    </row>
    <row r="7533" spans="1:3" ht="15.75" customHeight="1" x14ac:dyDescent="0.25">
      <c r="A7533" s="2" t="s">
        <v>7535</v>
      </c>
      <c r="B7533" s="3" t="s">
        <v>4</v>
      </c>
      <c r="C7533" s="2" t="str">
        <f ca="1">IFERROR(__xludf.DUMMYFUNCTION("GOOGLETRANSLATE(A7533,""bn"",""en"")"),"Face ID of the mobile is very accurate and fast")</f>
        <v>Face ID of the mobile is very accurate and fast</v>
      </c>
    </row>
    <row r="7534" spans="1:3" ht="15.75" customHeight="1" x14ac:dyDescent="0.25">
      <c r="A7534" s="2" t="s">
        <v>7536</v>
      </c>
      <c r="B7534" s="3" t="s">
        <v>6</v>
      </c>
      <c r="C7534" s="2" t="str">
        <f ca="1">IFERROR(__xludf.DUMMYFUNCTION("GOOGLETRANSLATE(A7534,""bn"",""en"")"),"The packaging has too many ties and ties which are tedious to remove")</f>
        <v>The packaging has too many ties and ties which are tedious to remove</v>
      </c>
    </row>
    <row r="7535" spans="1:3" ht="15.75" customHeight="1" x14ac:dyDescent="0.25">
      <c r="A7535" s="2" t="s">
        <v>7537</v>
      </c>
      <c r="B7535" s="3" t="s">
        <v>6</v>
      </c>
      <c r="C7535" s="2" t="str">
        <f ca="1">IFERROR(__xludf.DUMMYFUNCTION("GOOGLETRANSLATE(A7535,""bn"",""en"")"),"Contamination of open containers during delivery is a risk")</f>
        <v>Contamination of open containers during delivery is a risk</v>
      </c>
    </row>
    <row r="7536" spans="1:3" ht="15.75" customHeight="1" x14ac:dyDescent="0.25">
      <c r="A7536" s="2" t="s">
        <v>7538</v>
      </c>
      <c r="B7536" s="3" t="s">
        <v>4</v>
      </c>
      <c r="C7536" s="2" t="str">
        <f ca="1">IFERROR(__xludf.DUMMYFUNCTION("GOOGLETRANSLATE(A7536,""bn"",""en"")"),"This fan is very quiet and provides fast cooling")</f>
        <v>This fan is very quiet and provides fast cooling</v>
      </c>
    </row>
    <row r="7537" spans="1:3" ht="15.75" customHeight="1" x14ac:dyDescent="0.25">
      <c r="A7537" s="2" t="s">
        <v>7539</v>
      </c>
      <c r="B7537" s="3" t="s">
        <v>2</v>
      </c>
      <c r="C7537" s="2" t="str">
        <f ca="1">IFERROR(__xludf.DUMMYFUNCTION("GOOGLETRANSLATE(A7537,""bn"",""en"")"),"The fabric is sturdy but nothing exceptional")</f>
        <v>The fabric is sturdy but nothing exceptional</v>
      </c>
    </row>
    <row r="7538" spans="1:3" ht="15.75" customHeight="1" x14ac:dyDescent="0.25">
      <c r="A7538" s="2" t="s">
        <v>7540</v>
      </c>
      <c r="B7538" s="3" t="s">
        <v>6</v>
      </c>
      <c r="C7538" s="2" t="str">
        <f ca="1">IFERROR(__xludf.DUMMYFUNCTION("GOOGLETRANSLATE(A7538,""bn"",""en"")"),"The garment's finish tends to fade and fade over time, reducing its aesthetic appeal")</f>
        <v>The garment's finish tends to fade and fade over time, reducing its aesthetic appeal</v>
      </c>
    </row>
    <row r="7539" spans="1:3" ht="15.75" customHeight="1" x14ac:dyDescent="0.25">
      <c r="A7539" s="2" t="s">
        <v>7541</v>
      </c>
      <c r="B7539" s="3" t="s">
        <v>2</v>
      </c>
      <c r="C7539" s="2" t="str">
        <f ca="1">IFERROR(__xludf.DUMMYFUNCTION("GOOGLETRANSLATE(A7539,""bn"",""en"")"),"The material is good but the size is a problem")</f>
        <v>The material is good but the size is a problem</v>
      </c>
    </row>
    <row r="7540" spans="1:3" ht="15.75" customHeight="1" x14ac:dyDescent="0.25">
      <c r="A7540" s="2" t="s">
        <v>7542</v>
      </c>
      <c r="B7540" s="3" t="s">
        <v>4</v>
      </c>
      <c r="C7540" s="2" t="str">
        <f ca="1">IFERROR(__xludf.DUMMYFUNCTION("GOOGLETRANSLATE(A7540,""bn"",""en"")"),"This color box has a wide variety of colors that encourage my creativity")</f>
        <v>This color box has a wide variety of colors that encourage my creativity</v>
      </c>
    </row>
    <row r="7541" spans="1:3" ht="15.75" customHeight="1" x14ac:dyDescent="0.25">
      <c r="A7541" s="2" t="s">
        <v>7543</v>
      </c>
      <c r="B7541" s="3" t="s">
        <v>2</v>
      </c>
      <c r="C7541" s="2" t="str">
        <f ca="1">IFERROR(__xludf.DUMMYFUNCTION("GOOGLETRANSLATE(A7541,""bn"",""en"")"),"The price is moderate but the quality is not that good")</f>
        <v>The price is moderate but the quality is not that good</v>
      </c>
    </row>
    <row r="7542" spans="1:3" ht="15.75" customHeight="1" x14ac:dyDescent="0.25">
      <c r="A7542" s="2" t="s">
        <v>7544</v>
      </c>
      <c r="B7542" s="3" t="s">
        <v>4</v>
      </c>
      <c r="C7542" s="2" t="str">
        <f ca="1">IFERROR(__xludf.DUMMYFUNCTION("GOOGLETRANSLATE(A7542,""bn"",""en"")"),"Car window tint is effective")</f>
        <v>Car window tint is effective</v>
      </c>
    </row>
    <row r="7543" spans="1:3" ht="15.75" customHeight="1" x14ac:dyDescent="0.25">
      <c r="A7543" s="2" t="s">
        <v>7545</v>
      </c>
      <c r="B7543" s="3" t="s">
        <v>4</v>
      </c>
      <c r="C7543" s="2" t="str">
        <f ca="1">IFERROR(__xludf.DUMMYFUNCTION("GOOGLETRANSLATE(A7543,""bn"",""en"")"),"Durable and long lasting")</f>
        <v>Durable and long lasting</v>
      </c>
    </row>
    <row r="7544" spans="1:3" ht="15.75" customHeight="1" x14ac:dyDescent="0.25">
      <c r="A7544" s="2" t="s">
        <v>7546</v>
      </c>
      <c r="B7544" s="3" t="s">
        <v>2</v>
      </c>
      <c r="C7544" s="2" t="str">
        <f ca="1">IFERROR(__xludf.DUMMYFUNCTION("GOOGLETRANSLATE(A7544,""bn"",""en"")"),"Average quality of sharpening")</f>
        <v>Average quality of sharpening</v>
      </c>
    </row>
    <row r="7545" spans="1:3" ht="15.75" customHeight="1" x14ac:dyDescent="0.25">
      <c r="A7545" s="2" t="s">
        <v>7547</v>
      </c>
      <c r="B7545" s="3" t="s">
        <v>2</v>
      </c>
      <c r="C7545" s="2" t="str">
        <f ca="1">IFERROR(__xludf.DUMMYFUNCTION("GOOGLETRANSLATE(A7545,""bn"",""en"")"),"Nice but average in quality")</f>
        <v>Nice but average in quality</v>
      </c>
    </row>
    <row r="7546" spans="1:3" ht="15.75" customHeight="1" x14ac:dyDescent="0.25">
      <c r="A7546" s="2" t="s">
        <v>7548</v>
      </c>
      <c r="B7546" s="3" t="s">
        <v>4</v>
      </c>
      <c r="C7546" s="2" t="str">
        <f ca="1">IFERROR(__xludf.DUMMYFUNCTION("GOOGLETRANSLATE(A7546,""bn"",""en"")"),"The charging speed of the phone is very fast")</f>
        <v>The charging speed of the phone is very fast</v>
      </c>
    </row>
    <row r="7547" spans="1:3" ht="15.75" customHeight="1" x14ac:dyDescent="0.25">
      <c r="A7547" s="2" t="s">
        <v>7549</v>
      </c>
      <c r="B7547" s="3" t="s">
        <v>6</v>
      </c>
      <c r="C7547" s="2" t="str">
        <f ca="1">IFERROR(__xludf.DUMMYFUNCTION("GOOGLETRANSLATE(A7547,""bn"",""en"")"),"The coffee had a bitter and pungent aftertaste that was unpleasant to drink")</f>
        <v>The coffee had a bitter and pungent aftertaste that was unpleasant to drink</v>
      </c>
    </row>
    <row r="7548" spans="1:3" ht="15.75" customHeight="1" x14ac:dyDescent="0.25">
      <c r="A7548" s="2" t="s">
        <v>7550</v>
      </c>
      <c r="B7548" s="3" t="s">
        <v>6</v>
      </c>
      <c r="C7548" s="2" t="str">
        <f ca="1">IFERROR(__xludf.DUMMYFUNCTION("GOOGLETRANSLATE(A7548,""bn"",""en"")"),"The portable coffee maker leaks and spills coffee grounds")</f>
        <v>The portable coffee maker leaks and spills coffee grounds</v>
      </c>
    </row>
    <row r="7549" spans="1:3" ht="15.75" customHeight="1" x14ac:dyDescent="0.25">
      <c r="A7549" s="2" t="s">
        <v>7551</v>
      </c>
      <c r="B7549" s="3" t="s">
        <v>2</v>
      </c>
      <c r="C7549" s="2" t="str">
        <f ca="1">IFERROR(__xludf.DUMMYFUNCTION("GOOGLETRANSLATE(A7549,""bn"",""en"")"),"It takes some time to learn to do it right")</f>
        <v>It takes some time to learn to do it right</v>
      </c>
    </row>
    <row r="7550" spans="1:3" ht="15.75" customHeight="1" x14ac:dyDescent="0.25">
      <c r="A7550" s="2" t="s">
        <v>7552</v>
      </c>
      <c r="B7550" s="3" t="s">
        <v>6</v>
      </c>
      <c r="C7550" s="2" t="str">
        <f ca="1">IFERROR(__xludf.DUMMYFUNCTION("GOOGLETRANSLATE(A7550,""bn"",""en"")"),"The fridge emits a foul odor that persists despite several attempts to clean it")</f>
        <v>The fridge emits a foul odor that persists despite several attempts to clean it</v>
      </c>
    </row>
    <row r="7551" spans="1:3" ht="15.75" customHeight="1" x14ac:dyDescent="0.25">
      <c r="A7551" s="2" t="s">
        <v>7553</v>
      </c>
      <c r="B7551" s="3" t="s">
        <v>2</v>
      </c>
      <c r="C7551" s="2" t="str">
        <f ca="1">IFERROR(__xludf.DUMMYFUNCTION("GOOGLETRANSLATE(A7551,""bn"",""en"")"),"Playdo is easy to clean after playing but in some cases sticks to the carpet")</f>
        <v>Playdo is easy to clean after playing but in some cases sticks to the carpet</v>
      </c>
    </row>
    <row r="7552" spans="1:3" ht="15.75" customHeight="1" x14ac:dyDescent="0.25">
      <c r="A7552" s="2" t="s">
        <v>7554</v>
      </c>
      <c r="B7552" s="3" t="s">
        <v>6</v>
      </c>
      <c r="C7552" s="2" t="str">
        <f ca="1">IFERROR(__xludf.DUMMYFUNCTION("GOOGLETRANSLATE(A7552,""bn"",""en"")"),"The fabric is thin and stiff")</f>
        <v>The fabric is thin and stiff</v>
      </c>
    </row>
    <row r="7553" spans="1:3" ht="15.75" customHeight="1" x14ac:dyDescent="0.25">
      <c r="A7553" s="2" t="s">
        <v>7555</v>
      </c>
      <c r="B7553" s="3" t="s">
        <v>4</v>
      </c>
      <c r="C7553" s="2" t="str">
        <f ca="1">IFERROR(__xludf.DUMMYFUNCTION("GOOGLETRANSLATE(A7553,""bn"",""en"")"),"Just like I wanted ")</f>
        <v xml:space="preserve">Just like I wanted </v>
      </c>
    </row>
    <row r="7554" spans="1:3" ht="15.75" customHeight="1" x14ac:dyDescent="0.25">
      <c r="A7554" s="2" t="s">
        <v>7556</v>
      </c>
      <c r="B7554" s="3" t="s">
        <v>2</v>
      </c>
      <c r="C7554" s="2" t="str">
        <f ca="1">IFERROR(__xludf.DUMMYFUNCTION("GOOGLETRANSLATE(A7554,""bn"",""en"")"),"Scanner works well but resolution is low")</f>
        <v>Scanner works well but resolution is low</v>
      </c>
    </row>
    <row r="7555" spans="1:3" ht="15.75" customHeight="1" x14ac:dyDescent="0.25">
      <c r="A7555" s="2" t="s">
        <v>7557</v>
      </c>
      <c r="B7555" s="3" t="s">
        <v>6</v>
      </c>
      <c r="C7555" s="2" t="str">
        <f ca="1">IFERROR(__xludf.DUMMYFUNCTION("GOOGLETRANSLATE(A7555,""bn"",""en"")"),"Disappointing lack of image vibrancy")</f>
        <v>Disappointing lack of image vibrancy</v>
      </c>
    </row>
    <row r="7556" spans="1:3" ht="15.75" customHeight="1" x14ac:dyDescent="0.25">
      <c r="A7556" s="2" t="s">
        <v>7558</v>
      </c>
      <c r="B7556" s="3" t="s">
        <v>2</v>
      </c>
      <c r="C7556" s="2" t="str">
        <f ca="1">IFERROR(__xludf.DUMMYFUNCTION("GOOGLETRANSLATE(A7556,""bn"",""en"")"),"There is room for improvement in construction")</f>
        <v>There is room for improvement in construction</v>
      </c>
    </row>
    <row r="7557" spans="1:3" ht="15.75" customHeight="1" x14ac:dyDescent="0.25">
      <c r="A7557" s="2" t="s">
        <v>7559</v>
      </c>
      <c r="B7557" s="3" t="s">
        <v>4</v>
      </c>
      <c r="C7557" s="2" t="str">
        <f ca="1">IFERROR(__xludf.DUMMYFUNCTION("GOOGLETRANSLATE(A7557,""bn"",""en"")"),"The handle is long enough and comfortable to use")</f>
        <v>The handle is long enough and comfortable to use</v>
      </c>
    </row>
    <row r="7558" spans="1:3" ht="15.75" customHeight="1" x14ac:dyDescent="0.25">
      <c r="A7558" s="2" t="s">
        <v>7560</v>
      </c>
      <c r="B7558" s="3" t="s">
        <v>4</v>
      </c>
      <c r="C7558" s="2" t="str">
        <f ca="1">IFERROR(__xludf.DUMMYFUNCTION("GOOGLETRANSLATE(A7558,""bn"",""en"")"),"It also beats the Digital Hero thing ")</f>
        <v xml:space="preserve">It also beats the Digital Hero thing </v>
      </c>
    </row>
    <row r="7559" spans="1:3" ht="15.75" customHeight="1" x14ac:dyDescent="0.25">
      <c r="A7559" s="2" t="s">
        <v>7561</v>
      </c>
      <c r="B7559" s="3" t="s">
        <v>2</v>
      </c>
      <c r="C7559" s="2" t="str">
        <f ca="1">IFERROR(__xludf.DUMMYFUNCTION("GOOGLETRANSLATE(A7559,""bn"",""en"")"),"The butter is good but not like homemade butter")</f>
        <v>The butter is good but not like homemade butter</v>
      </c>
    </row>
    <row r="7560" spans="1:3" ht="15.75" customHeight="1" x14ac:dyDescent="0.25">
      <c r="A7560" s="2" t="s">
        <v>7562</v>
      </c>
      <c r="B7560" s="3" t="s">
        <v>6</v>
      </c>
      <c r="C7560" s="2" t="str">
        <f ca="1">IFERROR(__xludf.DUMMYFUNCTION("GOOGLETRANSLATE(A7560,""bn"",""en"")"),"The dress was much shorter than expected making it unwearable for formal occasions")</f>
        <v>The dress was much shorter than expected making it unwearable for formal occasions</v>
      </c>
    </row>
    <row r="7561" spans="1:3" ht="15.75" customHeight="1" x14ac:dyDescent="0.25">
      <c r="A7561" s="2" t="s">
        <v>7563</v>
      </c>
      <c r="B7561" s="3" t="s">
        <v>4</v>
      </c>
      <c r="C7561" s="2" t="str">
        <f ca="1">IFERROR(__xludf.DUMMYFUNCTION("GOOGLETRANSLATE(A7561,""bn"",""en"")"),"Absolutely perfect")</f>
        <v>Absolutely perfect</v>
      </c>
    </row>
    <row r="7562" spans="1:3" ht="15.75" customHeight="1" x14ac:dyDescent="0.25">
      <c r="A7562" s="2" t="s">
        <v>7564</v>
      </c>
      <c r="B7562" s="3" t="s">
        <v>4</v>
      </c>
      <c r="C7562" s="2" t="str">
        <f ca="1">IFERROR(__xludf.DUMMYFUNCTION("GOOGLETRANSLATE(A7562,""bn"",""en"")"),"Running this AC in power saving mode is very economical and my electricity bill has come down a lot")</f>
        <v>Running this AC in power saving mode is very economical and my electricity bill has come down a lot</v>
      </c>
    </row>
    <row r="7563" spans="1:3" ht="15.75" customHeight="1" x14ac:dyDescent="0.25">
      <c r="A7563" s="2" t="s">
        <v>7565</v>
      </c>
      <c r="B7563" s="3" t="s">
        <v>6</v>
      </c>
      <c r="C7563" s="2" t="str">
        <f ca="1">IFERROR(__xludf.DUMMYFUNCTION("GOOGLETRANSLATE(A7563,""bn"",""en"")"),"Speaker produces distorted sound which is difficult to hear during calls")</f>
        <v>Speaker produces distorted sound which is difficult to hear during calls</v>
      </c>
    </row>
    <row r="7564" spans="1:3" ht="15.75" customHeight="1" x14ac:dyDescent="0.25">
      <c r="A7564" s="2" t="s">
        <v>7566</v>
      </c>
      <c r="B7564" s="3" t="s">
        <v>4</v>
      </c>
      <c r="C7564" s="2" t="str">
        <f ca="1">IFERROR(__xludf.DUMMYFUNCTION("GOOGLETRANSLATE(A7564,""bn"",""en"")"),"It is rich in natural antioxidants")</f>
        <v>It is rich in natural antioxidants</v>
      </c>
    </row>
    <row r="7565" spans="1:3" ht="15.75" customHeight="1" x14ac:dyDescent="0.25">
      <c r="A7565" s="2" t="s">
        <v>7567</v>
      </c>
      <c r="B7565" s="3" t="s">
        <v>2</v>
      </c>
      <c r="C7565" s="2" t="str">
        <f ca="1">IFERROR(__xludf.DUMMYFUNCTION("GOOGLETRANSLATE(A7565,""bn"",""en"")"),"Love it but there are some issues")</f>
        <v>Love it but there are some issues</v>
      </c>
    </row>
    <row r="7566" spans="1:3" ht="15.75" customHeight="1" x14ac:dyDescent="0.25">
      <c r="A7566" s="2" t="s">
        <v>7568</v>
      </c>
      <c r="B7566" s="3" t="s">
        <v>6</v>
      </c>
      <c r="C7566" s="2" t="str">
        <f ca="1">IFERROR(__xludf.DUMMYFUNCTION("GOOGLETRANSLATE(A7566,""bn"",""en"")"),"The camera is heavy and bulky making it cumbersome to carry for long periods of time")</f>
        <v>The camera is heavy and bulky making it cumbersome to carry for long periods of time</v>
      </c>
    </row>
    <row r="7567" spans="1:3" ht="15.75" customHeight="1" x14ac:dyDescent="0.25">
      <c r="A7567" s="2" t="s">
        <v>7569</v>
      </c>
      <c r="B7567" s="3" t="s">
        <v>4</v>
      </c>
      <c r="C7567" s="2" t="str">
        <f ca="1">IFERROR(__xludf.DUMMYFUNCTION("GOOGLETRANSLATE(A7567,""bn"",""en"")"),"Dries quickly after washing")</f>
        <v>Dries quickly after washing</v>
      </c>
    </row>
    <row r="7568" spans="1:3" ht="15.75" customHeight="1" x14ac:dyDescent="0.25">
      <c r="A7568" s="2" t="s">
        <v>7570</v>
      </c>
      <c r="B7568" s="3" t="s">
        <v>2</v>
      </c>
      <c r="C7568" s="2" t="str">
        <f ca="1">IFERROR(__xludf.DUMMYFUNCTION("GOOGLETRANSLATE(A7568,""bn"",""en"")"),"The lemon flavor is quite sweet but somewhat unusual")</f>
        <v>The lemon flavor is quite sweet but somewhat unusual</v>
      </c>
    </row>
    <row r="7569" spans="1:3" ht="15.75" customHeight="1" x14ac:dyDescent="0.25">
      <c r="A7569" s="2" t="s">
        <v>7571</v>
      </c>
      <c r="B7569" s="3" t="s">
        <v>4</v>
      </c>
      <c r="C7569" s="2" t="str">
        <f ca="1">IFERROR(__xludf.DUMMYFUNCTION("GOOGLETRANSLATE(A7569,""bn"",""en"")"),"This painting is great for home decor")</f>
        <v>This painting is great for home decor</v>
      </c>
    </row>
    <row r="7570" spans="1:3" ht="15.75" customHeight="1" x14ac:dyDescent="0.25">
      <c r="A7570" s="2" t="s">
        <v>7572</v>
      </c>
      <c r="B7570" s="3" t="s">
        <v>2</v>
      </c>
      <c r="C7570" s="2" t="str">
        <f ca="1">IFERROR(__xludf.DUMMYFUNCTION("GOOGLETRANSLATE(A7570,""bn"",""en"")"),"We liked it would buy again but not for everyone")</f>
        <v>We liked it would buy again but not for everyone</v>
      </c>
    </row>
    <row r="7571" spans="1:3" ht="15.75" customHeight="1" x14ac:dyDescent="0.25">
      <c r="A7571" s="2" t="s">
        <v>7573</v>
      </c>
      <c r="B7571" s="3" t="s">
        <v>2</v>
      </c>
      <c r="C7571" s="2" t="str">
        <f ca="1">IFERROR(__xludf.DUMMYFUNCTION("GOOGLETRANSLATE(A7571,""bn"",""en"")"),"Installation service available")</f>
        <v>Installation service available</v>
      </c>
    </row>
    <row r="7572" spans="1:3" ht="15.75" customHeight="1" x14ac:dyDescent="0.25">
      <c r="A7572" s="2" t="s">
        <v>7574</v>
      </c>
      <c r="B7572" s="3" t="s">
        <v>4</v>
      </c>
      <c r="C7572" s="2" t="str">
        <f ca="1">IFERROR(__xludf.DUMMYFUNCTION("GOOGLETRANSLATE(A7572,""bn"",""en"")"),"The charge of wireless earphones is quite long")</f>
        <v>The charge of wireless earphones is quite long</v>
      </c>
    </row>
    <row r="7573" spans="1:3" ht="15.75" customHeight="1" x14ac:dyDescent="0.25">
      <c r="A7573" s="2" t="s">
        <v>7575</v>
      </c>
      <c r="B7573" s="3" t="s">
        <v>2</v>
      </c>
      <c r="C7573" s="2" t="str">
        <f ca="1">IFERROR(__xludf.DUMMYFUNCTION("GOOGLETRANSLATE(A7573,""bn"",""en"")"),"Jacket is fine except for a few flaws")</f>
        <v>Jacket is fine except for a few flaws</v>
      </c>
    </row>
    <row r="7574" spans="1:3" ht="15.75" customHeight="1" x14ac:dyDescent="0.25">
      <c r="A7574" s="2" t="s">
        <v>7576</v>
      </c>
      <c r="B7574" s="3" t="s">
        <v>2</v>
      </c>
      <c r="C7574" s="2" t="str">
        <f ca="1">IFERROR(__xludf.DUMMYFUNCTION("GOOGLETRANSLATE(A7574,""bn"",""en"")"),"Easy to fold but difficult to open again")</f>
        <v>Easy to fold but difficult to open again</v>
      </c>
    </row>
    <row r="7575" spans="1:3" ht="15.75" customHeight="1" x14ac:dyDescent="0.25">
      <c r="A7575" s="2" t="s">
        <v>7577</v>
      </c>
      <c r="B7575" s="3" t="s">
        <v>6</v>
      </c>
      <c r="C7575" s="2" t="str">
        <f ca="1">IFERROR(__xludf.DUMMYFUNCTION("GOOGLETRANSLATE(A7575,""bn"",""en"")"),"The handcrafted item showcased attention to detail but lacked functionality")</f>
        <v>The handcrafted item showcased attention to detail but lacked functionality</v>
      </c>
    </row>
    <row r="7576" spans="1:3" ht="15.75" customHeight="1" x14ac:dyDescent="0.25">
      <c r="A7576" s="2" t="s">
        <v>7578</v>
      </c>
      <c r="B7576" s="3" t="s">
        <v>2</v>
      </c>
      <c r="C7576" s="2" t="str">
        <f ca="1">IFERROR(__xludf.DUMMYFUNCTION("GOOGLETRANSLATE(A7576,""bn"",""en"")"),"Can be reheated if cooled after use")</f>
        <v>Can be reheated if cooled after use</v>
      </c>
    </row>
    <row r="7577" spans="1:3" ht="15.75" customHeight="1" x14ac:dyDescent="0.25">
      <c r="A7577" s="2" t="s">
        <v>7579</v>
      </c>
      <c r="B7577" s="3" t="s">
        <v>4</v>
      </c>
      <c r="C7577" s="2" t="str">
        <f ca="1">IFERROR(__xludf.DUMMYFUNCTION("GOOGLETRANSLATE(A7577,""bn"",""en"")"),"The back wall of the cupboard is nicely finished which helps to keep it away from the wall")</f>
        <v>The back wall of the cupboard is nicely finished which helps to keep it away from the wall</v>
      </c>
    </row>
    <row r="7578" spans="1:3" ht="15.75" customHeight="1" x14ac:dyDescent="0.25">
      <c r="A7578" s="2" t="s">
        <v>7580</v>
      </c>
      <c r="B7578" s="3" t="s">
        <v>4</v>
      </c>
      <c r="C7578" s="2" t="str">
        <f ca="1">IFERROR(__xludf.DUMMYFUNCTION("GOOGLETRANSLATE(A7578,""bn"",""en"")"),"Does a good job for a good price")</f>
        <v>Does a good job for a good price</v>
      </c>
    </row>
    <row r="7579" spans="1:3" ht="15.75" customHeight="1" x14ac:dyDescent="0.25">
      <c r="A7579" s="2" t="s">
        <v>7581</v>
      </c>
      <c r="B7579" s="3" t="s">
        <v>6</v>
      </c>
      <c r="C7579" s="2" t="str">
        <f ca="1">IFERROR(__xludf.DUMMYFUNCTION("GOOGLETRANSLATE(A7579,""bn"",""en"")"),"Receiving a garment with rips and tears is absolutely unacceptable")</f>
        <v>Receiving a garment with rips and tears is absolutely unacceptable</v>
      </c>
    </row>
    <row r="7580" spans="1:3" ht="15.75" customHeight="1" x14ac:dyDescent="0.25">
      <c r="A7580" s="2" t="s">
        <v>7582</v>
      </c>
      <c r="B7580" s="3" t="s">
        <v>6</v>
      </c>
      <c r="C7580" s="2" t="str">
        <f ca="1">IFERROR(__xludf.DUMMYFUNCTION("GOOGLETRANSLATE(A7580,""bn"",""en"")"),"Not great for gifts")</f>
        <v>Not great for gifts</v>
      </c>
    </row>
    <row r="7581" spans="1:3" ht="15.75" customHeight="1" x14ac:dyDescent="0.25">
      <c r="A7581" s="2" t="s">
        <v>7583</v>
      </c>
      <c r="B7581" s="3" t="s">
        <v>6</v>
      </c>
      <c r="C7581" s="2" t="str">
        <f ca="1">IFERROR(__xludf.DUMMYFUNCTION("GOOGLETRANSLATE(A7581,""bn"",""en"")"),"The smell of car air freshener fades quickly leaving behind a musty smell")</f>
        <v>The smell of car air freshener fades quickly leaving behind a musty smell</v>
      </c>
    </row>
    <row r="7582" spans="1:3" ht="15.75" customHeight="1" x14ac:dyDescent="0.25">
      <c r="A7582" s="2" t="s">
        <v>7584</v>
      </c>
      <c r="B7582" s="3" t="s">
        <v>6</v>
      </c>
      <c r="C7582" s="2" t="str">
        <f ca="1">IFERROR(__xludf.DUMMYFUNCTION("GOOGLETRANSLATE(A7582,""bn"",""en"")"),"Not impressed by the subpar presentation")</f>
        <v>Not impressed by the subpar presentation</v>
      </c>
    </row>
    <row r="7583" spans="1:3" ht="15.75" customHeight="1" x14ac:dyDescent="0.25">
      <c r="A7583" s="2" t="s">
        <v>7585</v>
      </c>
      <c r="B7583" s="3" t="s">
        <v>4</v>
      </c>
      <c r="C7583" s="2" t="str">
        <f ca="1">IFERROR(__xludf.DUMMYFUNCTION("GOOGLETRANSLATE(A7583,""bn"",""en"")"),"Due to its small size, it can be easily stored in any bag")</f>
        <v>Due to its small size, it can be easily stored in any bag</v>
      </c>
    </row>
    <row r="7584" spans="1:3" ht="15.75" customHeight="1" x14ac:dyDescent="0.25">
      <c r="A7584" s="2" t="s">
        <v>7586</v>
      </c>
      <c r="B7584" s="3" t="s">
        <v>2</v>
      </c>
      <c r="C7584" s="2" t="str">
        <f ca="1">IFERROR(__xludf.DUMMYFUNCTION("GOOGLETRANSLATE(A7584,""bn"",""en"")"),"There are pictures of different eclipses but the colors are not realistic")</f>
        <v>There are pictures of different eclipses but the colors are not realistic</v>
      </c>
    </row>
    <row r="7585" spans="1:3" ht="15.75" customHeight="1" x14ac:dyDescent="0.25">
      <c r="A7585" s="2" t="s">
        <v>7587</v>
      </c>
      <c r="B7585" s="3" t="s">
        <v>2</v>
      </c>
      <c r="C7585" s="2" t="str">
        <f ca="1">IFERROR(__xludf.DUMMYFUNCTION("GOOGLETRANSLATE(A7585,""bn"",""en"")"),"Shopping is not very good")</f>
        <v>Shopping is not very good</v>
      </c>
    </row>
    <row r="7586" spans="1:3" ht="15.75" customHeight="1" x14ac:dyDescent="0.25">
      <c r="A7586" s="2" t="s">
        <v>7588</v>
      </c>
      <c r="B7586" s="3" t="s">
        <v>6</v>
      </c>
      <c r="C7586" s="2" t="str">
        <f ca="1">IFERROR(__xludf.DUMMYFUNCTION("GOOGLETRANSLATE(A7586,""bn"",""en"")"),"Avoid buying disappointing quality")</f>
        <v>Avoid buying disappointing quality</v>
      </c>
    </row>
    <row r="7587" spans="1:3" ht="15.75" customHeight="1" x14ac:dyDescent="0.25">
      <c r="A7587" s="2" t="s">
        <v>7589</v>
      </c>
      <c r="B7587" s="3" t="s">
        <v>4</v>
      </c>
      <c r="C7587" s="2" t="str">
        <f ca="1">IFERROR(__xludf.DUMMYFUNCTION("GOOGLETRANSLATE(A7587,""bn"",""en"")"),"good shopping")</f>
        <v>good shopping</v>
      </c>
    </row>
    <row r="7588" spans="1:3" ht="15.75" customHeight="1" x14ac:dyDescent="0.25">
      <c r="A7588" s="2" t="s">
        <v>7590</v>
      </c>
      <c r="B7588" s="3" t="s">
        <v>4</v>
      </c>
      <c r="C7588" s="2" t="str">
        <f ca="1">IFERROR(__xludf.DUMMYFUNCTION("GOOGLETRANSLATE(A7588,""bn"",""en"")"),"The fragrance of the shampoo lasts long")</f>
        <v>The fragrance of the shampoo lasts long</v>
      </c>
    </row>
    <row r="7589" spans="1:3" ht="15.75" customHeight="1" x14ac:dyDescent="0.25">
      <c r="A7589" s="2" t="s">
        <v>7591</v>
      </c>
      <c r="B7589" s="3" t="s">
        <v>2</v>
      </c>
      <c r="C7589" s="2" t="str">
        <f ca="1">IFERROR(__xludf.DUMMYFUNCTION("GOOGLETRANSLATE(A7589,""bn"",""en"")"),"Product is good but installation takes time")</f>
        <v>Product is good but installation takes time</v>
      </c>
    </row>
    <row r="7590" spans="1:3" ht="15.75" customHeight="1" x14ac:dyDescent="0.25">
      <c r="A7590" s="2" t="s">
        <v>7592</v>
      </c>
      <c r="B7590" s="3" t="s">
        <v>4</v>
      </c>
      <c r="C7590" s="2" t="str">
        <f ca="1">IFERROR(__xludf.DUMMYFUNCTION("GOOGLETRANSLATE(A7590,""bn"",""en"")"),"Adapts well to the body after wearing")</f>
        <v>Adapts well to the body after wearing</v>
      </c>
    </row>
    <row r="7591" spans="1:3" ht="15.75" customHeight="1" x14ac:dyDescent="0.25">
      <c r="A7591" s="2" t="s">
        <v>7593</v>
      </c>
      <c r="B7591" s="3" t="s">
        <v>2</v>
      </c>
      <c r="C7591" s="2" t="str">
        <f ca="1">IFERROR(__xludf.DUMMYFUNCTION("GOOGLETRANSLATE(A7591,""bn"",""en"")"),"There are serving bowls but the size is small")</f>
        <v>There are serving bowls but the size is small</v>
      </c>
    </row>
    <row r="7592" spans="1:3" ht="15.75" customHeight="1" x14ac:dyDescent="0.25">
      <c r="A7592" s="2" t="s">
        <v>7594</v>
      </c>
      <c r="B7592" s="3" t="s">
        <v>2</v>
      </c>
      <c r="C7592" s="2" t="str">
        <f ca="1">IFERROR(__xludf.DUMMYFUNCTION("GOOGLETRANSLATE(A7592,""bn"",""en"")"),"Fertilizer is generally good but yield increase is not as noticeable")</f>
        <v>Fertilizer is generally good but yield increase is not as noticeable</v>
      </c>
    </row>
    <row r="7593" spans="1:3" ht="15.75" customHeight="1" x14ac:dyDescent="0.25">
      <c r="A7593" s="2" t="s">
        <v>7595</v>
      </c>
      <c r="B7593" s="3" t="s">
        <v>4</v>
      </c>
      <c r="C7593" s="2" t="str">
        <f ca="1">IFERROR(__xludf.DUMMYFUNCTION("GOOGLETRANSLATE(A7593,""bn"",""en"")"),"The bookshelf is durable in any weather")</f>
        <v>The bookshelf is durable in any weather</v>
      </c>
    </row>
    <row r="7594" spans="1:3" ht="15.75" customHeight="1" x14ac:dyDescent="0.25">
      <c r="A7594" s="2" t="s">
        <v>7596</v>
      </c>
      <c r="B7594" s="3" t="s">
        <v>6</v>
      </c>
      <c r="C7594" s="2" t="str">
        <f ca="1">IFERROR(__xludf.DUMMYFUNCTION("GOOGLETRANSLATE(A7594,""bn"",""en"")"),"Cheap looking overpriced product")</f>
        <v>Cheap looking overpriced product</v>
      </c>
    </row>
    <row r="7595" spans="1:3" ht="15.75" customHeight="1" x14ac:dyDescent="0.25">
      <c r="A7595" s="2" t="s">
        <v>7597</v>
      </c>
      <c r="B7595" s="3" t="s">
        <v>4</v>
      </c>
      <c r="C7595" s="2" t="str">
        <f ca="1">IFERROR(__xludf.DUMMYFUNCTION("GOOGLETRANSLATE(A7595,""bn"",""en"")"),"I especially love the cool feel of these pillows it helps me sleep deeply")</f>
        <v>I especially love the cool feel of these pillows it helps me sleep deeply</v>
      </c>
    </row>
    <row r="7596" spans="1:3" ht="15.75" customHeight="1" x14ac:dyDescent="0.25">
      <c r="A7596" s="2" t="s">
        <v>7598</v>
      </c>
      <c r="B7596" s="3" t="s">
        <v>4</v>
      </c>
      <c r="C7596" s="2" t="str">
        <f ca="1">IFERROR(__xludf.DUMMYFUNCTION("GOOGLETRANSLATE(A7596,""bn"",""en"")"),"It performs very fast and permanent")</f>
        <v>It performs very fast and permanent</v>
      </c>
    </row>
    <row r="7597" spans="1:3" ht="15.75" customHeight="1" x14ac:dyDescent="0.25">
      <c r="A7597" s="2" t="s">
        <v>7599</v>
      </c>
      <c r="B7597" s="3" t="s">
        <v>6</v>
      </c>
      <c r="C7597" s="2" t="str">
        <f ca="1">IFERROR(__xludf.DUMMYFUNCTION("GOOGLETRANSLATE(A7597,""bn"",""en"")"),"Not particularly amazingly good quality")</f>
        <v>Not particularly amazingly good quality</v>
      </c>
    </row>
    <row r="7598" spans="1:3" ht="15.75" customHeight="1" x14ac:dyDescent="0.25">
      <c r="A7598" s="2" t="s">
        <v>7600</v>
      </c>
      <c r="B7598" s="3" t="s">
        <v>4</v>
      </c>
      <c r="C7598" s="2" t="str">
        <f ca="1">IFERROR(__xludf.DUMMYFUNCTION("GOOGLETRANSLATE(A7598,""bn"",""en"")"),"The hook attached to the vent blades is very small otherwise this is a nice product")</f>
        <v>The hook attached to the vent blades is very small otherwise this is a nice product</v>
      </c>
    </row>
    <row r="7599" spans="1:3" ht="15.75" customHeight="1" x14ac:dyDescent="0.25">
      <c r="A7599" s="2" t="s">
        <v>7601</v>
      </c>
      <c r="B7599" s="3" t="s">
        <v>6</v>
      </c>
      <c r="C7599" s="2" t="str">
        <f ca="1">IFERROR(__xludf.DUMMYFUNCTION("GOOGLETRANSLATE(A7599,""bn"",""en"")"),"The quality falls short and is not worth the price tag")</f>
        <v>The quality falls short and is not worth the price tag</v>
      </c>
    </row>
    <row r="7600" spans="1:3" ht="15.75" customHeight="1" x14ac:dyDescent="0.25">
      <c r="A7600" s="2" t="s">
        <v>7602</v>
      </c>
      <c r="B7600" s="3" t="s">
        <v>2</v>
      </c>
      <c r="C7600" s="2" t="str">
        <f ca="1">IFERROR(__xludf.DUMMYFUNCTION("GOOGLETRANSLATE(A7600,""bn"",""en"")"),"The reflection is fairly clear")</f>
        <v>The reflection is fairly clear</v>
      </c>
    </row>
    <row r="7601" spans="1:3" ht="15.75" customHeight="1" x14ac:dyDescent="0.25">
      <c r="A7601" s="2" t="s">
        <v>7603</v>
      </c>
      <c r="B7601" s="3" t="s">
        <v>4</v>
      </c>
      <c r="C7601" s="2" t="str">
        <f ca="1">IFERROR(__xludf.DUMMYFUNCTION("GOOGLETRANSLATE(A7601,""bn"",""en"")"),"Suits skin tone")</f>
        <v>Suits skin tone</v>
      </c>
    </row>
    <row r="7602" spans="1:3" ht="15.75" customHeight="1" x14ac:dyDescent="0.25">
      <c r="A7602" s="2" t="s">
        <v>7604</v>
      </c>
      <c r="B7602" s="3" t="s">
        <v>2</v>
      </c>
      <c r="C7602" s="2" t="str">
        <f ca="1">IFERROR(__xludf.DUMMYFUNCTION("GOOGLETRANSLATE(A7602,""bn"",""en"")"),"Quality is good but room for improvement")</f>
        <v>Quality is good but room for improvement</v>
      </c>
    </row>
    <row r="7603" spans="1:3" ht="15.75" customHeight="1" x14ac:dyDescent="0.25">
      <c r="A7603" s="2" t="s">
        <v>7605</v>
      </c>
      <c r="B7603" s="3" t="s">
        <v>6</v>
      </c>
      <c r="C7603" s="2" t="str">
        <f ca="1">IFERROR(__xludf.DUMMYFUNCTION("GOOGLETRANSLATE(A7603,""bn"",""en"")"),"Antifreeze serum leaves my hair looking greasy and unmanageable No control over frizz")</f>
        <v>Antifreeze serum leaves my hair looking greasy and unmanageable No control over frizz</v>
      </c>
    </row>
    <row r="7604" spans="1:3" ht="15.75" customHeight="1" x14ac:dyDescent="0.25">
      <c r="A7604" s="2" t="s">
        <v>7606</v>
      </c>
      <c r="B7604" s="3" t="s">
        <v>4</v>
      </c>
      <c r="C7604" s="2" t="str">
        <f ca="1">IFERROR(__xludf.DUMMYFUNCTION("GOOGLETRANSLATE(A7604,""bn"",""en"")"),"I want to eat it every afternoon")</f>
        <v>I want to eat it every afternoon</v>
      </c>
    </row>
    <row r="7605" spans="1:3" ht="15.75" customHeight="1" x14ac:dyDescent="0.25">
      <c r="A7605" s="2" t="s">
        <v>7607</v>
      </c>
      <c r="B7605" s="3" t="s">
        <v>2</v>
      </c>
      <c r="C7605" s="2" t="str">
        <f ca="1">IFERROR(__xludf.DUMMYFUNCTION("GOOGLETRANSLATE(A7605,""bn"",""en"")"),"Delicious but overly sweet")</f>
        <v>Delicious but overly sweet</v>
      </c>
    </row>
    <row r="7606" spans="1:3" ht="15.75" customHeight="1" x14ac:dyDescent="0.25">
      <c r="A7606" s="2" t="s">
        <v>7608</v>
      </c>
      <c r="B7606" s="3" t="s">
        <v>2</v>
      </c>
      <c r="C7606" s="2" t="str">
        <f ca="1">IFERROR(__xludf.DUMMYFUNCTION("GOOGLETRANSLATE(A7606,""bn"",""en"")"),"Stitches are checked")</f>
        <v>Stitches are checked</v>
      </c>
    </row>
    <row r="7607" spans="1:3" ht="15.75" customHeight="1" x14ac:dyDescent="0.25">
      <c r="A7607" s="2" t="s">
        <v>7609</v>
      </c>
      <c r="B7607" s="3" t="s">
        <v>4</v>
      </c>
      <c r="C7607" s="2" t="str">
        <f ca="1">IFERROR(__xludf.DUMMYFUNCTION("GOOGLETRANSLATE(A7607,""bn"",""en"")"),"If you want good quality, you can take it. It would be better if you reduce the price. Thank you")</f>
        <v>If you want good quality, you can take it. It would be better if you reduce the price. Thank you</v>
      </c>
    </row>
    <row r="7608" spans="1:3" ht="15.75" customHeight="1" x14ac:dyDescent="0.25">
      <c r="A7608" s="2" t="s">
        <v>7610</v>
      </c>
      <c r="B7608" s="3" t="s">
        <v>4</v>
      </c>
      <c r="C7608" s="2" t="str">
        <f ca="1">IFERROR(__xludf.DUMMYFUNCTION("GOOGLETRANSLATE(A7608,""bn"",""en"")"),"great gift")</f>
        <v>great gift</v>
      </c>
    </row>
    <row r="7609" spans="1:3" ht="15.75" customHeight="1" x14ac:dyDescent="0.25">
      <c r="A7609" s="2" t="s">
        <v>7611</v>
      </c>
      <c r="B7609" s="3" t="s">
        <v>4</v>
      </c>
      <c r="C7609" s="2" t="str">
        <f ca="1">IFERROR(__xludf.DUMMYFUNCTION("GOOGLETRANSLATE(A7609,""bn"",""en"")"),"The doll looks very beautiful and charming with its big eyes and sweet smile that mesmerized my daughter")</f>
        <v>The doll looks very beautiful and charming with its big eyes and sweet smile that mesmerized my daughter</v>
      </c>
    </row>
    <row r="7610" spans="1:3" ht="15.75" customHeight="1" x14ac:dyDescent="0.25">
      <c r="A7610" s="2" t="s">
        <v>7612</v>
      </c>
      <c r="B7610" s="3" t="s">
        <v>4</v>
      </c>
      <c r="C7610" s="2" t="str">
        <f ca="1">IFERROR(__xludf.DUMMYFUNCTION("GOOGLETRANSLATE(A7610,""bn"",""en"")"),"The seat cushions of the chairs are removable and easy to clean")</f>
        <v>The seat cushions of the chairs are removable and easy to clean</v>
      </c>
    </row>
    <row r="7611" spans="1:3" ht="15.75" customHeight="1" x14ac:dyDescent="0.25">
      <c r="A7611" s="2" t="s">
        <v>7613</v>
      </c>
      <c r="B7611" s="3" t="s">
        <v>6</v>
      </c>
      <c r="C7611" s="2" t="str">
        <f ca="1">IFERROR(__xludf.DUMMYFUNCTION("GOOGLETRANSLATE(A7611,""bn"",""en"")"),"The fabric is rough and abrasive causing strain and discomfort when worn for extended periods of time")</f>
        <v>The fabric is rough and abrasive causing strain and discomfort when worn for extended periods of time</v>
      </c>
    </row>
    <row r="7612" spans="1:3" ht="15.75" customHeight="1" x14ac:dyDescent="0.25">
      <c r="A7612" s="2" t="s">
        <v>7614</v>
      </c>
      <c r="B7612" s="3" t="s">
        <v>2</v>
      </c>
      <c r="C7612" s="2" t="str">
        <f ca="1">IFERROR(__xludf.DUMMYFUNCTION("GOOGLETRANSLATE(A7612,""bn"",""en"")"),"Find products online")</f>
        <v>Find products online</v>
      </c>
    </row>
    <row r="7613" spans="1:3" ht="15.75" customHeight="1" x14ac:dyDescent="0.25">
      <c r="A7613" s="2" t="s">
        <v>7615</v>
      </c>
      <c r="B7613" s="3" t="s">
        <v>6</v>
      </c>
      <c r="C7613" s="2" t="str">
        <f ca="1">IFERROR(__xludf.DUMMYFUNCTION("GOOGLETRANSLATE(A7613,""bn"",""en"")"),"Robot bartenders mess up cocktails by mixing drinks inconsistently")</f>
        <v>Robot bartenders mess up cocktails by mixing drinks inconsistently</v>
      </c>
    </row>
    <row r="7614" spans="1:3" ht="15.75" customHeight="1" x14ac:dyDescent="0.25">
      <c r="A7614" s="2" t="s">
        <v>7616</v>
      </c>
      <c r="B7614" s="3" t="s">
        <v>6</v>
      </c>
      <c r="C7614" s="2" t="str">
        <f ca="1">IFERROR(__xludf.DUMMYFUNCTION("GOOGLETRANSLATE(A7614,""bn"",""en"")"),"The charger cable insulation is thin and exposes the bottom wires that are prone to wear")</f>
        <v>The charger cable insulation is thin and exposes the bottom wires that are prone to wear</v>
      </c>
    </row>
    <row r="7615" spans="1:3" ht="15.75" customHeight="1" x14ac:dyDescent="0.25">
      <c r="A7615" s="2" t="s">
        <v>7617</v>
      </c>
      <c r="B7615" s="3" t="s">
        <v>6</v>
      </c>
      <c r="C7615" s="2" t="str">
        <f ca="1">IFERROR(__xludf.DUMMYFUNCTION("GOOGLETRANSLATE(A7615,""bn"",""en"")"),"  The spray irritates my sensitive skin and causes redness")</f>
        <v xml:space="preserve">  The spray irritates my sensitive skin and causes redness</v>
      </c>
    </row>
    <row r="7616" spans="1:3" ht="15.75" customHeight="1" x14ac:dyDescent="0.25">
      <c r="A7616" s="2" t="s">
        <v>7618</v>
      </c>
      <c r="B7616" s="3" t="s">
        <v>2</v>
      </c>
      <c r="C7616" s="2" t="str">
        <f ca="1">IFERROR(__xludf.DUMMYFUNCTION("GOOGLETRANSLATE(A7616,""bn"",""en"")"),"Connection attempts may be required")</f>
        <v>Connection attempts may be required</v>
      </c>
    </row>
    <row r="7617" spans="1:3" ht="15.75" customHeight="1" x14ac:dyDescent="0.25">
      <c r="A7617" s="2" t="s">
        <v>7619</v>
      </c>
      <c r="B7617" s="3" t="s">
        <v>2</v>
      </c>
      <c r="C7617" s="2" t="str">
        <f ca="1">IFERROR(__xludf.DUMMYFUNCTION("GOOGLETRANSLATE(A7617,""bn"",""en"")"),"Frame color is normal")</f>
        <v>Frame color is normal</v>
      </c>
    </row>
    <row r="7618" spans="1:3" ht="15.75" customHeight="1" x14ac:dyDescent="0.25">
      <c r="A7618" s="2" t="s">
        <v>7620</v>
      </c>
      <c r="B7618" s="3" t="s">
        <v>2</v>
      </c>
      <c r="C7618" s="2" t="str">
        <f ca="1">IFERROR(__xludf.DUMMYFUNCTION("GOOGLETRANSLATE(A7618,""bn"",""en"")"),"The size is usually fine but may vary")</f>
        <v>The size is usually fine but may vary</v>
      </c>
    </row>
    <row r="7619" spans="1:3" ht="15.75" customHeight="1" x14ac:dyDescent="0.25">
      <c r="A7619" s="2" t="s">
        <v>7621</v>
      </c>
      <c r="B7619" s="3" t="s">
        <v>4</v>
      </c>
      <c r="C7619" s="2" t="str">
        <f ca="1">IFERROR(__xludf.DUMMYFUNCTION("GOOGLETRANSLATE(A7619,""bn"",""en"")"),"Makeup brushes are fun to use")</f>
        <v>Makeup brushes are fun to use</v>
      </c>
    </row>
    <row r="7620" spans="1:3" ht="15.75" customHeight="1" x14ac:dyDescent="0.25">
      <c r="A7620" s="2" t="s">
        <v>7622</v>
      </c>
      <c r="B7620" s="3" t="s">
        <v>2</v>
      </c>
      <c r="C7620" s="2" t="str">
        <f ca="1">IFERROR(__xludf.DUMMYFUNCTION("GOOGLETRANSLATE(A7620,""bn"",""en"")"),"Comfortable but not exceptional")</f>
        <v>Comfortable but not exceptional</v>
      </c>
    </row>
    <row r="7621" spans="1:3" ht="15.75" customHeight="1" x14ac:dyDescent="0.25">
      <c r="A7621" s="2" t="s">
        <v>7623</v>
      </c>
      <c r="B7621" s="3" t="s">
        <v>4</v>
      </c>
      <c r="C7621" s="2" t="str">
        <f ca="1">IFERROR(__xludf.DUMMYFUNCTION("GOOGLETRANSLATE(A7621,""bn"",""en"")"),"The quality of my sleep has increased")</f>
        <v>The quality of my sleep has increased</v>
      </c>
    </row>
    <row r="7622" spans="1:3" ht="15.75" customHeight="1" x14ac:dyDescent="0.25">
      <c r="A7622" s="2" t="s">
        <v>7624</v>
      </c>
      <c r="B7622" s="3" t="s">
        <v>4</v>
      </c>
      <c r="C7622" s="2" t="str">
        <f ca="1">IFERROR(__xludf.DUMMYFUNCTION("GOOGLETRANSLATE(A7622,""bn"",""en"")"),"The warranty policy that comes with the set is very customer friendly which reassures me")</f>
        <v>The warranty policy that comes with the set is very customer friendly which reassures me</v>
      </c>
    </row>
    <row r="7623" spans="1:3" ht="15.75" customHeight="1" x14ac:dyDescent="0.25">
      <c r="A7623" s="2" t="s">
        <v>7625</v>
      </c>
      <c r="B7623" s="3" t="s">
        <v>2</v>
      </c>
      <c r="C7623" s="2" t="str">
        <f ca="1">IFERROR(__xludf.DUMMYFUNCTION("GOOGLETRANSLATE(A7623,""bn"",""en"")"),"The drink is good for the price but the taste is a bit of a problem")</f>
        <v>The drink is good for the price but the taste is a bit of a problem</v>
      </c>
    </row>
    <row r="7624" spans="1:3" ht="15.75" customHeight="1" x14ac:dyDescent="0.25">
      <c r="A7624" s="2" t="s">
        <v>7626</v>
      </c>
      <c r="B7624" s="3" t="s">
        <v>2</v>
      </c>
      <c r="C7624" s="2" t="str">
        <f ca="1">IFERROR(__xludf.DUMMYFUNCTION("GOOGLETRANSLATE(A7624,""bn"",""en"")"),"The product offers various features at a reasonable price although some items may not meet high standards")</f>
        <v>The product offers various features at a reasonable price although some items may not meet high standards</v>
      </c>
    </row>
    <row r="7625" spans="1:3" ht="15.75" customHeight="1" x14ac:dyDescent="0.25">
      <c r="A7625" s="2" t="s">
        <v>7627</v>
      </c>
      <c r="B7625" s="3" t="s">
        <v>4</v>
      </c>
      <c r="C7625" s="2" t="str">
        <f ca="1">IFERROR(__xludf.DUMMYFUNCTION("GOOGLETRANSLATE(A7625,""bn"",""en"")"),"The box also has some unconventional colors which I like")</f>
        <v>The box also has some unconventional colors which I like</v>
      </c>
    </row>
    <row r="7626" spans="1:3" ht="15.75" customHeight="1" x14ac:dyDescent="0.25">
      <c r="A7626" s="2" t="s">
        <v>7628</v>
      </c>
      <c r="B7626" s="3" t="s">
        <v>6</v>
      </c>
      <c r="C7626" s="2" t="str">
        <f ca="1">IFERROR(__xludf.DUMMYFUNCTION("GOOGLETRANSLATE(A7626,""bn"",""en"")"),"The Leavein conditioner made my hair feel heavy and weighed down")</f>
        <v>The Leavein conditioner made my hair feel heavy and weighed down</v>
      </c>
    </row>
    <row r="7627" spans="1:3" ht="15.75" customHeight="1" x14ac:dyDescent="0.25">
      <c r="A7627" s="2" t="s">
        <v>7629</v>
      </c>
      <c r="B7627" s="3" t="s">
        <v>2</v>
      </c>
      <c r="C7627" s="2" t="str">
        <f ca="1">IFERROR(__xludf.DUMMYFUNCTION("GOOGLETRANSLATE(A7627,""bn"",""en"")"),"The book is worth keeping but doesn't inspire re-reading")</f>
        <v>The book is worth keeping but doesn't inspire re-reading</v>
      </c>
    </row>
    <row r="7628" spans="1:3" ht="15.75" customHeight="1" x14ac:dyDescent="0.25">
      <c r="A7628" s="2" t="s">
        <v>7630</v>
      </c>
      <c r="B7628" s="3" t="s">
        <v>2</v>
      </c>
      <c r="C7628" s="2" t="str">
        <f ca="1">IFERROR(__xludf.DUMMYFUNCTION("GOOGLETRANSLATE(A7628,""bn"",""en"")"),"Floats in water but may seep some water")</f>
        <v>Floats in water but may seep some water</v>
      </c>
    </row>
    <row r="7629" spans="1:3" ht="15.75" customHeight="1" x14ac:dyDescent="0.25">
      <c r="A7629" s="2" t="s">
        <v>7631</v>
      </c>
      <c r="B7629" s="3" t="s">
        <v>4</v>
      </c>
      <c r="C7629" s="2" t="str">
        <f ca="1">IFERROR(__xludf.DUMMYFUNCTION("GOOGLETRANSLATE(A7629,""bn"",""en"")"),"Anker USB C Charger Cable Pack ft Performance is a great product I am very happy")</f>
        <v>Anker USB C Charger Cable Pack ft Performance is a great product I am very happy</v>
      </c>
    </row>
    <row r="7630" spans="1:3" ht="15.75" customHeight="1" x14ac:dyDescent="0.25">
      <c r="A7630" s="2" t="s">
        <v>7632</v>
      </c>
      <c r="B7630" s="3" t="s">
        <v>6</v>
      </c>
      <c r="C7630" s="2" t="str">
        <f ca="1">IFERROR(__xludf.DUMMYFUNCTION("GOOGLETRANSLATE(A7630,""bn"",""en"")")," Warranty coverage was limited leaving users unprotected against defects")</f>
        <v xml:space="preserve"> Warranty coverage was limited leaving users unprotected against defects</v>
      </c>
    </row>
    <row r="7631" spans="1:3" ht="15.75" customHeight="1" x14ac:dyDescent="0.25">
      <c r="A7631" s="2" t="s">
        <v>7633</v>
      </c>
      <c r="B7631" s="3" t="s">
        <v>4</v>
      </c>
      <c r="C7631" s="2" t="str">
        <f ca="1">IFERROR(__xludf.DUMMYFUNCTION("GOOGLETRANSLATE(A7631,""bn"",""en"")"),"I love listening to music on this radio")</f>
        <v>I love listening to music on this radio</v>
      </c>
    </row>
    <row r="7632" spans="1:3" ht="15.75" customHeight="1" x14ac:dyDescent="0.25">
      <c r="A7632" s="2" t="s">
        <v>7634</v>
      </c>
      <c r="B7632" s="3" t="s">
        <v>6</v>
      </c>
      <c r="C7632" s="2" t="str">
        <f ca="1">IFERROR(__xludf.DUMMYFUNCTION("GOOGLETRANSLATE(A7632,""bn"",""en"")"),"Bottle warmers take a long time to heat up causing inconvenience to parents")</f>
        <v>Bottle warmers take a long time to heat up causing inconvenience to parents</v>
      </c>
    </row>
    <row r="7633" spans="1:3" ht="15.75" customHeight="1" x14ac:dyDescent="0.25">
      <c r="A7633" s="2" t="s">
        <v>7635</v>
      </c>
      <c r="B7633" s="3" t="s">
        <v>6</v>
      </c>
      <c r="C7633" s="2" t="str">
        <f ca="1">IFERROR(__xludf.DUMMYFUNCTION("GOOGLETRANSLATE(A7633,""bn"",""en"")"),"Dissatisfied with product and support")</f>
        <v>Dissatisfied with product and support</v>
      </c>
    </row>
    <row r="7634" spans="1:3" ht="15.75" customHeight="1" x14ac:dyDescent="0.25">
      <c r="A7634" s="2" t="s">
        <v>7636</v>
      </c>
      <c r="B7634" s="3" t="s">
        <v>2</v>
      </c>
      <c r="C7634" s="2" t="str">
        <f ca="1">IFERROR(__xludf.DUMMYFUNCTION("GOOGLETRANSLATE(A7634,""bn"",""en"")"),"It has a light cream tint")</f>
        <v>It has a light cream tint</v>
      </c>
    </row>
    <row r="7635" spans="1:3" ht="15.75" customHeight="1" x14ac:dyDescent="0.25">
      <c r="A7635" s="2" t="s">
        <v>7637</v>
      </c>
      <c r="B7635" s="3" t="s">
        <v>6</v>
      </c>
      <c r="C7635" s="2" t="str">
        <f ca="1">IFERROR(__xludf.DUMMYFUNCTION("GOOGLETRANSLATE(A7635,""bn"",""en"")"),"McAfee Total Protection software seemed like a reliable choice for antivirus protection, but it turned out to be a resource hog that slowed down my system significantly, plus the constant popups and notifications were annoying.")</f>
        <v>McAfee Total Protection software seemed like a reliable choice for antivirus protection, but it turned out to be a resource hog that slowed down my system significantly, plus the constant popups and notifications were annoying.</v>
      </c>
    </row>
    <row r="7636" spans="1:3" ht="15.75" customHeight="1" x14ac:dyDescent="0.25">
      <c r="A7636" s="2" t="s">
        <v>7638</v>
      </c>
      <c r="B7636" s="3" t="s">
        <v>6</v>
      </c>
      <c r="C7636" s="2" t="str">
        <f ca="1">IFERROR(__xludf.DUMMYFUNCTION("GOOGLETRANSLATE(A7636,""bn"",""en"")"),"The imagery lacks liveliness and fails to engage the audience")</f>
        <v>The imagery lacks liveliness and fails to engage the audience</v>
      </c>
    </row>
    <row r="7637" spans="1:3" ht="15.75" customHeight="1" x14ac:dyDescent="0.25">
      <c r="A7637" s="2" t="s">
        <v>7639</v>
      </c>
      <c r="B7637" s="3" t="s">
        <v>4</v>
      </c>
      <c r="C7637" s="2" t="str">
        <f ca="1">IFERROR(__xludf.DUMMYFUNCTION("GOOGLETRANSLATE(A7637,""bn"",""en"")"),"This body wash enhances the skin's natural protection")</f>
        <v>This body wash enhances the skin's natural protection</v>
      </c>
    </row>
    <row r="7638" spans="1:3" ht="15.75" customHeight="1" x14ac:dyDescent="0.25">
      <c r="A7638" s="2" t="s">
        <v>7640</v>
      </c>
      <c r="B7638" s="3" t="s">
        <v>4</v>
      </c>
      <c r="C7638" s="2" t="str">
        <f ca="1">IFERROR(__xludf.DUMMYFUNCTION("GOOGLETRANSLATE(A7638,""bn"",""en"")"),"The pendants boost my confidence")</f>
        <v>The pendants boost my confidence</v>
      </c>
    </row>
    <row r="7639" spans="1:3" ht="15.75" customHeight="1" x14ac:dyDescent="0.25">
      <c r="A7639" s="2" t="s">
        <v>7641</v>
      </c>
      <c r="B7639" s="3" t="s">
        <v>6</v>
      </c>
      <c r="C7639" s="2" t="str">
        <f ca="1">IFERROR(__xludf.DUMMYFUNCTION("GOOGLETRANSLATE(A7639,""bn"",""en"")"),"Overpriced for poor quality")</f>
        <v>Overpriced for poor quality</v>
      </c>
    </row>
    <row r="7640" spans="1:3" ht="15.75" customHeight="1" x14ac:dyDescent="0.25">
      <c r="A7640" s="2" t="s">
        <v>7642</v>
      </c>
      <c r="B7640" s="3" t="s">
        <v>2</v>
      </c>
      <c r="C7640" s="2" t="str">
        <f ca="1">IFERROR(__xludf.DUMMYFUNCTION("GOOGLETRANSLATE(A7640,""bn"",""en"")"),"Shopping was as it was")</f>
        <v>Shopping was as it was</v>
      </c>
    </row>
    <row r="7641" spans="1:3" ht="15.75" customHeight="1" x14ac:dyDescent="0.25">
      <c r="A7641" s="2" t="s">
        <v>7643</v>
      </c>
      <c r="B7641" s="3" t="s">
        <v>6</v>
      </c>
      <c r="C7641" s="2" t="str">
        <f ca="1">IFERROR(__xludf.DUMMYFUNCTION("GOOGLETRANSLATE(A7641,""bn"",""en"")"),"The Leavein conditioner weighs my hair down and makes it look flat")</f>
        <v>The Leavein conditioner weighs my hair down and makes it look flat</v>
      </c>
    </row>
    <row r="7642" spans="1:3" ht="15.75" customHeight="1" x14ac:dyDescent="0.25">
      <c r="A7642" s="2" t="s">
        <v>7644</v>
      </c>
      <c r="B7642" s="3" t="s">
        <v>6</v>
      </c>
      <c r="C7642" s="2" t="str">
        <f ca="1">IFERROR(__xludf.DUMMYFUNCTION("GOOGLETRANSLATE(A7642,""bn"",""en"")"),"The tea had a metallic aftertaste probably due to poor quality water")</f>
        <v>The tea had a metallic aftertaste probably due to poor quality water</v>
      </c>
    </row>
    <row r="7643" spans="1:3" ht="15.75" customHeight="1" x14ac:dyDescent="0.25">
      <c r="A7643" s="2" t="s">
        <v>7645</v>
      </c>
      <c r="B7643" s="3" t="s">
        <v>2</v>
      </c>
      <c r="C7643" s="2" t="str">
        <f ca="1">IFERROR(__xludf.DUMMYFUNCTION("GOOGLETRANSLATE(A7643,""bn"",""en"")"),"The quality could have been much better")</f>
        <v>The quality could have been much better</v>
      </c>
    </row>
    <row r="7644" spans="1:3" ht="15.75" customHeight="1" x14ac:dyDescent="0.25">
      <c r="A7644" s="2" t="s">
        <v>7646</v>
      </c>
      <c r="B7644" s="3" t="s">
        <v>2</v>
      </c>
      <c r="C7644" s="2" t="str">
        <f ca="1">IFERROR(__xludf.DUMMYFUNCTION("GOOGLETRANSLATE(A7644,""bn"",""en"")"),"Amazing color range but quality is average")</f>
        <v>Amazing color range but quality is average</v>
      </c>
    </row>
    <row r="7645" spans="1:3" ht="15.75" customHeight="1" x14ac:dyDescent="0.25">
      <c r="A7645" s="2" t="s">
        <v>7647</v>
      </c>
      <c r="B7645" s="3" t="s">
        <v>4</v>
      </c>
      <c r="C7645" s="2" t="str">
        <f ca="1">IFERROR(__xludf.DUMMYFUNCTION("GOOGLETRANSLATE(A7645,""bn"",""en"")"),"The compressor's warranty facility reassures me that it is a safe choice for long-term investment")</f>
        <v>The compressor's warranty facility reassures me that it is a safe choice for long-term investment</v>
      </c>
    </row>
    <row r="7646" spans="1:3" ht="15.75" customHeight="1" x14ac:dyDescent="0.25">
      <c r="A7646" s="2" t="s">
        <v>7648</v>
      </c>
      <c r="B7646" s="3" t="s">
        <v>2</v>
      </c>
      <c r="C7646" s="2" t="str">
        <f ca="1">IFERROR(__xludf.DUMMYFUNCTION("GOOGLETRANSLATE(A7646,""bn"",""en"")"),"Frequent use may affect fabric condition")</f>
        <v>Frequent use may affect fabric condition</v>
      </c>
    </row>
    <row r="7647" spans="1:3" ht="15.75" customHeight="1" x14ac:dyDescent="0.25">
      <c r="A7647" s="2" t="s">
        <v>7649</v>
      </c>
      <c r="B7647" s="3" t="s">
        <v>6</v>
      </c>
      <c r="C7647" s="2" t="str">
        <f ca="1">IFERROR(__xludf.DUMMYFUNCTION("GOOGLETRANSLATE(A7647,""bn"",""en"")"),"The product was inconsistent and lacked reliability")</f>
        <v>The product was inconsistent and lacked reliability</v>
      </c>
    </row>
    <row r="7648" spans="1:3" ht="15.75" customHeight="1" x14ac:dyDescent="0.25">
      <c r="A7648" s="2" t="s">
        <v>7650</v>
      </c>
      <c r="B7648" s="3" t="s">
        <v>6</v>
      </c>
      <c r="C7648" s="2" t="str">
        <f ca="1">IFERROR(__xludf.DUMMYFUNCTION("GOOGLETRANSLATE(A7648,""bn"",""en"")"),"The dress was advertised as a fixed length but was significantly shorter in person")</f>
        <v>The dress was advertised as a fixed length but was significantly shorter in person</v>
      </c>
    </row>
    <row r="7649" spans="1:3" ht="15.75" customHeight="1" x14ac:dyDescent="0.25">
      <c r="A7649" s="2" t="s">
        <v>7651</v>
      </c>
      <c r="B7649" s="3" t="s">
        <v>4</v>
      </c>
      <c r="C7649" s="2" t="str">
        <f ca="1">IFERROR(__xludf.DUMMYFUNCTION("GOOGLETRANSLATE(A7649,""bn"",""en"")"),"The child always goes for a walk with his grandfather")</f>
        <v>The child always goes for a walk with his grandfather</v>
      </c>
    </row>
    <row r="7650" spans="1:3" ht="15.75" customHeight="1" x14ac:dyDescent="0.25">
      <c r="A7650" s="2" t="s">
        <v>7652</v>
      </c>
      <c r="B7650" s="3" t="s">
        <v>6</v>
      </c>
      <c r="C7650" s="2" t="str">
        <f ca="1">IFERROR(__xludf.DUMMYFUNCTION("GOOGLETRANSLATE(A7650,""bn"",""en"")"),"The cups had sharp edges that created a safety hazard")</f>
        <v>The cups had sharp edges that created a safety hazard</v>
      </c>
    </row>
    <row r="7651" spans="1:3" ht="15.75" customHeight="1" x14ac:dyDescent="0.25">
      <c r="A7651" s="2" t="s">
        <v>7653</v>
      </c>
      <c r="B7651" s="3" t="s">
        <v>4</v>
      </c>
      <c r="C7651" s="2" t="str">
        <f ca="1">IFERROR(__xludf.DUMMYFUNCTION("GOOGLETRANSLATE(A7651,""bn"",""en"")"),"The quality of the materials used in it is quite good")</f>
        <v>The quality of the materials used in it is quite good</v>
      </c>
    </row>
    <row r="7652" spans="1:3" ht="15.75" customHeight="1" x14ac:dyDescent="0.25">
      <c r="A7652" s="2" t="s">
        <v>7654</v>
      </c>
      <c r="B7652" s="3" t="s">
        <v>4</v>
      </c>
      <c r="C7652" s="2" t="str">
        <f ca="1">IFERROR(__xludf.DUMMYFUNCTION("GOOGLETRANSLATE(A7652,""bn"",""en"")"),"The water filtering system of the water cooler is quite effective")</f>
        <v>The water filtering system of the water cooler is quite effective</v>
      </c>
    </row>
    <row r="7653" spans="1:3" ht="15.75" customHeight="1" x14ac:dyDescent="0.25">
      <c r="A7653" s="2" t="s">
        <v>7655</v>
      </c>
      <c r="B7653" s="3" t="s">
        <v>2</v>
      </c>
      <c r="C7653" s="2" t="str">
        <f ca="1">IFERROR(__xludf.DUMMYFUNCTION("GOOGLETRANSLATE(A7653,""bn"",""en"")"),"There is no substitute for improvement")</f>
        <v>There is no substitute for improvement</v>
      </c>
    </row>
    <row r="7654" spans="1:3" ht="15.75" customHeight="1" x14ac:dyDescent="0.25">
      <c r="A7654" s="2" t="s">
        <v>7656</v>
      </c>
      <c r="B7654" s="3" t="s">
        <v>2</v>
      </c>
      <c r="C7654" s="2" t="str">
        <f ca="1">IFERROR(__xludf.DUMMYFUNCTION("GOOGLETRANSLATE(A7654,""bn"",""en"")"),"Can be stacked but the bottoms deform under pressure")</f>
        <v>Can be stacked but the bottoms deform under pressure</v>
      </c>
    </row>
    <row r="7655" spans="1:3" ht="15.75" customHeight="1" x14ac:dyDescent="0.25">
      <c r="A7655" s="2" t="s">
        <v>7657</v>
      </c>
      <c r="B7655" s="3" t="s">
        <v>4</v>
      </c>
      <c r="C7655" s="2" t="str">
        <f ca="1">IFERROR(__xludf.DUMMYFUNCTION("GOOGLETRANSLATE(A7655,""bn"",""en"")"),"This toy is very safe for children")</f>
        <v>This toy is very safe for children</v>
      </c>
    </row>
    <row r="7656" spans="1:3" ht="15.75" customHeight="1" x14ac:dyDescent="0.25">
      <c r="A7656" s="2" t="s">
        <v>7658</v>
      </c>
      <c r="B7656" s="3" t="s">
        <v>2</v>
      </c>
      <c r="C7656" s="2" t="str">
        <f ca="1">IFERROR(__xludf.DUMMYFUNCTION("GOOGLETRANSLATE(A7656,""bn"",""en"")"),"Fairly good but needs improvement in some areas")</f>
        <v>Fairly good but needs improvement in some areas</v>
      </c>
    </row>
    <row r="7657" spans="1:3" ht="15.75" customHeight="1" x14ac:dyDescent="0.25">
      <c r="A7657" s="2" t="s">
        <v>7659</v>
      </c>
      <c r="B7657" s="3" t="s">
        <v>2</v>
      </c>
      <c r="C7657" s="2" t="str">
        <f ca="1">IFERROR(__xludf.DUMMYFUNCTION("GOOGLETRANSLATE(A7657,""bn"",""en"")"),"The size of the bench press is decent but not easy to clean")</f>
        <v>The size of the bench press is decent but not easy to clean</v>
      </c>
    </row>
    <row r="7658" spans="1:3" ht="15.75" customHeight="1" x14ac:dyDescent="0.25">
      <c r="A7658" s="2" t="s">
        <v>7660</v>
      </c>
      <c r="B7658" s="3" t="s">
        <v>2</v>
      </c>
      <c r="C7658" s="2" t="str">
        <f ca="1">IFERROR(__xludf.DUMMYFUNCTION("GOOGLETRANSLATE(A7658,""bn"",""en"")"),"May have scratches from use")</f>
        <v>May have scratches from use</v>
      </c>
    </row>
    <row r="7659" spans="1:3" ht="15.75" customHeight="1" x14ac:dyDescent="0.25">
      <c r="A7659" s="2" t="s">
        <v>7661</v>
      </c>
      <c r="B7659" s="3" t="s">
        <v>4</v>
      </c>
      <c r="C7659" s="2" t="str">
        <f ca="1">IFERROR(__xludf.DUMMYFUNCTION("GOOGLETRANSLATE(A7659,""bn"",""en"")"),"Performance is consistent")</f>
        <v>Performance is consistent</v>
      </c>
    </row>
    <row r="7660" spans="1:3" ht="15.75" customHeight="1" x14ac:dyDescent="0.25">
      <c r="A7660" s="2" t="s">
        <v>7662</v>
      </c>
      <c r="B7660" s="3" t="s">
        <v>4</v>
      </c>
      <c r="C7660" s="2" t="str">
        <f ca="1">IFERROR(__xludf.DUMMYFUNCTION("GOOGLETRANSLATE(A7660,""bn"",""en"")"),"The design of this ring is very modern and special")</f>
        <v>The design of this ring is very modern and special</v>
      </c>
    </row>
    <row r="7661" spans="1:3" ht="15.75" customHeight="1" x14ac:dyDescent="0.25">
      <c r="A7661" s="2" t="s">
        <v>7663</v>
      </c>
      <c r="B7661" s="3" t="s">
        <v>4</v>
      </c>
      <c r="C7661" s="2" t="str">
        <f ca="1">IFERROR(__xludf.DUMMYFUNCTION("GOOGLETRANSLATE(A7661,""bn"",""en"")"),"The new kitchen setup is very convenient")</f>
        <v>The new kitchen setup is very convenient</v>
      </c>
    </row>
    <row r="7662" spans="1:3" ht="15.75" customHeight="1" x14ac:dyDescent="0.25">
      <c r="A7662" s="2" t="s">
        <v>7664</v>
      </c>
      <c r="B7662" s="3" t="s">
        <v>4</v>
      </c>
      <c r="C7662" s="2" t="str">
        <f ca="1">IFERROR(__xludf.DUMMYFUNCTION("GOOGLETRANSLATE(A7662,""bn"",""en"")"),"The girl goes for a run every morning")</f>
        <v>The girl goes for a run every morning</v>
      </c>
    </row>
    <row r="7663" spans="1:3" ht="15.75" customHeight="1" x14ac:dyDescent="0.25">
      <c r="A7663" s="2" t="s">
        <v>7665</v>
      </c>
      <c r="B7663" s="3" t="s">
        <v>2</v>
      </c>
      <c r="C7663" s="2" t="str">
        <f ca="1">IFERROR(__xludf.DUMMYFUNCTION("GOOGLETRANSLATE(A7663,""bn"",""en"")"),"There are other options suitable for quilt backing")</f>
        <v>There are other options suitable for quilt backing</v>
      </c>
    </row>
    <row r="7664" spans="1:3" ht="15.75" customHeight="1" x14ac:dyDescent="0.25">
      <c r="A7664" s="2" t="s">
        <v>7666</v>
      </c>
      <c r="B7664" s="3" t="s">
        <v>4</v>
      </c>
      <c r="C7664" s="2" t="str">
        <f ca="1">IFERROR(__xludf.DUMMYFUNCTION("GOOGLETRANSLATE(A7664,""bn"",""en"")"),"The display quality is very good and the video and photo viewing experience is amazing, everything looks more alive on the high resolution screen")</f>
        <v>The display quality is very good and the video and photo viewing experience is amazing, everything looks more alive on the high resolution screen</v>
      </c>
    </row>
    <row r="7665" spans="1:3" ht="15.75" customHeight="1" x14ac:dyDescent="0.25">
      <c r="A7665" s="2" t="s">
        <v>7667</v>
      </c>
      <c r="B7665" s="3" t="s">
        <v>6</v>
      </c>
      <c r="C7665" s="2" t="str">
        <f ca="1">IFERROR(__xludf.DUMMYFUNCTION("GOOGLETRANSLATE(A7665,""bn"",""en"")"),"  The inner lining tears easily exposing the inner padding")</f>
        <v xml:space="preserve">  The inner lining tears easily exposing the inner padding</v>
      </c>
    </row>
    <row r="7666" spans="1:3" ht="15.75" customHeight="1" x14ac:dyDescent="0.25">
      <c r="A7666" s="2" t="s">
        <v>7668</v>
      </c>
      <c r="B7666" s="3" t="s">
        <v>4</v>
      </c>
      <c r="C7666" s="2" t="str">
        <f ca="1">IFERROR(__xludf.DUMMYFUNCTION("GOOGLETRANSLATE(A7666,""bn"",""en"")"),"The design of the chair is beautiful and supports the body properly")</f>
        <v>The design of the chair is beautiful and supports the body properly</v>
      </c>
    </row>
    <row r="7667" spans="1:3" ht="15.75" customHeight="1" x14ac:dyDescent="0.25">
      <c r="A7667" s="2" t="s">
        <v>7669</v>
      </c>
      <c r="B7667" s="3" t="s">
        <v>2</v>
      </c>
      <c r="C7667" s="2" t="str">
        <f ca="1">IFERROR(__xludf.DUMMYFUNCTION("GOOGLETRANSLATE(A7667,""bn"",""en"")"),"The fertilizer was of moderate quality but yield was not as expected")</f>
        <v>The fertilizer was of moderate quality but yield was not as expected</v>
      </c>
    </row>
    <row r="7668" spans="1:3" ht="15.75" customHeight="1" x14ac:dyDescent="0.25">
      <c r="A7668" s="2" t="s">
        <v>7670</v>
      </c>
      <c r="B7668" s="3" t="s">
        <v>4</v>
      </c>
      <c r="C7668" s="2" t="str">
        <f ca="1">IFERROR(__xludf.DUMMYFUNCTION("GOOGLETRANSLATE(A7668,""bn"",""en"")"),"The design of the makeup kit is very attractive")</f>
        <v>The design of the makeup kit is very attractive</v>
      </c>
    </row>
    <row r="7669" spans="1:3" ht="15.75" customHeight="1" x14ac:dyDescent="0.25">
      <c r="A7669" s="2" t="s">
        <v>7671</v>
      </c>
      <c r="B7669" s="3" t="s">
        <v>4</v>
      </c>
      <c r="C7669" s="2" t="str">
        <f ca="1">IFERROR(__xludf.DUMMYFUNCTION("GOOGLETRANSLATE(A7669,""bn"",""en"")"),"The color stays bright for a long time")</f>
        <v>The color stays bright for a long time</v>
      </c>
    </row>
    <row r="7670" spans="1:3" ht="15.75" customHeight="1" x14ac:dyDescent="0.25">
      <c r="A7670" s="2" t="s">
        <v>7672</v>
      </c>
      <c r="B7670" s="3" t="s">
        <v>4</v>
      </c>
      <c r="C7670" s="2" t="str">
        <f ca="1">IFERROR(__xludf.DUMMYFUNCTION("GOOGLETRANSLATE(A7670,""bn"",""en"")"),"The shelf is big enough for children's toys")</f>
        <v>The shelf is big enough for children's toys</v>
      </c>
    </row>
    <row r="7671" spans="1:3" ht="15.75" customHeight="1" x14ac:dyDescent="0.25">
      <c r="A7671" s="2" t="s">
        <v>7673</v>
      </c>
      <c r="B7671" s="3" t="s">
        <v>2</v>
      </c>
      <c r="C7671" s="2" t="str">
        <f ca="1">IFERROR(__xludf.DUMMYFUNCTION("GOOGLETRANSLATE(A7671,""bn"",""en"")"),"Works but nothing amazing")</f>
        <v>Works but nothing amazing</v>
      </c>
    </row>
    <row r="7672" spans="1:3" ht="15.75" customHeight="1" x14ac:dyDescent="0.25">
      <c r="A7672" s="2" t="s">
        <v>7674</v>
      </c>
      <c r="B7672" s="3" t="s">
        <v>6</v>
      </c>
      <c r="C7672" s="2" t="str">
        <f ca="1">IFERROR(__xludf.DUMMYFUNCTION("GOOGLETRANSLATE(A7672,""bn"",""en"")"),"Portable power banks do not hold charge and are useless when needed")</f>
        <v>Portable power banks do not hold charge and are useless when needed</v>
      </c>
    </row>
    <row r="7673" spans="1:3" ht="15.75" customHeight="1" x14ac:dyDescent="0.25">
      <c r="A7673" s="2" t="s">
        <v>7675</v>
      </c>
      <c r="B7673" s="3" t="s">
        <v>2</v>
      </c>
      <c r="C7673" s="2" t="str">
        <f ca="1">IFERROR(__xludf.DUMMYFUNCTION("GOOGLETRANSLATE(A7673,""bn"",""en"")"),"A little blur in the air")</f>
        <v>A little blur in the air</v>
      </c>
    </row>
    <row r="7674" spans="1:3" ht="15.75" customHeight="1" x14ac:dyDescent="0.25">
      <c r="A7674" s="2" t="s">
        <v>7676</v>
      </c>
      <c r="B7674" s="3" t="s">
        <v>6</v>
      </c>
      <c r="C7674" s="2" t="str">
        <f ca="1">IFERROR(__xludf.DUMMYFUNCTION("GOOGLETRANSLATE(A7674,""bn"",""en"")"),"Product container damaged and leaking")</f>
        <v>Product container damaged and leaking</v>
      </c>
    </row>
    <row r="7675" spans="1:3" ht="15.75" customHeight="1" x14ac:dyDescent="0.25">
      <c r="A7675" s="2" t="s">
        <v>7677</v>
      </c>
      <c r="B7675" s="3" t="s">
        <v>6</v>
      </c>
      <c r="C7675" s="2" t="str">
        <f ca="1">IFERROR(__xludf.DUMMYFUNCTION("GOOGLETRANSLATE(A7675,""bn"",""en"")"),"The packaging of the bath salts was flimsy and easily ripped spilling the product everywhere")</f>
        <v>The packaging of the bath salts was flimsy and easily ripped spilling the product everywhere</v>
      </c>
    </row>
    <row r="7676" spans="1:3" ht="15.75" customHeight="1" x14ac:dyDescent="0.25">
      <c r="A7676" s="2" t="s">
        <v>7678</v>
      </c>
      <c r="B7676" s="3" t="s">
        <v>6</v>
      </c>
      <c r="C7676" s="2" t="str">
        <f ca="1">IFERROR(__xludf.DUMMYFUNCTION("GOOGLETRANSLATE(A7676,""bn"",""en"")"),"  The cream was very thick and took forever to rub off")</f>
        <v xml:space="preserve">  The cream was very thick and took forever to rub off</v>
      </c>
    </row>
    <row r="7677" spans="1:3" ht="15.75" customHeight="1" x14ac:dyDescent="0.25">
      <c r="A7677" s="2" t="s">
        <v>7679</v>
      </c>
      <c r="B7677" s="3" t="s">
        <v>2</v>
      </c>
      <c r="C7677" s="2" t="str">
        <f ca="1">IFERROR(__xludf.DUMMYFUNCTION("GOOGLETRANSLATE(A7677,""bn"",""en"")"),"That's pretty much it")</f>
        <v>That's pretty much it</v>
      </c>
    </row>
    <row r="7678" spans="1:3" ht="15.75" customHeight="1" x14ac:dyDescent="0.25">
      <c r="A7678" s="2" t="s">
        <v>7680</v>
      </c>
      <c r="B7678" s="3" t="s">
        <v>4</v>
      </c>
      <c r="C7678" s="2" t="str">
        <f ca="1">IFERROR(__xludf.DUMMYFUNCTION("GOOGLETRANSLATE(A7678,""bn"",""en"")"),"I feel the tradition and craftsmanship behind every kiss")</f>
        <v>I feel the tradition and craftsmanship behind every kiss</v>
      </c>
    </row>
    <row r="7679" spans="1:3" ht="15.75" customHeight="1" x14ac:dyDescent="0.25">
      <c r="A7679" s="2" t="s">
        <v>7681</v>
      </c>
      <c r="B7679" s="3" t="s">
        <v>4</v>
      </c>
      <c r="C7679" s="2" t="str">
        <f ca="1">IFERROR(__xludf.DUMMYFUNCTION("GOOGLETRANSLATE(A7679,""bn"",""en"")"),"The plot twists were excellent")</f>
        <v>The plot twists were excellent</v>
      </c>
    </row>
    <row r="7680" spans="1:3" ht="15.75" customHeight="1" x14ac:dyDescent="0.25">
      <c r="A7680" s="2" t="s">
        <v>7682</v>
      </c>
      <c r="B7680" s="3" t="s">
        <v>6</v>
      </c>
      <c r="C7680" s="2" t="str">
        <f ca="1">IFERROR(__xludf.DUMMYFUNCTION("GOOGLETRANSLATE(A7680,""bn"",""en"")"),"The coffee had a bitter aftertaste that lingered unpleasantly")</f>
        <v>The coffee had a bitter aftertaste that lingered unpleasantly</v>
      </c>
    </row>
    <row r="7681" spans="1:3" ht="15.75" customHeight="1" x14ac:dyDescent="0.25">
      <c r="A7681" s="2" t="s">
        <v>7683</v>
      </c>
      <c r="B7681" s="3" t="s">
        <v>4</v>
      </c>
      <c r="C7681" s="2" t="str">
        <f ca="1">IFERROR(__xludf.DUMMYFUNCTION("GOOGLETRANSLATE(A7681,""bn"",""en"")"),"The product works well")</f>
        <v>The product works well</v>
      </c>
    </row>
    <row r="7682" spans="1:3" ht="15.75" customHeight="1" x14ac:dyDescent="0.25">
      <c r="A7682" s="2" t="s">
        <v>7684</v>
      </c>
      <c r="B7682" s="3" t="s">
        <v>6</v>
      </c>
      <c r="C7682" s="2" t="str">
        <f ca="1">IFERROR(__xludf.DUMMYFUNCTION("GOOGLETRANSLATE(A7682,""bn"",""en"")")," The tee was poorly lined making it visible in certain lights")</f>
        <v xml:space="preserve"> The tee was poorly lined making it visible in certain lights</v>
      </c>
    </row>
    <row r="7683" spans="1:3" ht="15.75" customHeight="1" x14ac:dyDescent="0.25">
      <c r="A7683" s="2" t="s">
        <v>7685</v>
      </c>
      <c r="B7683" s="3" t="s">
        <v>6</v>
      </c>
      <c r="C7683" s="2" t="str">
        <f ca="1">IFERROR(__xludf.DUMMYFUNCTION("GOOGLETRANSLATE(A7683,""bn"",""en"")"),"The stiffness of the fabric makes it uncomfortable to wear for long periods of time")</f>
        <v>The stiffness of the fabric makes it uncomfortable to wear for long periods of time</v>
      </c>
    </row>
    <row r="7684" spans="1:3" ht="15.75" customHeight="1" x14ac:dyDescent="0.25">
      <c r="A7684" s="2" t="s">
        <v>7686</v>
      </c>
      <c r="B7684" s="3" t="s">
        <v>2</v>
      </c>
      <c r="C7684" s="2" t="str">
        <f ca="1">IFERROR(__xludf.DUMMYFUNCTION("GOOGLETRANSLATE(A7684,""bn"",""en"")"),"The type of tea is black tea")</f>
        <v>The type of tea is black tea</v>
      </c>
    </row>
    <row r="7685" spans="1:3" ht="15.75" customHeight="1" x14ac:dyDescent="0.25">
      <c r="A7685" s="2" t="s">
        <v>7687</v>
      </c>
      <c r="B7685" s="3" t="s">
        <v>4</v>
      </c>
      <c r="C7685" s="2" t="str">
        <f ca="1">IFERROR(__xludf.DUMMYFUNCTION("GOOGLETRANSLATE(A7685,""bn"",""en"")"),"Great performance and build quality product is just right for a very good low price")</f>
        <v>Great performance and build quality product is just right for a very good low price</v>
      </c>
    </row>
    <row r="7686" spans="1:3" ht="15.75" customHeight="1" x14ac:dyDescent="0.25">
      <c r="A7686" s="2" t="s">
        <v>7688</v>
      </c>
      <c r="B7686" s="3" t="s">
        <v>4</v>
      </c>
      <c r="C7686" s="2" t="str">
        <f ca="1">IFERROR(__xludf.DUMMYFUNCTION("GOOGLETRANSLATE(A7686,""bn"",""en"")"),"It is legitimately described as great value")</f>
        <v>It is legitimately described as great value</v>
      </c>
    </row>
    <row r="7687" spans="1:3" ht="15.75" customHeight="1" x14ac:dyDescent="0.25">
      <c r="A7687" s="2" t="s">
        <v>7689</v>
      </c>
      <c r="B7687" s="3" t="s">
        <v>4</v>
      </c>
      <c r="C7687" s="2" t="str">
        <f ca="1">IFERROR(__xludf.DUMMYFUNCTION("GOOGLETRANSLATE(A7687,""bn"",""en"")"),"Honey increases body strength")</f>
        <v>Honey increases body strength</v>
      </c>
    </row>
    <row r="7688" spans="1:3" ht="15.75" customHeight="1" x14ac:dyDescent="0.25">
      <c r="A7688" s="2" t="s">
        <v>7690</v>
      </c>
      <c r="B7688" s="3" t="s">
        <v>2</v>
      </c>
      <c r="C7688" s="2" t="str">
        <f ca="1">IFERROR(__xludf.DUMMYFUNCTION("GOOGLETRANSLATE(A7688,""bn"",""en"")"),"Madisi Painting Canvas Panel Pack X is pretty decent but nothing to rave about")</f>
        <v>Madisi Painting Canvas Panel Pack X is pretty decent but nothing to rave about</v>
      </c>
    </row>
    <row r="7689" spans="1:3" ht="15.75" customHeight="1" x14ac:dyDescent="0.25">
      <c r="A7689" s="2" t="s">
        <v>7691</v>
      </c>
      <c r="B7689" s="3" t="s">
        <v>4</v>
      </c>
      <c r="C7689" s="2" t="str">
        <f ca="1">IFERROR(__xludf.DUMMYFUNCTION("GOOGLETRANSLATE(A7689,""bn"",""en"")"),"It doesn't go away when kids throw up")</f>
        <v>It doesn't go away when kids throw up</v>
      </c>
    </row>
    <row r="7690" spans="1:3" ht="15.75" customHeight="1" x14ac:dyDescent="0.25">
      <c r="A7690" s="2" t="s">
        <v>7692</v>
      </c>
      <c r="B7690" s="3" t="s">
        <v>4</v>
      </c>
      <c r="C7690" s="2" t="str">
        <f ca="1">IFERROR(__xludf.DUMMYFUNCTION("GOOGLETRANSLATE(A7690,""bn"",""en"")"),"The light gives just the right amount of light to the room")</f>
        <v>The light gives just the right amount of light to the room</v>
      </c>
    </row>
    <row r="7691" spans="1:3" ht="15.75" customHeight="1" x14ac:dyDescent="0.25">
      <c r="A7691" s="2" t="s">
        <v>7693</v>
      </c>
      <c r="B7691" s="3" t="s">
        <v>6</v>
      </c>
      <c r="C7691" s="2" t="str">
        <f ca="1">IFERROR(__xludf.DUMMYFUNCTION("GOOGLETRANSLATE(A7691,""bn"",""en"")"),"The prepackaged salad dressing was too oily and had a strange aftertaste")</f>
        <v>The prepackaged salad dressing was too oily and had a strange aftertaste</v>
      </c>
    </row>
    <row r="7692" spans="1:3" ht="15.75" customHeight="1" x14ac:dyDescent="0.25">
      <c r="A7692" s="2" t="s">
        <v>7694</v>
      </c>
      <c r="B7692" s="3" t="s">
        <v>4</v>
      </c>
      <c r="C7692" s="2" t="str">
        <f ca="1">IFERROR(__xludf.DUMMYFUNCTION("GOOGLETRANSLATE(A7692,""bn"",""en"")"),"Colors are very bright and pop well on rich paper")</f>
        <v>Colors are very bright and pop well on rich paper</v>
      </c>
    </row>
    <row r="7693" spans="1:3" ht="15.75" customHeight="1" x14ac:dyDescent="0.25">
      <c r="A7693" s="2" t="s">
        <v>7695</v>
      </c>
      <c r="B7693" s="3" t="s">
        <v>6</v>
      </c>
      <c r="C7693" s="2" t="str">
        <f ca="1">IFERROR(__xludf.DUMMYFUNCTION("GOOGLETRANSLATE(A7693,""bn"",""en"")"),"Uncomfortable fabric that feels restrictive and stiff")</f>
        <v>Uncomfortable fabric that feels restrictive and stiff</v>
      </c>
    </row>
    <row r="7694" spans="1:3" ht="15.75" customHeight="1" x14ac:dyDescent="0.25">
      <c r="A7694" s="2" t="s">
        <v>7696</v>
      </c>
      <c r="B7694" s="3" t="s">
        <v>2</v>
      </c>
      <c r="C7694" s="2" t="str">
        <f ca="1">IFERROR(__xludf.DUMMYFUNCTION("GOOGLETRANSLATE(A7694,""bn"",""en"")"),"Title privacy protection does not have a clear understanding of the reliability of a modifier")</f>
        <v>Title privacy protection does not have a clear understanding of the reliability of a modifier</v>
      </c>
    </row>
    <row r="7695" spans="1:3" ht="15.75" customHeight="1" x14ac:dyDescent="0.25">
      <c r="A7695" s="2" t="s">
        <v>7697</v>
      </c>
      <c r="B7695" s="3" t="s">
        <v>2</v>
      </c>
      <c r="C7695" s="2" t="str">
        <f ca="1">IFERROR(__xludf.DUMMYFUNCTION("GOOGLETRANSLATE(A7695,""bn"",""en"")"),"The quality of the fertilizer could have been better even if the yield increased slightly")</f>
        <v>The quality of the fertilizer could have been better even if the yield increased slightly</v>
      </c>
    </row>
    <row r="7696" spans="1:3" ht="15.75" customHeight="1" x14ac:dyDescent="0.25">
      <c r="A7696" s="2" t="s">
        <v>7698</v>
      </c>
      <c r="B7696" s="3" t="s">
        <v>4</v>
      </c>
      <c r="C7696" s="2" t="str">
        <f ca="1">IFERROR(__xludf.DUMMYFUNCTION("GOOGLETRANSLATE(A7696,""bn"",""en"")"),"Upon opening, a sweet aroma wafts through which doubles the appetite")</f>
        <v>Upon opening, a sweet aroma wafts through which doubles the appetite</v>
      </c>
    </row>
    <row r="7697" spans="1:3" ht="15.75" customHeight="1" x14ac:dyDescent="0.25">
      <c r="A7697" s="2" t="s">
        <v>7699</v>
      </c>
      <c r="B7697" s="3" t="s">
        <v>4</v>
      </c>
      <c r="C7697" s="2" t="str">
        <f ca="1">IFERROR(__xludf.DUMMYFUNCTION("GOOGLETRANSLATE(A7697,""bn"",""en"")"),"This blanket is very comfortable in winter")</f>
        <v>This blanket is very comfortable in winter</v>
      </c>
    </row>
    <row r="7698" spans="1:3" ht="15.75" customHeight="1" x14ac:dyDescent="0.25">
      <c r="A7698" s="2" t="s">
        <v>7700</v>
      </c>
      <c r="B7698" s="3" t="s">
        <v>6</v>
      </c>
      <c r="C7698" s="2" t="str">
        <f ca="1">IFERROR(__xludf.DUMMYFUNCTION("GOOGLETRANSLATE(A7698,""bn"",""en"")"),"The smell was stale and lacked the aromatic notes of freshly brewed tea")</f>
        <v>The smell was stale and lacked the aromatic notes of freshly brewed tea</v>
      </c>
    </row>
    <row r="7699" spans="1:3" ht="15.75" customHeight="1" x14ac:dyDescent="0.25">
      <c r="A7699" s="2" t="s">
        <v>7701</v>
      </c>
      <c r="B7699" s="3" t="s">
        <v>6</v>
      </c>
      <c r="C7699" s="2" t="str">
        <f ca="1">IFERROR(__xludf.DUMMYFUNCTION("GOOGLETRANSLATE(A7699,""bn"",""en"")"),"Limited lens options limit creative flexibility and versatility in different shooting situations")</f>
        <v>Limited lens options limit creative flexibility and versatility in different shooting situations</v>
      </c>
    </row>
    <row r="7700" spans="1:3" ht="15.75" customHeight="1" x14ac:dyDescent="0.25">
      <c r="A7700" s="2" t="s">
        <v>7702</v>
      </c>
      <c r="B7700" s="3" t="s">
        <v>2</v>
      </c>
      <c r="C7700" s="2" t="str">
        <f ca="1">IFERROR(__xludf.DUMMYFUNCTION("GOOGLETRANSLATE(A7700,""bn"",""en"")"),"Used cheap brushes before")</f>
        <v>Used cheap brushes before</v>
      </c>
    </row>
    <row r="7701" spans="1:3" ht="15.75" customHeight="1" x14ac:dyDescent="0.25">
      <c r="A7701" s="2" t="s">
        <v>7703</v>
      </c>
      <c r="B7701" s="3" t="s">
        <v>6</v>
      </c>
      <c r="C7701" s="2" t="str">
        <f ca="1">IFERROR(__xludf.DUMMYFUNCTION("GOOGLETRANSLATE(A7701,""bn"",""en"")"),"Setting powder creates white casts in photos that make skin appear over-bright and ghostly")</f>
        <v>Setting powder creates white casts in photos that make skin appear over-bright and ghostly</v>
      </c>
    </row>
    <row r="7702" spans="1:3" ht="15.75" customHeight="1" x14ac:dyDescent="0.25">
      <c r="A7702" s="2" t="s">
        <v>7704</v>
      </c>
      <c r="B7702" s="3" t="s">
        <v>2</v>
      </c>
      <c r="C7702" s="2" t="str">
        <f ca="1">IFERROR(__xludf.DUMMYFUNCTION("GOOGLETRANSLATE(A7702,""bn"",""en"")"),"It would have been better if there was a lighting system at night")</f>
        <v>It would have been better if there was a lighting system at night</v>
      </c>
    </row>
    <row r="7703" spans="1:3" ht="15.75" customHeight="1" x14ac:dyDescent="0.25">
      <c r="A7703" s="2" t="s">
        <v>7705</v>
      </c>
      <c r="B7703" s="3" t="s">
        <v>2</v>
      </c>
      <c r="C7703" s="2" t="str">
        <f ca="1">IFERROR(__xludf.DUMMYFUNCTION("GOOGLETRANSLATE(A7703,""bn"",""en"")"),"The house looks big but not excessive")</f>
        <v>The house looks big but not excessive</v>
      </c>
    </row>
    <row r="7704" spans="1:3" ht="15.75" customHeight="1" x14ac:dyDescent="0.25">
      <c r="A7704" s="2" t="s">
        <v>7706</v>
      </c>
      <c r="B7704" s="3" t="s">
        <v>4</v>
      </c>
      <c r="C7704" s="2" t="str">
        <f ca="1">IFERROR(__xludf.DUMMYFUNCTION("GOOGLETRANSLATE(A7704,""bn"",""en"")"),"Honey is helpful in preventing cold and flu")</f>
        <v>Honey is helpful in preventing cold and flu</v>
      </c>
    </row>
    <row r="7705" spans="1:3" ht="15.75" customHeight="1" x14ac:dyDescent="0.25">
      <c r="A7705" s="2" t="s">
        <v>7707</v>
      </c>
      <c r="B7705" s="3" t="s">
        <v>2</v>
      </c>
      <c r="C7705" s="2" t="str">
        <f ca="1">IFERROR(__xludf.DUMMYFUNCTION("GOOGLETRANSLATE(A7705,""bn"",""en"")"),"Bite during teething but hard")</f>
        <v>Bite during teething but hard</v>
      </c>
    </row>
    <row r="7706" spans="1:3" ht="15.75" customHeight="1" x14ac:dyDescent="0.25">
      <c r="A7706" s="2" t="s">
        <v>7708</v>
      </c>
      <c r="B7706" s="3" t="s">
        <v>6</v>
      </c>
      <c r="C7706" s="2" t="str">
        <f ca="1">IFERROR(__xludf.DUMMYFUNCTION("GOOGLETRANSLATE(A7706,""bn"",""en"")"),"The tea lid was too heavy and the pot was off balance")</f>
        <v>The tea lid was too heavy and the pot was off balance</v>
      </c>
    </row>
    <row r="7707" spans="1:3" ht="15.75" customHeight="1" x14ac:dyDescent="0.25">
      <c r="A7707" s="2" t="s">
        <v>7709</v>
      </c>
      <c r="B7707" s="3" t="s">
        <v>2</v>
      </c>
      <c r="C7707" s="2" t="str">
        <f ca="1">IFERROR(__xludf.DUMMYFUNCTION("GOOGLETRANSLATE(A7707,""bn"",""en"")"),"Easy to carry but no carry bag")</f>
        <v>Easy to carry but no carry bag</v>
      </c>
    </row>
    <row r="7708" spans="1:3" ht="15.75" customHeight="1" x14ac:dyDescent="0.25">
      <c r="A7708" s="2" t="s">
        <v>7710</v>
      </c>
      <c r="B7708" s="3" t="s">
        <v>2</v>
      </c>
      <c r="C7708" s="2" t="str">
        <f ca="1">IFERROR(__xludf.DUMMYFUNCTION("GOOGLETRANSLATE(A7708,""bn"",""en"")"),"They emit light some more than others")</f>
        <v>They emit light some more than others</v>
      </c>
    </row>
    <row r="7709" spans="1:3" ht="15.75" customHeight="1" x14ac:dyDescent="0.25">
      <c r="A7709" s="2" t="s">
        <v>7711</v>
      </c>
      <c r="B7709" s="3" t="s">
        <v>6</v>
      </c>
      <c r="C7709" s="2" t="str">
        <f ca="1">IFERROR(__xludf.DUMMYFUNCTION("GOOGLETRANSLATE(A7709,""bn"",""en"")"),"Lip scrubs are too abrasive and cause irritation instead of smoothing and softening the lips")</f>
        <v>Lip scrubs are too abrasive and cause irritation instead of smoothing and softening the lips</v>
      </c>
    </row>
    <row r="7710" spans="1:3" ht="15.75" customHeight="1" x14ac:dyDescent="0.25">
      <c r="A7710" s="2" t="s">
        <v>7712</v>
      </c>
      <c r="B7710" s="3" t="s">
        <v>4</v>
      </c>
      <c r="C7710" s="2" t="str">
        <f ca="1">IFERROR(__xludf.DUMMYFUNCTION("GOOGLETRANSLATE(A7710,""bn"",""en"")"),"Can't be explained in words the product is very good I understand after using it for a long time")</f>
        <v>Can't be explained in words the product is very good I understand after using it for a long time</v>
      </c>
    </row>
    <row r="7711" spans="1:3" ht="15.75" customHeight="1" x14ac:dyDescent="0.25">
      <c r="A7711" s="2" t="s">
        <v>7713</v>
      </c>
      <c r="B7711" s="3" t="s">
        <v>6</v>
      </c>
      <c r="C7711" s="2" t="str">
        <f ca="1">IFERROR(__xludf.DUMMYFUNCTION("GOOGLETRANSLATE(A7711,""bn"",""en"")"),"Product performance was below industry standards")</f>
        <v>Product performance was below industry standards</v>
      </c>
    </row>
    <row r="7712" spans="1:3" ht="15.75" customHeight="1" x14ac:dyDescent="0.25">
      <c r="A7712" s="2" t="s">
        <v>7714</v>
      </c>
      <c r="B7712" s="3" t="s">
        <v>4</v>
      </c>
      <c r="C7712" s="2" t="str">
        <f ca="1">IFERROR(__xludf.DUMMYFUNCTION("GOOGLETRANSLATE(A7712,""bn"",""en"")"),"  The charge goes to percent in an hour. The delivery man was very good. Thank you ")</f>
        <v xml:space="preserve">  The charge goes to percent in an hour. The delivery man was very good. Thank you </v>
      </c>
    </row>
    <row r="7713" spans="1:3" ht="15.75" customHeight="1" x14ac:dyDescent="0.25">
      <c r="A7713" s="2" t="s">
        <v>7715</v>
      </c>
      <c r="B7713" s="3" t="s">
        <v>2</v>
      </c>
      <c r="C7713" s="2" t="str">
        <f ca="1">IFERROR(__xludf.DUMMYFUNCTION("GOOGLETRANSLATE(A7713,""bn"",""en"")"),"Fit may vary slightly")</f>
        <v>Fit may vary slightly</v>
      </c>
    </row>
    <row r="7714" spans="1:3" ht="15.75" customHeight="1" x14ac:dyDescent="0.25">
      <c r="A7714" s="2" t="s">
        <v>7716</v>
      </c>
      <c r="B7714" s="3" t="s">
        <v>2</v>
      </c>
      <c r="C7714" s="2" t="str">
        <f ca="1">IFERROR(__xludf.DUMMYFUNCTION("GOOGLETRANSLATE(A7714,""bn"",""en"")"),"The filling is not exactly outstanding")</f>
        <v>The filling is not exactly outstanding</v>
      </c>
    </row>
    <row r="7715" spans="1:3" ht="15.75" customHeight="1" x14ac:dyDescent="0.25">
      <c r="A7715" s="2" t="s">
        <v>7717</v>
      </c>
      <c r="B7715" s="3" t="s">
        <v>4</v>
      </c>
      <c r="C7715" s="2" t="str">
        <f ca="1">IFERROR(__xludf.DUMMYFUNCTION("GOOGLETRANSLATE(A7715,""bn"",""en"")"),"Time passed very quickly while reading the book")</f>
        <v>Time passed very quickly while reading the book</v>
      </c>
    </row>
    <row r="7716" spans="1:3" ht="15.75" customHeight="1" x14ac:dyDescent="0.25">
      <c r="A7716" s="2" t="s">
        <v>7718</v>
      </c>
      <c r="B7716" s="3" t="s">
        <v>2</v>
      </c>
      <c r="C7716" s="2" t="str">
        <f ca="1">IFERROR(__xludf.DUMMYFUNCTION("GOOGLETRANSLATE(A7716,""bn"",""en"")"),"It may work as expected")</f>
        <v>It may work as expected</v>
      </c>
    </row>
    <row r="7717" spans="1:3" ht="15.75" customHeight="1" x14ac:dyDescent="0.25">
      <c r="A7717" s="2" t="s">
        <v>7719</v>
      </c>
      <c r="B7717" s="3" t="s">
        <v>2</v>
      </c>
      <c r="C7717" s="2" t="str">
        <f ca="1">IFERROR(__xludf.DUMMYFUNCTION("GOOGLETRANSLATE(A7717,""bn"",""en"")"),"Better than I expected but some pieces are missing")</f>
        <v>Better than I expected but some pieces are missing</v>
      </c>
    </row>
    <row r="7718" spans="1:3" ht="15.75" customHeight="1" x14ac:dyDescent="0.25">
      <c r="A7718" s="2" t="s">
        <v>7720</v>
      </c>
      <c r="B7718" s="3" t="s">
        <v>2</v>
      </c>
      <c r="C7718" s="2" t="str">
        <f ca="1">IFERROR(__xludf.DUMMYFUNCTION("GOOGLETRANSLATE(A7718,""bn"",""en"")"),"The packaging was flatpack")</f>
        <v>The packaging was flatpack</v>
      </c>
    </row>
    <row r="7719" spans="1:3" ht="15.75" customHeight="1" x14ac:dyDescent="0.25">
      <c r="A7719" s="2" t="s">
        <v>7721</v>
      </c>
      <c r="B7719" s="3" t="s">
        <v>4</v>
      </c>
      <c r="C7719" s="2" t="str">
        <f ca="1">IFERROR(__xludf.DUMMYFUNCTION("GOOGLETRANSLATE(A7719,""bn"",""en"")"),"This shampoo helps to increase the natural shine of the hair")</f>
        <v>This shampoo helps to increase the natural shine of the hair</v>
      </c>
    </row>
    <row r="7720" spans="1:3" ht="15.75" customHeight="1" x14ac:dyDescent="0.25">
      <c r="A7720" s="2" t="s">
        <v>7722</v>
      </c>
      <c r="B7720" s="3" t="s">
        <v>4</v>
      </c>
      <c r="C7720" s="2" t="str">
        <f ca="1">IFERROR(__xludf.DUMMYFUNCTION("GOOGLETRANSLATE(A7720,""bn"",""en"")"),"The packaging of the furniture is very safe and eco-friendly")</f>
        <v>The packaging of the furniture is very safe and eco-friendly</v>
      </c>
    </row>
    <row r="7721" spans="1:3" ht="15.75" customHeight="1" x14ac:dyDescent="0.25">
      <c r="A7721" s="2" t="s">
        <v>7723</v>
      </c>
      <c r="B7721" s="3" t="s">
        <v>2</v>
      </c>
      <c r="C7721" s="2" t="str">
        <f ca="1">IFERROR(__xludf.DUMMYFUNCTION("GOOGLETRANSLATE(A7721,""bn"",""en"")"),"The product is satisfactory compared to the price")</f>
        <v>The product is satisfactory compared to the price</v>
      </c>
    </row>
    <row r="7722" spans="1:3" ht="15.75" customHeight="1" x14ac:dyDescent="0.25">
      <c r="A7722" s="2" t="s">
        <v>7724</v>
      </c>
      <c r="B7722" s="3" t="s">
        <v>4</v>
      </c>
      <c r="C7722" s="2" t="str">
        <f ca="1">IFERROR(__xludf.DUMMYFUNCTION("GOOGLETRANSLATE(A7722,""bn"",""en"")"),"Each product in the kit has a moisturizing effect on the skin")</f>
        <v>Each product in the kit has a moisturizing effect on the skin</v>
      </c>
    </row>
    <row r="7723" spans="1:3" ht="15.75" customHeight="1" x14ac:dyDescent="0.25">
      <c r="A7723" s="2" t="s">
        <v>7725</v>
      </c>
      <c r="B7723" s="3" t="s">
        <v>6</v>
      </c>
      <c r="C7723" s="2" t="str">
        <f ca="1">IFERROR(__xludf.DUMMYFUNCTION("GOOGLETRANSLATE(A7723,""bn"",""en"")"),"The fabric feels uncomfortable and restricts movement")</f>
        <v>The fabric feels uncomfortable and restricts movement</v>
      </c>
    </row>
    <row r="7724" spans="1:3" ht="15.75" customHeight="1" x14ac:dyDescent="0.25">
      <c r="A7724" s="2" t="s">
        <v>7726</v>
      </c>
      <c r="B7724" s="3" t="s">
        <v>4</v>
      </c>
      <c r="C7724" s="2" t="str">
        <f ca="1">IFERROR(__xludf.DUMMYFUNCTION("GOOGLETRANSLATE(A7724,""bn"",""en"")"),"Perfect tag for ebike")</f>
        <v>Perfect tag for ebike</v>
      </c>
    </row>
    <row r="7725" spans="1:3" ht="15.75" customHeight="1" x14ac:dyDescent="0.25">
      <c r="A7725" s="2" t="s">
        <v>7727</v>
      </c>
      <c r="B7725" s="3" t="s">
        <v>6</v>
      </c>
      <c r="C7725" s="2" t="str">
        <f ca="1">IFERROR(__xludf.DUMMYFUNCTION("GOOGLETRANSLATE(A7725,""bn"",""en"")"),"The foundation oxidizes quickly, becoming several shades darker after application")</f>
        <v>The foundation oxidizes quickly, becoming several shades darker after application</v>
      </c>
    </row>
    <row r="7726" spans="1:3" ht="15.75" customHeight="1" x14ac:dyDescent="0.25">
      <c r="A7726" s="2" t="s">
        <v>7728</v>
      </c>
      <c r="B7726" s="3" t="s">
        <v>6</v>
      </c>
      <c r="C7726" s="2" t="str">
        <f ca="1">IFERROR(__xludf.DUMMYFUNCTION("GOOGLETRANSLATE(A7726,""bn"",""en"")"),"Super crafty regrettable purchase")</f>
        <v>Super crafty regrettable purchase</v>
      </c>
    </row>
    <row r="7727" spans="1:3" ht="15.75" customHeight="1" x14ac:dyDescent="0.25">
      <c r="A7727" s="2" t="s">
        <v>7729</v>
      </c>
      <c r="B7727" s="3" t="s">
        <v>2</v>
      </c>
      <c r="C7727" s="2" t="str">
        <f ca="1">IFERROR(__xludf.DUMMYFUNCTION("GOOGLETRANSLATE(A7727,""bn"",""en"")"),"Excellent product Decent product not outstanding")</f>
        <v>Excellent product Decent product not outstanding</v>
      </c>
    </row>
    <row r="7728" spans="1:3" ht="15.75" customHeight="1" x14ac:dyDescent="0.25">
      <c r="A7728" s="2" t="s">
        <v>7730</v>
      </c>
      <c r="B7728" s="3" t="s">
        <v>4</v>
      </c>
      <c r="C7728" s="2" t="str">
        <f ca="1">IFERROR(__xludf.DUMMYFUNCTION("GOOGLETRANSLATE(A7728,""bn"",""en"")"),"This body wash accelerates skin renewal")</f>
        <v>This body wash accelerates skin renewal</v>
      </c>
    </row>
    <row r="7729" spans="1:3" ht="15.75" customHeight="1" x14ac:dyDescent="0.25">
      <c r="A7729" s="2" t="s">
        <v>7731</v>
      </c>
      <c r="B7729" s="3" t="s">
        <v>4</v>
      </c>
      <c r="C7729" s="2" t="str">
        <f ca="1">IFERROR(__xludf.DUMMYFUNCTION("GOOGLETRANSLATE(A7729,""bn"",""en"")"),"The construction technique of each piece is extremely strong and durable")</f>
        <v>The construction technique of each piece is extremely strong and durable</v>
      </c>
    </row>
    <row r="7730" spans="1:3" ht="15.75" customHeight="1" x14ac:dyDescent="0.25">
      <c r="A7730" s="2" t="s">
        <v>7732</v>
      </c>
      <c r="B7730" s="3" t="s">
        <v>6</v>
      </c>
      <c r="C7730" s="2" t="str">
        <f ca="1">IFERROR(__xludf.DUMMYFUNCTION("GOOGLETRANSLATE(A7730,""bn"",""en"")"),"The bulky design takes up too much space in the kitchen")</f>
        <v>The bulky design takes up too much space in the kitchen</v>
      </c>
    </row>
    <row r="7731" spans="1:3" ht="15.75" customHeight="1" x14ac:dyDescent="0.25">
      <c r="A7731" s="2" t="s">
        <v>7733</v>
      </c>
      <c r="B7731" s="3" t="s">
        <v>6</v>
      </c>
      <c r="C7731" s="2" t="str">
        <f ca="1">IFERROR(__xludf.DUMMYFUNCTION("GOOGLETRANSLATE(A7731,""bn"",""en"")"),"Solar Powered Outdoor Speaker Not Fully Charged Low Battery")</f>
        <v>Solar Powered Outdoor Speaker Not Fully Charged Low Battery</v>
      </c>
    </row>
    <row r="7732" spans="1:3" ht="15.75" customHeight="1" x14ac:dyDescent="0.25">
      <c r="A7732" s="2" t="s">
        <v>7734</v>
      </c>
      <c r="B7732" s="3" t="s">
        <v>2</v>
      </c>
      <c r="C7732" s="2" t="str">
        <f ca="1">IFERROR(__xludf.DUMMYFUNCTION("GOOGLETRANSLATE(A7732,""bn"",""en"")"),"Enhances children's creativity though in a limited way")</f>
        <v>Enhances children's creativity though in a limited way</v>
      </c>
    </row>
    <row r="7733" spans="1:3" ht="15.75" customHeight="1" x14ac:dyDescent="0.25">
      <c r="A7733" s="2" t="s">
        <v>7735</v>
      </c>
      <c r="B7733" s="3" t="s">
        <v>6</v>
      </c>
      <c r="C7733" s="2" t="str">
        <f ca="1">IFERROR(__xludf.DUMMYFUNCTION("GOOGLETRANSLATE(A7733,""bn"",""en"")"),"The aroma was weak and flat with no complexity or richness")</f>
        <v>The aroma was weak and flat with no complexity or richness</v>
      </c>
    </row>
    <row r="7734" spans="1:3" ht="15.75" customHeight="1" x14ac:dyDescent="0.25">
      <c r="A7734" s="2" t="s">
        <v>7736</v>
      </c>
      <c r="B7734" s="3" t="s">
        <v>4</v>
      </c>
      <c r="C7734" s="2" t="str">
        <f ca="1">IFERROR(__xludf.DUMMYFUNCTION("GOOGLETRANSLATE(A7734,""bn"",""en"")"),"Coffee table height is perfect for sitting and drinking coffee")</f>
        <v>Coffee table height is perfect for sitting and drinking coffee</v>
      </c>
    </row>
    <row r="7735" spans="1:3" ht="15.75" customHeight="1" x14ac:dyDescent="0.25">
      <c r="A7735" s="2" t="s">
        <v>7737</v>
      </c>
      <c r="B7735" s="3" t="s">
        <v>2</v>
      </c>
      <c r="C7735" s="2" t="str">
        <f ca="1">IFERROR(__xludf.DUMMYFUNCTION("GOOGLETRANSLATE(A7735,""bn"",""en"")"),"Keeps kids busy but not very sustainable")</f>
        <v>Keeps kids busy but not very sustainable</v>
      </c>
    </row>
    <row r="7736" spans="1:3" ht="15.75" customHeight="1" x14ac:dyDescent="0.25">
      <c r="A7736" s="2" t="s">
        <v>7738</v>
      </c>
      <c r="B7736" s="3" t="s">
        <v>2</v>
      </c>
      <c r="C7736" s="2" t="str">
        <f ca="1">IFERROR(__xludf.DUMMYFUNCTION("GOOGLETRANSLATE(A7736,""bn"",""en"")"),"Good for fashion but didn't like the color")</f>
        <v>Good for fashion but didn't like the color</v>
      </c>
    </row>
    <row r="7737" spans="1:3" ht="15.75" customHeight="1" x14ac:dyDescent="0.25">
      <c r="A7737" s="2" t="s">
        <v>7739</v>
      </c>
      <c r="B7737" s="3" t="s">
        <v>6</v>
      </c>
      <c r="C7737" s="2" t="str">
        <f ca="1">IFERROR(__xludf.DUMMYFUNCTION("GOOGLETRANSLATE(A7737,""bn"",""en"")"),"The sensor of the automatic soap dispenser is very sensitive and dispenses soap randomly")</f>
        <v>The sensor of the automatic soap dispenser is very sensitive and dispenses soap randomly</v>
      </c>
    </row>
    <row r="7738" spans="1:3" ht="15.75" customHeight="1" x14ac:dyDescent="0.25">
      <c r="A7738" s="2" t="s">
        <v>7740</v>
      </c>
      <c r="B7738" s="3" t="s">
        <v>6</v>
      </c>
      <c r="C7738" s="2" t="str">
        <f ca="1">IFERROR(__xludf.DUMMYFUNCTION("GOOGLETRANSLATE(A7738,""bn"",""en"")"),"The bath salts left an unpleasant residue on my skin feeling uncomfortable")</f>
        <v>The bath salts left an unpleasant residue on my skin feeling uncomfortable</v>
      </c>
    </row>
    <row r="7739" spans="1:3" ht="15.75" customHeight="1" x14ac:dyDescent="0.25">
      <c r="A7739" s="2" t="s">
        <v>7741</v>
      </c>
      <c r="B7739" s="3" t="s">
        <v>4</v>
      </c>
      <c r="C7739" s="2" t="str">
        <f ca="1">IFERROR(__xludf.DUMMYFUNCTION("GOOGLETRANSLATE(A7739,""bn"",""en"")"),"Dell has it much better ")</f>
        <v xml:space="preserve">Dell has it much better </v>
      </c>
    </row>
    <row r="7740" spans="1:3" ht="15.75" customHeight="1" x14ac:dyDescent="0.25">
      <c r="A7740" s="2" t="s">
        <v>7742</v>
      </c>
      <c r="B7740" s="3" t="s">
        <v>2</v>
      </c>
      <c r="C7740" s="2" t="str">
        <f ca="1">IFERROR(__xludf.DUMMYFUNCTION("GOOGLETRANSLATE(A7740,""bn"",""en"")"),"Useful but not very robust")</f>
        <v>Useful but not very robust</v>
      </c>
    </row>
    <row r="7741" spans="1:3" ht="15.75" customHeight="1" x14ac:dyDescent="0.25">
      <c r="A7741" s="2" t="s">
        <v>7743</v>
      </c>
      <c r="B7741" s="3" t="s">
        <v>4</v>
      </c>
      <c r="C7741" s="2" t="str">
        <f ca="1">IFERROR(__xludf.DUMMYFUNCTION("GOOGLETRANSLATE(A7741,""bn"",""en"")"),"Reusable egg containers are good")</f>
        <v>Reusable egg containers are good</v>
      </c>
    </row>
    <row r="7742" spans="1:3" ht="15.75" customHeight="1" x14ac:dyDescent="0.25">
      <c r="A7742" s="2" t="s">
        <v>7744</v>
      </c>
      <c r="B7742" s="3" t="s">
        <v>2</v>
      </c>
      <c r="C7742" s="2" t="str">
        <f ca="1">IFERROR(__xludf.DUMMYFUNCTION("GOOGLETRANSLATE(A7742,""bn"",""en"")"),"Fits the decor but not exceptionally well")</f>
        <v>Fits the decor but not exceptionally well</v>
      </c>
    </row>
    <row r="7743" spans="1:3" ht="15.75" customHeight="1" x14ac:dyDescent="0.25">
      <c r="A7743" s="2" t="s">
        <v>7745</v>
      </c>
      <c r="B7743" s="3" t="s">
        <v>6</v>
      </c>
      <c r="C7743" s="2" t="str">
        <f ca="1">IFERROR(__xludf.DUMMYFUNCTION("GOOGLETRANSLATE(A7743,""bn"",""en"")"),"The polish is very abrasive and it irritates my skin")</f>
        <v>The polish is very abrasive and it irritates my skin</v>
      </c>
    </row>
    <row r="7744" spans="1:3" ht="15.75" customHeight="1" x14ac:dyDescent="0.25">
      <c r="A7744" s="2" t="s">
        <v>7746</v>
      </c>
      <c r="B7744" s="3" t="s">
        <v>2</v>
      </c>
      <c r="C7744" s="2" t="str">
        <f ca="1">IFERROR(__xludf.DUMMYFUNCTION("GOOGLETRANSLATE(A7744,""bn"",""en"")")," However, some improvements are needed in terms of practicality")</f>
        <v xml:space="preserve"> However, some improvements are needed in terms of practicality</v>
      </c>
    </row>
    <row r="7745" spans="1:3" ht="15.75" customHeight="1" x14ac:dyDescent="0.25">
      <c r="A7745" s="2" t="s">
        <v>7747</v>
      </c>
      <c r="B7745" s="3" t="s">
        <v>2</v>
      </c>
      <c r="C7745" s="2" t="str">
        <f ca="1">IFERROR(__xludf.DUMMYFUNCTION("GOOGLETRANSLATE(A7745,""bn"",""en"")"),"Blender works but a bit noisy")</f>
        <v>Blender works but a bit noisy</v>
      </c>
    </row>
    <row r="7746" spans="1:3" ht="15.75" customHeight="1" x14ac:dyDescent="0.25">
      <c r="A7746" s="2" t="s">
        <v>7748</v>
      </c>
      <c r="B7746" s="3" t="s">
        <v>6</v>
      </c>
      <c r="C7746" s="2" t="str">
        <f ca="1">IFERROR(__xludf.DUMMYFUNCTION("GOOGLETRANSLATE(A7746,""bn"",""en"")"),"The paint had a watery consistency and lacked coverage")</f>
        <v>The paint had a watery consistency and lacked coverage</v>
      </c>
    </row>
    <row r="7747" spans="1:3" ht="15.75" customHeight="1" x14ac:dyDescent="0.25">
      <c r="A7747" s="2" t="s">
        <v>7749</v>
      </c>
      <c r="B7747" s="3" t="s">
        <v>6</v>
      </c>
      <c r="C7747" s="2" t="str">
        <f ca="1">IFERROR(__xludf.DUMMYFUNCTION("GOOGLETRANSLATE(A7747,""bn"",""en"")"),"The fridge does not have enough insulation which causes it to sweat excessively in humid conditions")</f>
        <v>The fridge does not have enough insulation which causes it to sweat excessively in humid conditions</v>
      </c>
    </row>
    <row r="7748" spans="1:3" ht="15.75" customHeight="1" x14ac:dyDescent="0.25">
      <c r="A7748" s="2" t="s">
        <v>7750</v>
      </c>
      <c r="B7748" s="3" t="s">
        <v>6</v>
      </c>
      <c r="C7748" s="2" t="str">
        <f ca="1">IFERROR(__xludf.DUMMYFUNCTION("GOOGLETRANSLATE(A7748,""bn"",""en"")"),"The surface becomes sticky and attracts dirt and grime")</f>
        <v>The surface becomes sticky and attracts dirt and grime</v>
      </c>
    </row>
    <row r="7749" spans="1:3" ht="15.75" customHeight="1" x14ac:dyDescent="0.25">
      <c r="A7749" s="2" t="s">
        <v>7751</v>
      </c>
      <c r="B7749" s="3" t="s">
        <v>4</v>
      </c>
      <c r="C7749" s="2" t="str">
        <f ca="1">IFERROR(__xludf.DUMMYFUNCTION("GOOGLETRANSLATE(A7749,""bn"",""en"")"),"Additional cushion covers are provided with the chairs")</f>
        <v>Additional cushion covers are provided with the chairs</v>
      </c>
    </row>
    <row r="7750" spans="1:3" ht="15.75" customHeight="1" x14ac:dyDescent="0.25">
      <c r="A7750" s="2" t="s">
        <v>7752</v>
      </c>
      <c r="B7750" s="3" t="s">
        <v>4</v>
      </c>
      <c r="C7750" s="2" t="str">
        <f ca="1">IFERROR(__xludf.DUMMYFUNCTION("GOOGLETRANSLATE(A7750,""bn"",""en"")"),"The child loves to ride his new bike")</f>
        <v>The child loves to ride his new bike</v>
      </c>
    </row>
    <row r="7751" spans="1:3" ht="15.75" customHeight="1" x14ac:dyDescent="0.25">
      <c r="A7751" s="2" t="s">
        <v>7753</v>
      </c>
      <c r="B7751" s="3" t="s">
        <v>2</v>
      </c>
      <c r="C7751" s="2" t="str">
        <f ca="1">IFERROR(__xludf.DUMMYFUNCTION("GOOGLETRANSLATE(A7751,""bn"",""en"")"),"The weight seems a bit high")</f>
        <v>The weight seems a bit high</v>
      </c>
    </row>
    <row r="7752" spans="1:3" ht="15.75" customHeight="1" x14ac:dyDescent="0.25">
      <c r="A7752" s="2" t="s">
        <v>7754</v>
      </c>
      <c r="B7752" s="3" t="s">
        <v>6</v>
      </c>
      <c r="C7752" s="2" t="str">
        <f ca="1">IFERROR(__xludf.DUMMYFUNCTION("GOOGLETRANSLATE(A7752,""bn"",""en"")"),"Racks are not great for drying feet")</f>
        <v>Racks are not great for drying feet</v>
      </c>
    </row>
    <row r="7753" spans="1:3" ht="15.75" customHeight="1" x14ac:dyDescent="0.25">
      <c r="A7753" s="2" t="s">
        <v>7755</v>
      </c>
      <c r="B7753" s="3" t="s">
        <v>6</v>
      </c>
      <c r="C7753" s="2" t="str">
        <f ca="1">IFERROR(__xludf.DUMMYFUNCTION("GOOGLETRANSLATE(A7753,""bn"",""en"")"),"The headphone's ear cushions peel off after a while, exposing uncomfortable plastic")</f>
        <v>The headphone's ear cushions peel off after a while, exposing uncomfortable plastic</v>
      </c>
    </row>
    <row r="7754" spans="1:3" ht="15.75" customHeight="1" x14ac:dyDescent="0.25">
      <c r="A7754" s="2" t="s">
        <v>7756</v>
      </c>
      <c r="B7754" s="3" t="s">
        <v>2</v>
      </c>
      <c r="C7754" s="2" t="str">
        <f ca="1">IFERROR(__xludf.DUMMYFUNCTION("GOOGLETRANSLATE(A7754,""bn"",""en"")"),"May increase house value but not guaranteed")</f>
        <v>May increase house value but not guaranteed</v>
      </c>
    </row>
    <row r="7755" spans="1:3" ht="15.75" customHeight="1" x14ac:dyDescent="0.25">
      <c r="A7755" s="2" t="s">
        <v>7757</v>
      </c>
      <c r="B7755" s="3" t="s">
        <v>2</v>
      </c>
      <c r="C7755" s="2" t="str">
        <f ca="1">IFERROR(__xludf.DUMMYFUNCTION("GOOGLETRANSLATE(A7755,""bn"",""en"")"),"No excessive noise during use")</f>
        <v>No excessive noise during use</v>
      </c>
    </row>
    <row r="7756" spans="1:3" ht="15.75" customHeight="1" x14ac:dyDescent="0.25">
      <c r="A7756" s="2" t="s">
        <v>7758</v>
      </c>
      <c r="B7756" s="3" t="s">
        <v>2</v>
      </c>
      <c r="C7756" s="2" t="str">
        <f ca="1">IFERROR(__xludf.DUMMYFUNCTION("GOOGLETRANSLATE(A7756,""bn"",""en"")"),"A little pretty but not all that usable")</f>
        <v>A little pretty but not all that usable</v>
      </c>
    </row>
    <row r="7757" spans="1:3" ht="15.75" customHeight="1" x14ac:dyDescent="0.25">
      <c r="A7757" s="2" t="s">
        <v>7759</v>
      </c>
      <c r="B7757" s="3" t="s">
        <v>4</v>
      </c>
      <c r="C7757" s="2" t="str">
        <f ca="1">IFERROR(__xludf.DUMMYFUNCTION("GOOGLETRANSLATE(A7757,""bn"",""en"")"),"I like it very much")</f>
        <v>I like it very much</v>
      </c>
    </row>
    <row r="7758" spans="1:3" ht="15.75" customHeight="1" x14ac:dyDescent="0.25">
      <c r="A7758" s="2" t="s">
        <v>7760</v>
      </c>
      <c r="B7758" s="3" t="s">
        <v>6</v>
      </c>
      <c r="C7758" s="2" t="str">
        <f ca="1">IFERROR(__xludf.DUMMYFUNCTION("GOOGLETRANSLATE(A7758,""bn"",""en"")"),"The menu interface was slow to respond resulting in frustrating delays")</f>
        <v>The menu interface was slow to respond resulting in frustrating delays</v>
      </c>
    </row>
    <row r="7759" spans="1:3" ht="15.75" customHeight="1" x14ac:dyDescent="0.25">
      <c r="A7759" s="2" t="s">
        <v>7761</v>
      </c>
      <c r="B7759" s="3" t="s">
        <v>4</v>
      </c>
      <c r="C7759" s="2" t="str">
        <f ca="1">IFERROR(__xludf.DUMMYFUNCTION("GOOGLETRANSLATE(A7759,""bn"",""en"")"),"The quality of the product is excellent I am very satisfied the performance of the laptop is very premium which is suitable for all my work")</f>
        <v>The quality of the product is excellent I am very satisfied the performance of the laptop is very premium which is suitable for all my work</v>
      </c>
    </row>
    <row r="7760" spans="1:3" ht="15.75" customHeight="1" x14ac:dyDescent="0.25">
      <c r="A7760" s="2" t="s">
        <v>7762</v>
      </c>
      <c r="B7760" s="3" t="s">
        <v>4</v>
      </c>
      <c r="C7760" s="2" t="str">
        <f ca="1">IFERROR(__xludf.DUMMYFUNCTION("GOOGLETRANSLATE(A7760,""bn"",""en"")"),"Gives a long lasting fresh feeling on the face")</f>
        <v>Gives a long lasting fresh feeling on the face</v>
      </c>
    </row>
    <row r="7761" spans="1:3" ht="15.75" customHeight="1" x14ac:dyDescent="0.25">
      <c r="A7761" s="2" t="s">
        <v>7763</v>
      </c>
      <c r="B7761" s="3" t="s">
        <v>4</v>
      </c>
      <c r="C7761" s="2" t="str">
        <f ca="1">IFERROR(__xludf.DUMMYFUNCTION("GOOGLETRANSLATE(A7761,""bn"",""en"")"),"Due to the strong structure, the umbrella does not overturn even in strong winds")</f>
        <v>Due to the strong structure, the umbrella does not overturn even in strong winds</v>
      </c>
    </row>
    <row r="7762" spans="1:3" ht="15.75" customHeight="1" x14ac:dyDescent="0.25">
      <c r="A7762" s="2" t="s">
        <v>7764</v>
      </c>
      <c r="B7762" s="3" t="s">
        <v>2</v>
      </c>
      <c r="C7762" s="2" t="str">
        <f ca="1">IFERROR(__xludf.DUMMYFUNCTION("GOOGLETRANSLATE(A7762,""bn"",""en"")"),"Clothing is comfortable but finishing needs improvement")</f>
        <v>Clothing is comfortable but finishing needs improvement</v>
      </c>
    </row>
    <row r="7763" spans="1:3" ht="15.75" customHeight="1" x14ac:dyDescent="0.25">
      <c r="A7763" s="2" t="s">
        <v>7765</v>
      </c>
      <c r="B7763" s="3" t="s">
        <v>2</v>
      </c>
      <c r="C7763" s="2" t="str">
        <f ca="1">IFERROR(__xludf.DUMMYFUNCTION("GOOGLETRANSLATE(A7763,""bn"",""en"")"),"Quality will be fair")</f>
        <v>Quality will be fair</v>
      </c>
    </row>
    <row r="7764" spans="1:3" ht="15.75" customHeight="1" x14ac:dyDescent="0.25">
      <c r="A7764" s="2" t="s">
        <v>7766</v>
      </c>
      <c r="B7764" s="3" t="s">
        <v>2</v>
      </c>
      <c r="C7764" s="2" t="str">
        <f ca="1">IFERROR(__xludf.DUMMYFUNCTION("GOOGLETRANSLATE(A7764,""bn"",""en"")"),"A number of users have reported issues with sound quality")</f>
        <v>A number of users have reported issues with sound quality</v>
      </c>
    </row>
    <row r="7765" spans="1:3" ht="15.75" customHeight="1" x14ac:dyDescent="0.25">
      <c r="A7765" s="2" t="s">
        <v>7767</v>
      </c>
      <c r="B7765" s="3" t="s">
        <v>6</v>
      </c>
      <c r="C7765" s="2" t="str">
        <f ca="1">IFERROR(__xludf.DUMMYFUNCTION("GOOGLETRANSLATE(A7765,""bn"",""en"")"),"  The adjustable straps don't stay in place and are constantly loosening")</f>
        <v xml:space="preserve">  The adjustable straps don't stay in place and are constantly loosening</v>
      </c>
    </row>
    <row r="7766" spans="1:3" ht="15.75" customHeight="1" x14ac:dyDescent="0.25">
      <c r="A7766" s="2" t="s">
        <v>7768</v>
      </c>
      <c r="B7766" s="3" t="s">
        <v>6</v>
      </c>
      <c r="C7766" s="2" t="str">
        <f ca="1">IFERROR(__xludf.DUMMYFUNCTION("GOOGLETRANSLATE(A7766,""bn"",""en"")"),"Concerns over open package product tampering")</f>
        <v>Concerns over open package product tampering</v>
      </c>
    </row>
    <row r="7767" spans="1:3" ht="15.75" customHeight="1" x14ac:dyDescent="0.25">
      <c r="A7767" s="2" t="s">
        <v>7769</v>
      </c>
      <c r="B7767" s="3" t="s">
        <v>4</v>
      </c>
      <c r="C7767" s="2" t="str">
        <f ca="1">IFERROR(__xludf.DUMMYFUNCTION("GOOGLETRANSLATE(A7767,""bn"",""en"")"),"The plastic flower can be easily transferred to another container")</f>
        <v>The plastic flower can be easily transferred to another container</v>
      </c>
    </row>
    <row r="7768" spans="1:3" ht="15.75" customHeight="1" x14ac:dyDescent="0.25">
      <c r="A7768" s="2" t="s">
        <v>7770</v>
      </c>
      <c r="B7768" s="3" t="s">
        <v>2</v>
      </c>
      <c r="C7768" s="2" t="str">
        <f ca="1">IFERROR(__xludf.DUMMYFUNCTION("GOOGLETRANSLATE(A7768,""bn"",""en"")"),"Usable but not attractive")</f>
        <v>Usable but not attractive</v>
      </c>
    </row>
    <row r="7769" spans="1:3" ht="15.75" customHeight="1" x14ac:dyDescent="0.25">
      <c r="A7769" s="2" t="s">
        <v>7771</v>
      </c>
      <c r="B7769" s="3" t="s">
        <v>2</v>
      </c>
      <c r="C7769" s="2" t="str">
        <f ca="1">IFERROR(__xludf.DUMMYFUNCTION("GOOGLETRANSLATE(A7769,""bn"",""en"")"),"Light weight but feels a bit fragile")</f>
        <v>Light weight but feels a bit fragile</v>
      </c>
    </row>
    <row r="7770" spans="1:3" ht="15.75" customHeight="1" x14ac:dyDescent="0.25">
      <c r="A7770" s="2" t="s">
        <v>7772</v>
      </c>
      <c r="B7770" s="3" t="s">
        <v>2</v>
      </c>
      <c r="C7770" s="2" t="str">
        <f ca="1">IFERROR(__xludf.DUMMYFUNCTION("GOOGLETRANSLATE(A7770,""bn"",""en"")"),"Do not wet your hands while working with the mop")</f>
        <v>Do not wet your hands while working with the mop</v>
      </c>
    </row>
    <row r="7771" spans="1:3" ht="15.75" customHeight="1" x14ac:dyDescent="0.25">
      <c r="A7771" s="2" t="s">
        <v>7773</v>
      </c>
      <c r="B7771" s="3" t="s">
        <v>2</v>
      </c>
      <c r="C7771" s="2" t="str">
        <f ca="1">IFERROR(__xludf.DUMMYFUNCTION("GOOGLETRANSLATE(A7771,""bn"",""en"")"),"As always JBL quality but there are some issues")</f>
        <v>As always JBL quality but there are some issues</v>
      </c>
    </row>
    <row r="7772" spans="1:3" ht="15.75" customHeight="1" x14ac:dyDescent="0.25">
      <c r="A7772" s="2" t="s">
        <v>7774</v>
      </c>
      <c r="B7772" s="3" t="s">
        <v>6</v>
      </c>
      <c r="C7772" s="2" t="str">
        <f ca="1">IFERROR(__xludf.DUMMYFUNCTION("GOOGLETRANSLATE(A7772,""bn"",""en"")"),"The aroma was off with a hint of mold or chipotle")</f>
        <v>The aroma was off with a hint of mold or chipotle</v>
      </c>
    </row>
    <row r="7773" spans="1:3" ht="15.75" customHeight="1" x14ac:dyDescent="0.25">
      <c r="A7773" s="2" t="s">
        <v>7775</v>
      </c>
      <c r="B7773" s="3" t="s">
        <v>6</v>
      </c>
      <c r="C7773" s="2" t="str">
        <f ca="1">IFERROR(__xludf.DUMMYFUNCTION("GOOGLETRANSLATE(A7773,""bn"",""en"")"),"Power consumption is high")</f>
        <v>Power consumption is high</v>
      </c>
    </row>
    <row r="7774" spans="1:3" ht="15.75" customHeight="1" x14ac:dyDescent="0.25">
      <c r="A7774" s="2" t="s">
        <v>7776</v>
      </c>
      <c r="B7774" s="3" t="s">
        <v>2</v>
      </c>
      <c r="C7774" s="2" t="str">
        <f ca="1">IFERROR(__xludf.DUMMYFUNCTION("GOOGLETRANSLATE(A7774,""bn"",""en"")"),"Suitable for hanging but heavy items can be difficult to secure")</f>
        <v>Suitable for hanging but heavy items can be difficult to secure</v>
      </c>
    </row>
    <row r="7775" spans="1:3" ht="15.75" customHeight="1" x14ac:dyDescent="0.25">
      <c r="A7775" s="2" t="s">
        <v>7777</v>
      </c>
      <c r="B7775" s="3" t="s">
        <v>6</v>
      </c>
      <c r="C7775" s="2" t="str">
        <f ca="1">IFERROR(__xludf.DUMMYFUNCTION("GOOGLETRANSLATE(A7775,""bn"",""en"")"),"Padding is insufficient to offer little protection to items inside")</f>
        <v>Padding is insufficient to offer little protection to items inside</v>
      </c>
    </row>
    <row r="7776" spans="1:3" ht="15.75" customHeight="1" x14ac:dyDescent="0.25">
      <c r="A7776" s="2" t="s">
        <v>7778</v>
      </c>
      <c r="B7776" s="3" t="s">
        <v>2</v>
      </c>
      <c r="C7776" s="2" t="str">
        <f ca="1">IFERROR(__xludf.DUMMYFUNCTION("GOOGLETRANSLATE(A7776,""bn"",""en"")"),"Children can roll but not in a straight line")</f>
        <v>Children can roll but not in a straight line</v>
      </c>
    </row>
    <row r="7777" spans="1:3" ht="15.75" customHeight="1" x14ac:dyDescent="0.25">
      <c r="A7777" s="2" t="s">
        <v>7779</v>
      </c>
      <c r="B7777" s="3" t="s">
        <v>6</v>
      </c>
      <c r="C7777" s="2" t="str">
        <f ca="1">IFERROR(__xludf.DUMMYFUNCTION("GOOGLETRANSLATE(A7777,""bn"",""en"")"),"The mascara brush is messy causing the lashes to stick together")</f>
        <v>The mascara brush is messy causing the lashes to stick together</v>
      </c>
    </row>
    <row r="7778" spans="1:3" ht="15.75" customHeight="1" x14ac:dyDescent="0.25">
      <c r="A7778" s="2" t="s">
        <v>7780</v>
      </c>
      <c r="B7778" s="3" t="s">
        <v>6</v>
      </c>
      <c r="C7778" s="2" t="str">
        <f ca="1">IFERROR(__xludf.DUMMYFUNCTION("GOOGLETRANSLATE(A7778,""bn"",""en"")"),"Noise cancellation and features are not outstanding")</f>
        <v>Noise cancellation and features are not outstanding</v>
      </c>
    </row>
    <row r="7779" spans="1:3" ht="15.75" customHeight="1" x14ac:dyDescent="0.25">
      <c r="A7779" s="2" t="s">
        <v>7781</v>
      </c>
      <c r="B7779" s="3" t="s">
        <v>6</v>
      </c>
      <c r="C7779" s="2" t="str">
        <f ca="1">IFERROR(__xludf.DUMMYFUNCTION("GOOGLETRANSLATE(A7779,""bn"",""en"")"),"Food takes longer than expected to heat up not very efficient")</f>
        <v>Food takes longer than expected to heat up not very efficient</v>
      </c>
    </row>
    <row r="7780" spans="1:3" ht="15.75" customHeight="1" x14ac:dyDescent="0.25">
      <c r="A7780" s="2" t="s">
        <v>7782</v>
      </c>
      <c r="B7780" s="3" t="s">
        <v>6</v>
      </c>
      <c r="C7780" s="2" t="str">
        <f ca="1">IFERROR(__xludf.DUMMYFUNCTION("GOOGLETRANSLATE(A7780,""bn"",""en"")"),"The phone's camera quality is poor, producing grainy and blurry photos even in well-lit conditions")</f>
        <v>The phone's camera quality is poor, producing grainy and blurry photos even in well-lit conditions</v>
      </c>
    </row>
    <row r="7781" spans="1:3" ht="15.75" customHeight="1" x14ac:dyDescent="0.25">
      <c r="A7781" s="2" t="s">
        <v>7783</v>
      </c>
      <c r="B7781" s="3" t="s">
        <v>2</v>
      </c>
      <c r="C7781" s="2" t="str">
        <f ca="1">IFERROR(__xludf.DUMMYFUNCTION("GOOGLETRANSLATE(A7781,""bn"",""en"")"),"There was some increase in yield after application of the fertilizer but not much change was observed")</f>
        <v>There was some increase in yield after application of the fertilizer but not much change was observed</v>
      </c>
    </row>
    <row r="7782" spans="1:3" ht="15.75" customHeight="1" x14ac:dyDescent="0.25">
      <c r="A7782" s="2" t="s">
        <v>7784</v>
      </c>
      <c r="B7782" s="3" t="s">
        <v>2</v>
      </c>
      <c r="C7782" s="2" t="str">
        <f ca="1">IFERROR(__xludf.DUMMYFUNCTION("GOOGLETRANSLATE(A7782,""bn"",""en"")"),"True quality will be known after long term use")</f>
        <v>True quality will be known after long term use</v>
      </c>
    </row>
    <row r="7783" spans="1:3" ht="15.75" customHeight="1" x14ac:dyDescent="0.25">
      <c r="A7783" s="2" t="s">
        <v>7785</v>
      </c>
      <c r="B7783" s="3" t="s">
        <v>4</v>
      </c>
      <c r="C7783" s="2" t="str">
        <f ca="1">IFERROR(__xludf.DUMMYFUNCTION("GOOGLETRANSLATE(A7783,""bn"",""en"")"),"This body wash brightens skin tone")</f>
        <v>This body wash brightens skin tone</v>
      </c>
    </row>
    <row r="7784" spans="1:3" ht="15.75" customHeight="1" x14ac:dyDescent="0.25">
      <c r="A7784" s="2" t="s">
        <v>7786</v>
      </c>
      <c r="B7784" s="3" t="s">
        <v>4</v>
      </c>
      <c r="C7784" s="2" t="str">
        <f ca="1">IFERROR(__xludf.DUMMYFUNCTION("GOOGLETRANSLATE(A7784,""bn"",""en"")"),"This tea ended my day with a wonderful experience")</f>
        <v>This tea ended my day with a wonderful experience</v>
      </c>
    </row>
    <row r="7785" spans="1:3" ht="15.75" customHeight="1" x14ac:dyDescent="0.25">
      <c r="A7785" s="2" t="s">
        <v>7787</v>
      </c>
      <c r="B7785" s="3" t="s">
        <v>2</v>
      </c>
      <c r="C7785" s="2" t="str">
        <f ca="1">IFERROR(__xludf.DUMMYFUNCTION("GOOGLETRANSLATE(A7785,""bn"",""en"")"),"Cool but not exceptional")</f>
        <v>Cool but not exceptional</v>
      </c>
    </row>
    <row r="7786" spans="1:3" ht="15.75" customHeight="1" x14ac:dyDescent="0.25">
      <c r="A7786" s="2" t="s">
        <v>7788</v>
      </c>
      <c r="B7786" s="3" t="s">
        <v>6</v>
      </c>
      <c r="C7786" s="2" t="str">
        <f ca="1">IFERROR(__xludf.DUMMYFUNCTION("GOOGLETRANSLATE(A7786,""bn"",""en"")"),"The design of the garment is outdated and outdated and fails to complement the shape or style of the wearer")</f>
        <v>The design of the garment is outdated and outdated and fails to complement the shape or style of the wearer</v>
      </c>
    </row>
    <row r="7787" spans="1:3" ht="15.75" customHeight="1" x14ac:dyDescent="0.25">
      <c r="A7787" s="2" t="s">
        <v>7789</v>
      </c>
      <c r="B7787" s="3" t="s">
        <v>2</v>
      </c>
      <c r="C7787" s="2" t="str">
        <f ca="1">IFERROR(__xludf.DUMMYFUNCTION("GOOGLETRANSLATE(A7787,""bn"",""en"")"),"A great set of different earring backs is somewhat less useful")</f>
        <v>A great set of different earring backs is somewhat less useful</v>
      </c>
    </row>
    <row r="7788" spans="1:3" ht="15.75" customHeight="1" x14ac:dyDescent="0.25">
      <c r="A7788" s="2" t="s">
        <v>7790</v>
      </c>
      <c r="B7788" s="3" t="s">
        <v>4</v>
      </c>
      <c r="C7788" s="2" t="str">
        <f ca="1">IFERROR(__xludf.DUMMYFUNCTION("GOOGLETRANSLATE(A7788,""bn"",""en"")"),"Everyone at home loves to eat it")</f>
        <v>Everyone at home loves to eat it</v>
      </c>
    </row>
    <row r="7789" spans="1:3" ht="15.75" customHeight="1" x14ac:dyDescent="0.25">
      <c r="A7789" s="2" t="s">
        <v>7791</v>
      </c>
      <c r="B7789" s="3" t="s">
        <v>4</v>
      </c>
      <c r="C7789" s="2" t="str">
        <f ca="1">IFERROR(__xludf.DUMMYFUNCTION("GOOGLETRANSLATE(A7789,""bn"",""en"")"),"I love the high quality zipper system on this pillow set it opens and closes easily")</f>
        <v>I love the high quality zipper system on this pillow set it opens and closes easily</v>
      </c>
    </row>
    <row r="7790" spans="1:3" ht="15.75" customHeight="1" x14ac:dyDescent="0.25">
      <c r="A7790" s="2" t="s">
        <v>7792</v>
      </c>
      <c r="B7790" s="3" t="s">
        <v>6</v>
      </c>
      <c r="C7790" s="2" t="str">
        <f ca="1">IFERROR(__xludf.DUMMYFUNCTION("GOOGLETRANSLATE(A7790,""bn"",""en"")"),"The tea had a woody flavor that suggested improper aging or processing")</f>
        <v>The tea had a woody flavor that suggested improper aging or processing</v>
      </c>
    </row>
    <row r="7791" spans="1:3" ht="15.75" customHeight="1" x14ac:dyDescent="0.25">
      <c r="A7791" s="2" t="s">
        <v>7793</v>
      </c>
      <c r="B7791" s="3" t="s">
        <v>2</v>
      </c>
      <c r="C7791" s="2" t="str">
        <f ca="1">IFERROR(__xludf.DUMMYFUNCTION("GOOGLETRANSLATE(A7791,""bn"",""en"")"),"Decent compression socks are not outstanding")</f>
        <v>Decent compression socks are not outstanding</v>
      </c>
    </row>
    <row r="7792" spans="1:3" ht="15.75" customHeight="1" x14ac:dyDescent="0.25">
      <c r="A7792" s="2" t="s">
        <v>7794</v>
      </c>
      <c r="B7792" s="3" t="s">
        <v>4</v>
      </c>
      <c r="C7792" s="2" t="str">
        <f ca="1">IFERROR(__xludf.DUMMYFUNCTION("GOOGLETRANSLATE(A7792,""bn"",""en"")"),"No fear of insect attack is always safe")</f>
        <v>No fear of insect attack is always safe</v>
      </c>
    </row>
    <row r="7793" spans="1:3" ht="15.75" customHeight="1" x14ac:dyDescent="0.25">
      <c r="A7793" s="2" t="s">
        <v>7795</v>
      </c>
      <c r="B7793" s="3" t="s">
        <v>2</v>
      </c>
      <c r="C7793" s="2" t="str">
        <f ca="1">IFERROR(__xludf.DUMMYFUNCTION("GOOGLETRANSLATE(A7793,""bn"",""en"")"),"The product quality is good for the price")</f>
        <v>The product quality is good for the price</v>
      </c>
    </row>
    <row r="7794" spans="1:3" ht="15.75" customHeight="1" x14ac:dyDescent="0.25">
      <c r="A7794" s="2" t="s">
        <v>7796</v>
      </c>
      <c r="B7794" s="3" t="s">
        <v>6</v>
      </c>
      <c r="C7794" s="2" t="str">
        <f ca="1">IFERROR(__xludf.DUMMYFUNCTION("GOOGLETRANSLATE(A7794,""bn"",""en"")"),"  The serum caused me to break out in acne")</f>
        <v xml:space="preserve">  The serum caused me to break out in acne</v>
      </c>
    </row>
    <row r="7795" spans="1:3" ht="15.75" customHeight="1" x14ac:dyDescent="0.25">
      <c r="A7795" s="2" t="s">
        <v>7797</v>
      </c>
      <c r="B7795" s="3" t="s">
        <v>2</v>
      </c>
      <c r="C7795" s="2" t="str">
        <f ca="1">IFERROR(__xludf.DUMMYFUNCTION("GOOGLETRANSLATE(A7795,""bn"",""en"")"),"Easy to clean but takes time to dry")</f>
        <v>Easy to clean but takes time to dry</v>
      </c>
    </row>
    <row r="7796" spans="1:3" ht="15.75" customHeight="1" x14ac:dyDescent="0.25">
      <c r="A7796" s="2" t="s">
        <v>7798</v>
      </c>
      <c r="B7796" s="3" t="s">
        <v>4</v>
      </c>
      <c r="C7796" s="2" t="str">
        <f ca="1">IFERROR(__xludf.DUMMYFUNCTION("GOOGLETRANSLATE(A7796,""bn"",""en"")"),"A vacuum cleaner works great for cleaning dust")</f>
        <v>A vacuum cleaner works great for cleaning dust</v>
      </c>
    </row>
    <row r="7797" spans="1:3" ht="15.75" customHeight="1" x14ac:dyDescent="0.25">
      <c r="A7797" s="2" t="s">
        <v>7799</v>
      </c>
      <c r="B7797" s="3" t="s">
        <v>6</v>
      </c>
      <c r="C7797" s="2" t="str">
        <f ca="1">IFERROR(__xludf.DUMMYFUNCTION("GOOGLETRANSLATE(A7797,""bn"",""en"")"),"The SteelSeries Apex Pro TKL HyperX Magnetic Gaming Keyboard looks great on paper, but in reality the build quality is poor.")</f>
        <v>The SteelSeries Apex Pro TKL HyperX Magnetic Gaming Keyboard looks great on paper, but in reality the build quality is poor.</v>
      </c>
    </row>
    <row r="7798" spans="1:3" ht="15.75" customHeight="1" x14ac:dyDescent="0.25">
      <c r="A7798" s="2" t="s">
        <v>7800</v>
      </c>
      <c r="B7798" s="3" t="s">
        <v>2</v>
      </c>
      <c r="C7798" s="2" t="str">
        <f ca="1">IFERROR(__xludf.DUMMYFUNCTION("GOOGLETRANSLATE(A7798,""bn"",""en"")"),"Durability can be flimsy")</f>
        <v>Durability can be flimsy</v>
      </c>
    </row>
    <row r="7799" spans="1:3" ht="15.75" customHeight="1" x14ac:dyDescent="0.25">
      <c r="A7799" s="2" t="s">
        <v>7801</v>
      </c>
      <c r="B7799" s="3" t="s">
        <v>6</v>
      </c>
      <c r="C7799" s="2" t="str">
        <f ca="1">IFERROR(__xludf.DUMMYFUNCTION("GOOGLETRANSLATE(A7799,""bn"",""en"")"),"The eyebrow pencil is very waxy which makes the eyebrows look unnatural and harsh")</f>
        <v>The eyebrow pencil is very waxy which makes the eyebrows look unnatural and harsh</v>
      </c>
    </row>
    <row r="7800" spans="1:3" ht="15.75" customHeight="1" x14ac:dyDescent="0.25">
      <c r="A7800" s="2" t="s">
        <v>7802</v>
      </c>
      <c r="B7800" s="3" t="s">
        <v>2</v>
      </c>
      <c r="C7800" s="2" t="str">
        <f ca="1">IFERROR(__xludf.DUMMYFUNCTION("GOOGLETRANSLATE(A7800,""bn"",""en"")"),"When pushed, it moves but doesn't go very far")</f>
        <v>When pushed, it moves but doesn't go very far</v>
      </c>
    </row>
    <row r="7801" spans="1:3" ht="15.75" customHeight="1" x14ac:dyDescent="0.25">
      <c r="A7801" s="2" t="s">
        <v>7803</v>
      </c>
      <c r="B7801" s="3" t="s">
        <v>6</v>
      </c>
      <c r="C7801" s="2" t="str">
        <f ca="1">IFERROR(__xludf.DUMMYFUNCTION("GOOGLETRANSLATE(A7801,""bn"",""en"")"),"     Loud creaking door hinges cause annoyance and disturb the peace in the house")</f>
        <v xml:space="preserve">     Loud creaking door hinges cause annoyance and disturb the peace in the house</v>
      </c>
    </row>
    <row r="7802" spans="1:3" ht="15.75" customHeight="1" x14ac:dyDescent="0.25">
      <c r="A7802" s="2" t="s">
        <v>7804</v>
      </c>
      <c r="B7802" s="3" t="s">
        <v>4</v>
      </c>
      <c r="C7802" s="2" t="str">
        <f ca="1">IFERROR(__xludf.DUMMYFUNCTION("GOOGLETRANSLATE(A7802,""bn"",""en"")"),"The packaging is simple but effective")</f>
        <v>The packaging is simple but effective</v>
      </c>
    </row>
    <row r="7803" spans="1:3" ht="15.75" customHeight="1" x14ac:dyDescent="0.25">
      <c r="A7803" s="2" t="s">
        <v>7805</v>
      </c>
      <c r="B7803" s="3" t="s">
        <v>2</v>
      </c>
      <c r="C7803" s="2" t="str">
        <f ca="1">IFERROR(__xludf.DUMMYFUNCTION("GOOGLETRANSLATE(A7803,""bn"",""en"")"),"The toothpaste gives fresh breath but its flavor may be a bit strong for many")</f>
        <v>The toothpaste gives fresh breath but its flavor may be a bit strong for many</v>
      </c>
    </row>
    <row r="7804" spans="1:3" ht="15.75" customHeight="1" x14ac:dyDescent="0.25">
      <c r="A7804" s="2" t="s">
        <v>7806</v>
      </c>
      <c r="B7804" s="3" t="s">
        <v>4</v>
      </c>
      <c r="C7804" s="2" t="str">
        <f ca="1">IFERROR(__xludf.DUMMYFUNCTION("GOOGLETRANSLATE(A7804,""bn"",""en"")"),"The fragrance of the shampoo lasts all day")</f>
        <v>The fragrance of the shampoo lasts all day</v>
      </c>
    </row>
    <row r="7805" spans="1:3" ht="15.75" customHeight="1" x14ac:dyDescent="0.25">
      <c r="A7805" s="2" t="s">
        <v>7807</v>
      </c>
      <c r="B7805" s="3" t="s">
        <v>2</v>
      </c>
      <c r="C7805" s="2" t="str">
        <f ca="1">IFERROR(__xludf.DUMMYFUNCTION("GOOGLETRANSLATE(A7805,""bn"",""en"")"),"The quality is good enough but I am not very satisfied")</f>
        <v>The quality is good enough but I am not very satisfied</v>
      </c>
    </row>
    <row r="7806" spans="1:3" ht="15.75" customHeight="1" x14ac:dyDescent="0.25">
      <c r="A7806" s="2" t="s">
        <v>7808</v>
      </c>
      <c r="B7806" s="3" t="s">
        <v>2</v>
      </c>
      <c r="C7806" s="2" t="str">
        <f ca="1">IFERROR(__xludf.DUMMYFUNCTION("GOOGLETRANSLATE(A7806,""bn"",""en"")"),"The product is beautiful but may have some deficiencies")</f>
        <v>The product is beautiful but may have some deficiencies</v>
      </c>
    </row>
    <row r="7807" spans="1:3" ht="15.75" customHeight="1" x14ac:dyDescent="0.25">
      <c r="A7807" s="2" t="s">
        <v>7809</v>
      </c>
      <c r="B7807" s="3" t="s">
        <v>2</v>
      </c>
      <c r="C7807" s="2" t="str">
        <f ca="1">IFERROR(__xludf.DUMMYFUNCTION("GOOGLETRANSLATE(A7807,""bn"",""en"")"),"Replacement earrings are good but some can be easily lost")</f>
        <v>Replacement earrings are good but some can be easily lost</v>
      </c>
    </row>
    <row r="7808" spans="1:3" ht="15.75" customHeight="1" x14ac:dyDescent="0.25">
      <c r="A7808" s="2" t="s">
        <v>7810</v>
      </c>
      <c r="B7808" s="3" t="s">
        <v>4</v>
      </c>
      <c r="C7808" s="2" t="str">
        <f ca="1">IFERROR(__xludf.DUMMYFUNCTION("GOOGLETRANSLATE(A7808,""bn"",""en"")"),"Wardrobe doors open quietly and smoothly")</f>
        <v>Wardrobe doors open quietly and smoothly</v>
      </c>
    </row>
    <row r="7809" spans="1:3" ht="15.75" customHeight="1" x14ac:dyDescent="0.25">
      <c r="A7809" s="2" t="s">
        <v>7811</v>
      </c>
      <c r="B7809" s="3" t="s">
        <v>4</v>
      </c>
      <c r="C7809" s="2" t="str">
        <f ca="1">IFERROR(__xludf.DUMMYFUNCTION("GOOGLETRANSLATE(A7809,""bn"",""en"")"),"Using shampoo makes the hair much stronger")</f>
        <v>Using shampoo makes the hair much stronger</v>
      </c>
    </row>
    <row r="7810" spans="1:3" ht="15.75" customHeight="1" x14ac:dyDescent="0.25">
      <c r="A7810" s="2" t="s">
        <v>7812</v>
      </c>
      <c r="B7810" s="3" t="s">
        <v>6</v>
      </c>
      <c r="C7810" s="2" t="str">
        <f ca="1">IFERROR(__xludf.DUMMYFUNCTION("GOOGLETRANSLATE(A7810,""bn"",""en"")"),"The weight of the item was unfathomably light")</f>
        <v>The weight of the item was unfathomably light</v>
      </c>
    </row>
    <row r="7811" spans="1:3" ht="15.75" customHeight="1" x14ac:dyDescent="0.25">
      <c r="A7811" s="2" t="s">
        <v>7813</v>
      </c>
      <c r="B7811" s="3" t="s">
        <v>4</v>
      </c>
      <c r="C7811" s="2" t="str">
        <f ca="1">IFERROR(__xludf.DUMMYFUNCTION("GOOGLETRANSLATE(A7811,""bn"",""en"")"),"Honey helps to increase blood circulation")</f>
        <v>Honey helps to increase blood circulation</v>
      </c>
    </row>
    <row r="7812" spans="1:3" ht="15.75" customHeight="1" x14ac:dyDescent="0.25">
      <c r="A7812" s="2" t="s">
        <v>7814</v>
      </c>
      <c r="B7812" s="3" t="s">
        <v>4</v>
      </c>
      <c r="C7812" s="2" t="str">
        <f ca="1">IFERROR(__xludf.DUMMYFUNCTION("GOOGLETRANSLATE(A7812,""bn"",""en"")"),"I bought it for my sister ")</f>
        <v xml:space="preserve">I bought it for my sister </v>
      </c>
    </row>
    <row r="7813" spans="1:3" ht="15.75" customHeight="1" x14ac:dyDescent="0.25">
      <c r="A7813" s="2" t="s">
        <v>7815</v>
      </c>
      <c r="B7813" s="3" t="s">
        <v>6</v>
      </c>
      <c r="C7813" s="2" t="str">
        <f ca="1">IFERROR(__xludf.DUMMYFUNCTION("GOOGLETRANSLATE(A7813,""bn"",""en"")"),"Cheap doesn't look good")</f>
        <v>Cheap doesn't look good</v>
      </c>
    </row>
    <row r="7814" spans="1:3" ht="15.75" customHeight="1" x14ac:dyDescent="0.25">
      <c r="A7814" s="2" t="s">
        <v>7816</v>
      </c>
      <c r="B7814" s="3" t="s">
        <v>4</v>
      </c>
      <c r="C7814" s="2" t="str">
        <f ca="1">IFERROR(__xludf.DUMMYFUNCTION("GOOGLETRANSLATE(A7814,""bn"",""en"")"),"A very beautiful view can be seen from the window of the room")</f>
        <v>A very beautiful view can be seen from the window of the room</v>
      </c>
    </row>
    <row r="7815" spans="1:3" ht="15.75" customHeight="1" x14ac:dyDescent="0.25">
      <c r="A7815" s="2" t="s">
        <v>7817</v>
      </c>
      <c r="B7815" s="3" t="s">
        <v>4</v>
      </c>
      <c r="C7815" s="2" t="str">
        <f ca="1">IFERROR(__xludf.DUMMYFUNCTION("GOOGLETRANSLATE(A7815,""bn"",""en"")"),"The girl draws regularly every day")</f>
        <v>The girl draws regularly every day</v>
      </c>
    </row>
    <row r="7816" spans="1:3" ht="15.75" customHeight="1" x14ac:dyDescent="0.25">
      <c r="A7816" s="2" t="s">
        <v>7818</v>
      </c>
      <c r="B7816" s="3" t="s">
        <v>2</v>
      </c>
      <c r="C7816" s="2" t="str">
        <f ca="1">IFERROR(__xludf.DUMMYFUNCTION("GOOGLETRANSLATE(A7816,""bn"",""en"")"),"Acidity is medium not too sour")</f>
        <v>Acidity is medium not too sour</v>
      </c>
    </row>
    <row r="7817" spans="1:3" ht="15.75" customHeight="1" x14ac:dyDescent="0.25">
      <c r="A7817" s="2" t="s">
        <v>7819</v>
      </c>
      <c r="B7817" s="3" t="s">
        <v>6</v>
      </c>
      <c r="C7817" s="2" t="str">
        <f ca="1">IFERROR(__xludf.DUMMYFUNCTION("GOOGLETRANSLATE(A7817,""bn"",""en"")"),"Bacteria and mold are hard to clean inside")</f>
        <v>Bacteria and mold are hard to clean inside</v>
      </c>
    </row>
    <row r="7818" spans="1:3" ht="15.75" customHeight="1" x14ac:dyDescent="0.25">
      <c r="A7818" s="2" t="s">
        <v>7820</v>
      </c>
      <c r="B7818" s="3" t="s">
        <v>6</v>
      </c>
      <c r="C7818" s="2" t="str">
        <f ca="1">IFERROR(__xludf.DUMMYFUNCTION("GOOGLETRANSLATE(A7818,""bn"",""en"")")," The door hinge feels loose and unstable which raises safety concerns")</f>
        <v xml:space="preserve"> The door hinge feels loose and unstable which raises safety concerns</v>
      </c>
    </row>
    <row r="7819" spans="1:3" ht="15.75" customHeight="1" x14ac:dyDescent="0.25">
      <c r="A7819" s="2" t="s">
        <v>7821</v>
      </c>
      <c r="B7819" s="3" t="s">
        <v>4</v>
      </c>
      <c r="C7819" s="2" t="str">
        <f ca="1">IFERROR(__xludf.DUMMYFUNCTION("GOOGLETRANSLATE(A7819,""bn"",""en"")"),"The smell of the cake is very sweet and mesmerizing")</f>
        <v>The smell of the cake is very sweet and mesmerizing</v>
      </c>
    </row>
    <row r="7820" spans="1:3" ht="15.75" customHeight="1" x14ac:dyDescent="0.25">
      <c r="A7820" s="2" t="s">
        <v>7822</v>
      </c>
      <c r="B7820" s="3" t="s">
        <v>2</v>
      </c>
      <c r="C7820" s="2" t="str">
        <f ca="1">IFERROR(__xludf.DUMMYFUNCTION("GOOGLETRANSLATE(A7820,""bn"",""en"")"),"Running watch has good features but the watch is heavy")</f>
        <v>Running watch has good features but the watch is heavy</v>
      </c>
    </row>
    <row r="7821" spans="1:3" ht="15.75" customHeight="1" x14ac:dyDescent="0.25">
      <c r="A7821" s="2" t="s">
        <v>7823</v>
      </c>
      <c r="B7821" s="3" t="s">
        <v>6</v>
      </c>
      <c r="C7821" s="2" t="str">
        <f ca="1">IFERROR(__xludf.DUMMYFUNCTION("GOOGLETRANSLATE(A7821,""bn"",""en"")"),"There is no temperature control system")</f>
        <v>There is no temperature control system</v>
      </c>
    </row>
    <row r="7822" spans="1:3" ht="15.75" customHeight="1" x14ac:dyDescent="0.25">
      <c r="A7822" s="2" t="s">
        <v>7824</v>
      </c>
      <c r="B7822" s="3" t="s">
        <v>6</v>
      </c>
      <c r="C7822" s="2" t="str">
        <f ca="1">IFERROR(__xludf.DUMMYFUNCTION("GOOGLETRANSLATE(A7822,""bn"",""en"")"),"Don't bother cheap")</f>
        <v>Don't bother cheap</v>
      </c>
    </row>
    <row r="7823" spans="1:3" ht="15.75" customHeight="1" x14ac:dyDescent="0.25">
      <c r="A7823" s="2" t="s">
        <v>7825</v>
      </c>
      <c r="B7823" s="3" t="s">
        <v>4</v>
      </c>
      <c r="C7823" s="2" t="str">
        <f ca="1">IFERROR(__xludf.DUMMYFUNCTION("GOOGLETRANSLATE(A7823,""bn"",""en"")"),"Modern and stylish look")</f>
        <v>Modern and stylish look</v>
      </c>
    </row>
    <row r="7824" spans="1:3" ht="15.75" customHeight="1" x14ac:dyDescent="0.25">
      <c r="A7824" s="2" t="s">
        <v>7826</v>
      </c>
      <c r="B7824" s="3" t="s">
        <v>6</v>
      </c>
      <c r="C7824" s="2" t="str">
        <f ca="1">IFERROR(__xludf.DUMMYFUNCTION("GOOGLETRANSLATE(A7824,""bn"",""en"")"),"Not effective in large rooms")</f>
        <v>Not effective in large rooms</v>
      </c>
    </row>
    <row r="7825" spans="1:3" ht="15.75" customHeight="1" x14ac:dyDescent="0.25">
      <c r="A7825" s="2" t="s">
        <v>7827</v>
      </c>
      <c r="B7825" s="3" t="s">
        <v>6</v>
      </c>
      <c r="C7825" s="2" t="str">
        <f ca="1">IFERROR(__xludf.DUMMYFUNCTION("GOOGLETRANSLATE(A7825,""bn"",""en"")"),"Makeup remover stings the eyes")</f>
        <v>Makeup remover stings the eyes</v>
      </c>
    </row>
    <row r="7826" spans="1:3" ht="15.75" customHeight="1" x14ac:dyDescent="0.25">
      <c r="A7826" s="2" t="s">
        <v>7828</v>
      </c>
      <c r="B7826" s="3" t="s">
        <v>6</v>
      </c>
      <c r="C7826" s="2" t="str">
        <f ca="1">IFERROR(__xludf.DUMMYFUNCTION("GOOGLETRANSLATE(A7826,""bn"",""en"")"),"The phone's auto-brightness feature is unreliable and often adjusts brightness levels inappropriately")</f>
        <v>The phone's auto-brightness feature is unreliable and often adjusts brightness levels inappropriately</v>
      </c>
    </row>
    <row r="7827" spans="1:3" ht="15.75" customHeight="1" x14ac:dyDescent="0.25">
      <c r="A7827" s="2" t="s">
        <v>7829</v>
      </c>
      <c r="B7827" s="3" t="s">
        <v>6</v>
      </c>
      <c r="C7827" s="2" t="str">
        <f ca="1">IFERROR(__xludf.DUMMYFUNCTION("GOOGLETRANSLATE(A7827,""bn"",""en"")"),"The paintbrush handles were too short to use")</f>
        <v>The paintbrush handles were too short to use</v>
      </c>
    </row>
    <row r="7828" spans="1:3" ht="15.75" customHeight="1" x14ac:dyDescent="0.25">
      <c r="A7828" s="2" t="s">
        <v>7830</v>
      </c>
      <c r="B7828" s="3" t="s">
        <v>4</v>
      </c>
      <c r="C7828" s="2" t="str">
        <f ca="1">IFERROR(__xludf.DUMMYFUNCTION("GOOGLETRANSLATE(A7828,""bn"",""en"")"),"The flowers lack fragrance but are pleasing to the eye")</f>
        <v>The flowers lack fragrance but are pleasing to the eye</v>
      </c>
    </row>
    <row r="7829" spans="1:3" ht="15.75" customHeight="1" x14ac:dyDescent="0.25">
      <c r="A7829" s="2" t="s">
        <v>7831</v>
      </c>
      <c r="B7829" s="3" t="s">
        <v>2</v>
      </c>
      <c r="C7829" s="2" t="str">
        <f ca="1">IFERROR(__xludf.DUMMYFUNCTION("GOOGLETRANSLATE(A7829,""bn"",""en"")"),"Can be used to check makeup")</f>
        <v>Can be used to check makeup</v>
      </c>
    </row>
    <row r="7830" spans="1:3" ht="15.75" customHeight="1" x14ac:dyDescent="0.25">
      <c r="A7830" s="2" t="s">
        <v>7832</v>
      </c>
      <c r="B7830" s="3" t="s">
        <v>4</v>
      </c>
      <c r="C7830" s="2" t="str">
        <f ca="1">IFERROR(__xludf.DUMMYFUNCTION("GOOGLETRANSLATE(A7830,""bn"",""en"")"),"The inner material of the pillows is structured in such a way that they never become lumpy")</f>
        <v>The inner material of the pillows is structured in such a way that they never become lumpy</v>
      </c>
    </row>
    <row r="7831" spans="1:3" ht="15.75" customHeight="1" x14ac:dyDescent="0.25">
      <c r="A7831" s="2" t="s">
        <v>7833</v>
      </c>
      <c r="B7831" s="3" t="s">
        <v>6</v>
      </c>
      <c r="C7831" s="2" t="str">
        <f ca="1">IFERROR(__xludf.DUMMYFUNCTION("GOOGLETRANSLATE(A7831,""bn"",""en"")"),"The adhesive tabs on baby diapers do not stick well, resulting in frequent leaks")</f>
        <v>The adhesive tabs on baby diapers do not stick well, resulting in frequent leaks</v>
      </c>
    </row>
    <row r="7832" spans="1:3" ht="15.75" customHeight="1" x14ac:dyDescent="0.25">
      <c r="A7832" s="2" t="s">
        <v>7834</v>
      </c>
      <c r="B7832" s="3" t="s">
        <v>2</v>
      </c>
      <c r="C7832" s="2" t="str">
        <f ca="1">IFERROR(__xludf.DUMMYFUNCTION("GOOGLETRANSLATE(A7832,""bn"",""en"")")," Some may prefer a different selection")</f>
        <v xml:space="preserve"> Some may prefer a different selection</v>
      </c>
    </row>
    <row r="7833" spans="1:3" ht="15.75" customHeight="1" x14ac:dyDescent="0.25">
      <c r="A7833" s="2" t="s">
        <v>7835</v>
      </c>
      <c r="B7833" s="3" t="s">
        <v>4</v>
      </c>
      <c r="C7833" s="2" t="str">
        <f ca="1">IFERROR(__xludf.DUMMYFUNCTION("GOOGLETRANSLATE(A7833,""bn"",""en"")"),"Easy to clean, does not accumulate dirt")</f>
        <v>Easy to clean, does not accumulate dirt</v>
      </c>
    </row>
    <row r="7834" spans="1:3" ht="15.75" customHeight="1" x14ac:dyDescent="0.25">
      <c r="A7834" s="2" t="s">
        <v>7836</v>
      </c>
      <c r="B7834" s="3" t="s">
        <v>6</v>
      </c>
      <c r="C7834" s="2" t="str">
        <f ca="1">IFERROR(__xludf.DUMMYFUNCTION("GOOGLETRANSLATE(A7834,""bn"",""en"")"),"Gifted repentance is tainted by dirt")</f>
        <v>Gifted repentance is tainted by dirt</v>
      </c>
    </row>
    <row r="7835" spans="1:3" ht="15.75" customHeight="1" x14ac:dyDescent="0.25">
      <c r="A7835" s="2" t="s">
        <v>7837</v>
      </c>
      <c r="B7835" s="3" t="s">
        <v>4</v>
      </c>
      <c r="C7835" s="2" t="str">
        <f ca="1">IFERROR(__xludf.DUMMYFUNCTION("GOOGLETRANSLATE(A7835,""bn"",""en"")"),"Works great from the cold weather")</f>
        <v>Works great from the cold weather</v>
      </c>
    </row>
    <row r="7836" spans="1:3" ht="15.75" customHeight="1" x14ac:dyDescent="0.25">
      <c r="A7836" s="2" t="s">
        <v>7838</v>
      </c>
      <c r="B7836" s="3" t="s">
        <v>4</v>
      </c>
      <c r="C7836" s="2" t="str">
        <f ca="1">IFERROR(__xludf.DUMMYFUNCTION("GOOGLETRANSLATE(A7836,""bn"",""en"")"),"It does not take time to dry so it can be easily stored back home")</f>
        <v>It does not take time to dry so it can be easily stored back home</v>
      </c>
    </row>
    <row r="7837" spans="1:3" ht="15.75" customHeight="1" x14ac:dyDescent="0.25">
      <c r="A7837" s="2" t="s">
        <v>7839</v>
      </c>
      <c r="B7837" s="3" t="s">
        <v>6</v>
      </c>
      <c r="C7837" s="2" t="str">
        <f ca="1">IFERROR(__xludf.DUMMYFUNCTION("GOOGLETRANSLATE(A7837,""bn"",""en"")"),"Forked rabbits that cause a series of problems")</f>
        <v>Forked rabbits that cause a series of problems</v>
      </c>
    </row>
    <row r="7838" spans="1:3" ht="15.75" customHeight="1" x14ac:dyDescent="0.25">
      <c r="A7838" s="2" t="s">
        <v>7840</v>
      </c>
      <c r="B7838" s="3" t="s">
        <v>4</v>
      </c>
      <c r="C7838" s="2" t="str">
        <f ca="1">IFERROR(__xludf.DUMMYFUNCTION("GOOGLETRANSLATE(A7838,""bn"",""en"")"),"The size of the makeup pouch is perfect for travel")</f>
        <v>The size of the makeup pouch is perfect for travel</v>
      </c>
    </row>
    <row r="7839" spans="1:3" ht="15.75" customHeight="1" x14ac:dyDescent="0.25">
      <c r="A7839" s="2" t="s">
        <v>7841</v>
      </c>
      <c r="B7839" s="3" t="s">
        <v>6</v>
      </c>
      <c r="C7839" s="2" t="str">
        <f ca="1">IFERROR(__xludf.DUMMYFUNCTION("GOOGLETRANSLATE(A7839,""bn"",""en"")"),"The beans were inconsistent in size and shape which affected the consistency of the brew")</f>
        <v>The beans were inconsistent in size and shape which affected the consistency of the brew</v>
      </c>
    </row>
    <row r="7840" spans="1:3" ht="15.75" customHeight="1" x14ac:dyDescent="0.25">
      <c r="A7840" s="2" t="s">
        <v>7842</v>
      </c>
      <c r="B7840" s="3" t="s">
        <v>4</v>
      </c>
      <c r="C7840" s="2" t="str">
        <f ca="1">IFERROR(__xludf.DUMMYFUNCTION("GOOGLETRANSLATE(A7840,""bn"",""en"")"),"Absolutely amazing everyone ")</f>
        <v xml:space="preserve">Absolutely amazing everyone </v>
      </c>
    </row>
    <row r="7841" spans="1:3" ht="15.75" customHeight="1" x14ac:dyDescent="0.25">
      <c r="A7841" s="2" t="s">
        <v>7843</v>
      </c>
      <c r="B7841" s="3" t="s">
        <v>2</v>
      </c>
      <c r="C7841" s="2" t="str">
        <f ca="1">IFERROR(__xludf.DUMMYFUNCTION("GOOGLETRANSLATE(A7841,""bn"",""en"")"),"Weight is fine but does not change seasonally")</f>
        <v>Weight is fine but does not change seasonally</v>
      </c>
    </row>
    <row r="7842" spans="1:3" ht="15.75" customHeight="1" x14ac:dyDescent="0.25">
      <c r="A7842" s="2" t="s">
        <v>7844</v>
      </c>
      <c r="B7842" s="3" t="s">
        <v>2</v>
      </c>
      <c r="C7842" s="2" t="str">
        <f ca="1">IFERROR(__xludf.DUMMYFUNCTION("GOOGLETRANSLATE(A7842,""bn"",""en"")"),"Includes geofencing")</f>
        <v>Includes geofencing</v>
      </c>
    </row>
    <row r="7843" spans="1:3" ht="15.75" customHeight="1" x14ac:dyDescent="0.25">
      <c r="A7843" s="2" t="s">
        <v>7845</v>
      </c>
      <c r="B7843" s="3" t="s">
        <v>6</v>
      </c>
      <c r="C7843" s="2" t="str">
        <f ca="1">IFERROR(__xludf.DUMMYFUNCTION("GOOGLETRANSLATE(A7843,""bn"",""en"")"),"The moisturizer leaves a greasy residue making it unsuitable for daytime wear")</f>
        <v>The moisturizer leaves a greasy residue making it unsuitable for daytime wear</v>
      </c>
    </row>
    <row r="7844" spans="1:3" ht="15.75" customHeight="1" x14ac:dyDescent="0.25">
      <c r="A7844" s="2" t="s">
        <v>7846</v>
      </c>
      <c r="B7844" s="3" t="s">
        <v>6</v>
      </c>
      <c r="C7844" s="2" t="str">
        <f ca="1">IFERROR(__xludf.DUMMYFUNCTION("GOOGLETRANSLATE(A7844,""bn"",""en"")")," A noticeable blue tint on the screen was distorted color accuracy")</f>
        <v xml:space="preserve"> A noticeable blue tint on the screen was distorted color accuracy</v>
      </c>
    </row>
    <row r="7845" spans="1:3" ht="15.75" customHeight="1" x14ac:dyDescent="0.25">
      <c r="A7845" s="2" t="s">
        <v>7847</v>
      </c>
      <c r="B7845" s="3" t="s">
        <v>6</v>
      </c>
      <c r="C7845" s="2" t="str">
        <f ca="1">IFERROR(__xludf.DUMMYFUNCTION("GOOGLETRANSLATE(A7845,""bn"",""en"")"),"Anker's USBC charger is just fragile and prone to blurring")</f>
        <v>Anker's USBC charger is just fragile and prone to blurring</v>
      </c>
    </row>
    <row r="7846" spans="1:3" ht="15.75" customHeight="1" x14ac:dyDescent="0.25">
      <c r="A7846" s="2" t="s">
        <v>7848</v>
      </c>
      <c r="B7846" s="3" t="s">
        <v>4</v>
      </c>
      <c r="C7846" s="2" t="str">
        <f ca="1">IFERROR(__xludf.DUMMYFUNCTION("GOOGLETRANSLATE(A7846,""bn"",""en"")"),"There is a mystery and beauty hidden in it")</f>
        <v>There is a mystery and beauty hidden in it</v>
      </c>
    </row>
    <row r="7847" spans="1:3" ht="15.75" customHeight="1" x14ac:dyDescent="0.25">
      <c r="A7847" s="2" t="s">
        <v>7849</v>
      </c>
      <c r="B7847" s="3" t="s">
        <v>6</v>
      </c>
      <c r="C7847" s="2" t="str">
        <f ca="1">IFERROR(__xludf.DUMMYFUNCTION("GOOGLETRANSLATE(A7847,""bn"",""en"")"),"The packaging is not properly sealed causing the tea to lose its freshness")</f>
        <v>The packaging is not properly sealed causing the tea to lose its freshness</v>
      </c>
    </row>
    <row r="7848" spans="1:3" ht="15.75" customHeight="1" x14ac:dyDescent="0.25">
      <c r="A7848" s="2" t="s">
        <v>7850</v>
      </c>
      <c r="B7848" s="3" t="s">
        <v>4</v>
      </c>
      <c r="C7848" s="2" t="str">
        <f ca="1">IFERROR(__xludf.DUMMYFUNCTION("GOOGLETRANSLATE(A7848,""bn"",""en"")"),"I am really satisfied using it")</f>
        <v>I am really satisfied using it</v>
      </c>
    </row>
    <row r="7849" spans="1:3" ht="15.75" customHeight="1" x14ac:dyDescent="0.25">
      <c r="A7849" s="2" t="s">
        <v>7851</v>
      </c>
      <c r="B7849" s="3" t="s">
        <v>4</v>
      </c>
      <c r="C7849" s="2" t="str">
        <f ca="1">IFERROR(__xludf.DUMMYFUNCTION("GOOGLETRANSLATE(A7849,""bn"",""en"")"),"The entire painting tells a story")</f>
        <v>The entire painting tells a story</v>
      </c>
    </row>
    <row r="7850" spans="1:3" ht="15.75" customHeight="1" x14ac:dyDescent="0.25">
      <c r="A7850" s="2" t="s">
        <v>7852</v>
      </c>
      <c r="B7850" s="3" t="s">
        <v>6</v>
      </c>
      <c r="C7850" s="2" t="str">
        <f ca="1">IFERROR(__xludf.DUMMYFUNCTION("GOOGLETRANSLATE(A7850,""bn"",""en"")"),"Disappointed with the quality compared to the previous version")</f>
        <v>Disappointed with the quality compared to the previous version</v>
      </c>
    </row>
    <row r="7851" spans="1:3" ht="15.75" customHeight="1" x14ac:dyDescent="0.25">
      <c r="A7851" s="2" t="s">
        <v>7853</v>
      </c>
      <c r="B7851" s="3" t="s">
        <v>4</v>
      </c>
      <c r="C7851" s="2" t="str">
        <f ca="1">IFERROR(__xludf.DUMMYFUNCTION("GOOGLETRANSLATE(A7851,""bn"",""en"")"),"Inverter technology has reduced the cost of electricity and now I don't have to worry about the bill anymore")</f>
        <v>Inverter technology has reduced the cost of electricity and now I don't have to worry about the bill anymore</v>
      </c>
    </row>
    <row r="7852" spans="1:3" ht="15.75" customHeight="1" x14ac:dyDescent="0.25">
      <c r="A7852" s="2" t="s">
        <v>7854</v>
      </c>
      <c r="B7852" s="3" t="s">
        <v>6</v>
      </c>
      <c r="C7852" s="2" t="str">
        <f ca="1">IFERROR(__xludf.DUMMYFUNCTION("GOOGLETRANSLATE(A7852,""bn"",""en"")"),"Too tight seal makes it challenging to open")</f>
        <v>Too tight seal makes it challenging to open</v>
      </c>
    </row>
    <row r="7853" spans="1:3" ht="15.75" customHeight="1" x14ac:dyDescent="0.25">
      <c r="A7853" s="2" t="s">
        <v>7855</v>
      </c>
      <c r="B7853" s="3" t="s">
        <v>2</v>
      </c>
      <c r="C7853" s="2" t="str">
        <f ca="1">IFERROR(__xludf.DUMMYFUNCTION("GOOGLETRANSLATE(A7853,""bn"",""en"")"),"There is a possibility of bending when placing heavy objects")</f>
        <v>There is a possibility of bending when placing heavy objects</v>
      </c>
    </row>
    <row r="7854" spans="1:3" ht="15.75" customHeight="1" x14ac:dyDescent="0.25">
      <c r="A7854" s="2" t="s">
        <v>7856</v>
      </c>
      <c r="B7854" s="3" t="s">
        <v>4</v>
      </c>
      <c r="C7854" s="2" t="str">
        <f ca="1">IFERROR(__xludf.DUMMYFUNCTION("GOOGLETRANSLATE(A7854,""bn"",""en"")"),"It enhances the beauty of the makeup")</f>
        <v>It enhances the beauty of the makeup</v>
      </c>
    </row>
    <row r="7855" spans="1:3" ht="15.75" customHeight="1" x14ac:dyDescent="0.25">
      <c r="A7855" s="2" t="s">
        <v>7857</v>
      </c>
      <c r="B7855" s="3" t="s">
        <v>4</v>
      </c>
      <c r="C7855" s="2" t="str">
        <f ca="1">IFERROR(__xludf.DUMMYFUNCTION("GOOGLETRANSLATE(A7855,""bn"",""en"")"),"It is very natural and gives good performance")</f>
        <v>It is very natural and gives good performance</v>
      </c>
    </row>
    <row r="7856" spans="1:3" ht="15.75" customHeight="1" x14ac:dyDescent="0.25">
      <c r="A7856" s="2" t="s">
        <v>7858</v>
      </c>
      <c r="B7856" s="3" t="s">
        <v>4</v>
      </c>
      <c r="C7856" s="2" t="str">
        <f ca="1">IFERROR(__xludf.DUMMYFUNCTION("GOOGLETRANSLATE(A7856,""bn"",""en"")"),"Each product in the kit is of very high quality")</f>
        <v>Each product in the kit is of very high quality</v>
      </c>
    </row>
    <row r="7857" spans="1:3" ht="15.75" customHeight="1" x14ac:dyDescent="0.25">
      <c r="A7857" s="2" t="s">
        <v>7859</v>
      </c>
      <c r="B7857" s="3" t="s">
        <v>6</v>
      </c>
      <c r="C7857" s="2" t="str">
        <f ca="1">IFERROR(__xludf.DUMMYFUNCTION("GOOGLETRANSLATE(A7857,""bn"",""en"")"),"Limited performance compared to expectations")</f>
        <v>Limited performance compared to expectations</v>
      </c>
    </row>
    <row r="7858" spans="1:3" ht="15.75" customHeight="1" x14ac:dyDescent="0.25">
      <c r="A7858" s="2" t="s">
        <v>7860</v>
      </c>
      <c r="B7858" s="3" t="s">
        <v>2</v>
      </c>
      <c r="C7858" s="2" t="str">
        <f ca="1">IFERROR(__xludf.DUMMYFUNCTION("GOOGLETRANSLATE(A7858,""bn"",""en"")"),"It needs to have a watermark on the paper")</f>
        <v>It needs to have a watermark on the paper</v>
      </c>
    </row>
    <row r="7859" spans="1:3" ht="15.75" customHeight="1" x14ac:dyDescent="0.25">
      <c r="A7859" s="2" t="s">
        <v>7861</v>
      </c>
      <c r="B7859" s="3" t="s">
        <v>2</v>
      </c>
      <c r="C7859" s="2" t="str">
        <f ca="1">IFERROR(__xludf.DUMMYFUNCTION("GOOGLETRANSLATE(A7859,""bn"",""en"")"),"Good for crop growth but cost is a bit high")</f>
        <v>Good for crop growth but cost is a bit high</v>
      </c>
    </row>
    <row r="7860" spans="1:3" ht="15.75" customHeight="1" x14ac:dyDescent="0.25">
      <c r="A7860" s="2" t="s">
        <v>7862</v>
      </c>
      <c r="B7860" s="3" t="s">
        <v>4</v>
      </c>
      <c r="C7860" s="2" t="str">
        <f ca="1">IFERROR(__xludf.DUMMYFUNCTION("GOOGLETRANSLATE(A7860,""bn"",""en"")"),"This body wash will make your skin soft")</f>
        <v>This body wash will make your skin soft</v>
      </c>
    </row>
    <row r="7861" spans="1:3" ht="15.75" customHeight="1" x14ac:dyDescent="0.25">
      <c r="A7861" s="2" t="s">
        <v>7863</v>
      </c>
      <c r="B7861" s="3" t="s">
        <v>6</v>
      </c>
      <c r="C7861" s="2" t="str">
        <f ca="1">IFERROR(__xludf.DUMMYFUNCTION("GOOGLETRANSLATE(A7861,""bn"",""en"")"),"The tip of the eyebrow pencil breaks easily making it challenging to achieve precise strokes")</f>
        <v>The tip of the eyebrow pencil breaks easily making it challenging to achieve precise strokes</v>
      </c>
    </row>
    <row r="7862" spans="1:3" ht="15.75" customHeight="1" x14ac:dyDescent="0.25">
      <c r="A7862" s="2" t="s">
        <v>7864</v>
      </c>
      <c r="B7862" s="3" t="s">
        <v>4</v>
      </c>
      <c r="C7862" s="2" t="str">
        <f ca="1">IFERROR(__xludf.DUMMYFUNCTION("GOOGLETRANSLATE(A7862,""bn"",""en"")"),"Additional clothes and accessories that come with the doll enrich the play experience")</f>
        <v>Additional clothes and accessories that come with the doll enrich the play experience</v>
      </c>
    </row>
    <row r="7863" spans="1:3" ht="15.75" customHeight="1" x14ac:dyDescent="0.25">
      <c r="A7863" s="2" t="s">
        <v>7865</v>
      </c>
      <c r="B7863" s="3" t="s">
        <v>2</v>
      </c>
      <c r="C7863" s="2" t="str">
        <f ca="1">IFERROR(__xludf.DUMMYFUNCTION("GOOGLETRANSLATE(A7863,""bn"",""en"")"),"Sometimes go out without it")</f>
        <v>Sometimes go out without it</v>
      </c>
    </row>
    <row r="7864" spans="1:3" ht="15.75" customHeight="1" x14ac:dyDescent="0.25">
      <c r="A7864" s="2" t="s">
        <v>7866</v>
      </c>
      <c r="B7864" s="3" t="s">
        <v>2</v>
      </c>
      <c r="C7864" s="2" t="str">
        <f ca="1">IFERROR(__xludf.DUMMYFUNCTION("GOOGLETRANSLATE(A7864,""bn"",""en"")"),"Doesn't feel like it's recycled plastic with some issues")</f>
        <v>Doesn't feel like it's recycled plastic with some issues</v>
      </c>
    </row>
    <row r="7865" spans="1:3" ht="15.75" customHeight="1" x14ac:dyDescent="0.25">
      <c r="A7865" s="2" t="s">
        <v>7867</v>
      </c>
      <c r="B7865" s="3" t="s">
        <v>6</v>
      </c>
      <c r="C7865" s="2" t="str">
        <f ca="1">IFERROR(__xludf.DUMMYFUNCTION("GOOGLETRANSLATE(A7865,""bn"",""en"")"),"Highlighter emphasizes skin texture rather than providing a smooth glowing glow")</f>
        <v>Highlighter emphasizes skin texture rather than providing a smooth glowing glow</v>
      </c>
    </row>
    <row r="7866" spans="1:3" ht="15.75" customHeight="1" x14ac:dyDescent="0.25">
      <c r="A7866" s="2" t="s">
        <v>7868</v>
      </c>
      <c r="B7866" s="3" t="s">
        <v>6</v>
      </c>
      <c r="C7866" s="2" t="str">
        <f ca="1">IFERROR(__xludf.DUMMYFUNCTION("GOOGLETRANSLATE(A7866,""bn"",""en"")"),"  The fabric feels heavy and cumbersome, weighing down the wearer and causing discomfort")</f>
        <v xml:space="preserve">  The fabric feels heavy and cumbersome, weighing down the wearer and causing discomfort</v>
      </c>
    </row>
    <row r="7867" spans="1:3" ht="15.75" customHeight="1" x14ac:dyDescent="0.25">
      <c r="A7867" s="2" t="s">
        <v>7869</v>
      </c>
      <c r="B7867" s="3" t="s">
        <v>6</v>
      </c>
      <c r="C7867" s="2" t="str">
        <f ca="1">IFERROR(__xludf.DUMMYFUNCTION("GOOGLETRANSLATE(A7867,""bn"",""en"")"),"Hard-to-clean corners trap food residue and mold")</f>
        <v>Hard-to-clean corners trap food residue and mold</v>
      </c>
    </row>
    <row r="7868" spans="1:3" ht="15.75" customHeight="1" x14ac:dyDescent="0.25">
      <c r="A7868" s="2" t="s">
        <v>7870</v>
      </c>
      <c r="B7868" s="3" t="s">
        <v>6</v>
      </c>
      <c r="C7868" s="2" t="str">
        <f ca="1">IFERROR(__xludf.DUMMYFUNCTION("GOOGLETRANSLATE(A7868,""bn"",""en"")"),"The shoulder straps are not adjustable making it uncomfortable to wear for different types")</f>
        <v>The shoulder straps are not adjustable making it uncomfortable to wear for different types</v>
      </c>
    </row>
    <row r="7869" spans="1:3" ht="15.75" customHeight="1" x14ac:dyDescent="0.25">
      <c r="A7869" s="2" t="s">
        <v>7871</v>
      </c>
      <c r="B7869" s="3" t="s">
        <v>6</v>
      </c>
      <c r="C7869" s="2" t="str">
        <f ca="1">IFERROR(__xludf.DUMMYFUNCTION("GOOGLETRANSLATE(A7869,""bn"",""en"")"),"  The cream was very expensive for its poor quality")</f>
        <v xml:space="preserve">  The cream was very expensive for its poor quality</v>
      </c>
    </row>
    <row r="7870" spans="1:3" ht="15.75" customHeight="1" x14ac:dyDescent="0.25">
      <c r="A7870" s="2" t="s">
        <v>7872</v>
      </c>
      <c r="B7870" s="3" t="s">
        <v>4</v>
      </c>
      <c r="C7870" s="2" t="str">
        <f ca="1">IFERROR(__xludf.DUMMYFUNCTION("GOOGLETRANSLATE(A7870,""bn"",""en"")"),"Its build quality is also quite good")</f>
        <v>Its build quality is also quite good</v>
      </c>
    </row>
    <row r="7871" spans="1:3" ht="15.75" customHeight="1" x14ac:dyDescent="0.25">
      <c r="A7871" s="2" t="s">
        <v>7873</v>
      </c>
      <c r="B7871" s="3" t="s">
        <v>2</v>
      </c>
      <c r="C7871" s="2" t="str">
        <f ca="1">IFERROR(__xludf.DUMMYFUNCTION("GOOGLETRANSLATE(A7871,""bn"",""en"")"),"Used for quilting but the standard is somewhat generic")</f>
        <v>Used for quilting but the standard is somewhat generic</v>
      </c>
    </row>
    <row r="7872" spans="1:3" ht="15.75" customHeight="1" x14ac:dyDescent="0.25">
      <c r="A7872" s="2" t="s">
        <v>7874</v>
      </c>
      <c r="B7872" s="3" t="s">
        <v>4</v>
      </c>
      <c r="C7872" s="2" t="str">
        <f ca="1">IFERROR(__xludf.DUMMYFUNCTION("GOOGLETRANSLATE(A7872,""bn"",""en"")"),"The color matches all outfits")</f>
        <v>The color matches all outfits</v>
      </c>
    </row>
    <row r="7873" spans="1:3" ht="15.75" customHeight="1" x14ac:dyDescent="0.25">
      <c r="A7873" s="2" t="s">
        <v>7875</v>
      </c>
      <c r="B7873" s="3" t="s">
        <v>6</v>
      </c>
      <c r="C7873" s="2" t="str">
        <f ca="1">IFERROR(__xludf.DUMMYFUNCTION("GOOGLETRANSLATE(A7873,""bn"",""en"")")," The earpieces cause pressure and discomfort during prolonged wear, which is uncomfortable for users with small ears")</f>
        <v xml:space="preserve"> The earpieces cause pressure and discomfort during prolonged wear, which is uncomfortable for users with small ears</v>
      </c>
    </row>
    <row r="7874" spans="1:3" ht="15.75" customHeight="1" x14ac:dyDescent="0.25">
      <c r="A7874" s="2" t="s">
        <v>7876</v>
      </c>
      <c r="B7874" s="3" t="s">
        <v>4</v>
      </c>
      <c r="C7874" s="2" t="str">
        <f ca="1">IFERROR(__xludf.DUMMYFUNCTION("GOOGLETRANSLATE(A7874,""bn"",""en"")"),"The doll clothes are very cute and easy to open which makes my daughter happy")</f>
        <v>The doll clothes are very cute and easy to open which makes my daughter happy</v>
      </c>
    </row>
    <row r="7875" spans="1:3" ht="15.75" customHeight="1" x14ac:dyDescent="0.25">
      <c r="A7875" s="2" t="s">
        <v>7877</v>
      </c>
      <c r="B7875" s="3" t="s">
        <v>2</v>
      </c>
      <c r="C7875" s="2" t="str">
        <f ca="1">IFERROR(__xludf.DUMMYFUNCTION("GOOGLETRANSLATE(A7875,""bn"",""en"")"),"Usable but no extra features")</f>
        <v>Usable but no extra features</v>
      </c>
    </row>
    <row r="7876" spans="1:3" ht="15.75" customHeight="1" x14ac:dyDescent="0.25">
      <c r="A7876" s="2" t="s">
        <v>7878</v>
      </c>
      <c r="B7876" s="3" t="s">
        <v>4</v>
      </c>
      <c r="C7876" s="2" t="str">
        <f ca="1">IFERROR(__xludf.DUMMYFUNCTION("GOOGLETRANSLATE(A7876,""bn"",""en"")"),"Connected is very fast thanks")</f>
        <v>Connected is very fast thanks</v>
      </c>
    </row>
    <row r="7877" spans="1:3" ht="15.75" customHeight="1" x14ac:dyDescent="0.25">
      <c r="A7877" s="2" t="s">
        <v>7879</v>
      </c>
      <c r="B7877" s="3" t="s">
        <v>2</v>
      </c>
      <c r="C7877" s="2" t="str">
        <f ca="1">IFERROR(__xludf.DUMMYFUNCTION("GOOGLETRANSLATE(A7877,""bn"",""en"")"),"The smell was bearable")</f>
        <v>The smell was bearable</v>
      </c>
    </row>
    <row r="7878" spans="1:3" ht="15.75" customHeight="1" x14ac:dyDescent="0.25">
      <c r="A7878" s="2" t="s">
        <v>7880</v>
      </c>
      <c r="B7878" s="3" t="s">
        <v>4</v>
      </c>
      <c r="C7878" s="2" t="str">
        <f ca="1">IFERROR(__xludf.DUMMYFUNCTION("GOOGLETRANSLATE(A7878,""bn"",""en"")"),"This bottle is very easy to use and has become very important in my daily life")</f>
        <v>This bottle is very easy to use and has become very important in my daily life</v>
      </c>
    </row>
    <row r="7879" spans="1:3" ht="15.75" customHeight="1" x14ac:dyDescent="0.25">
      <c r="A7879" s="2" t="s">
        <v>7881</v>
      </c>
      <c r="B7879" s="3" t="s">
        <v>2</v>
      </c>
      <c r="C7879" s="2" t="str">
        <f ca="1">IFERROR(__xludf.DUMMYFUNCTION("GOOGLETRANSLATE(A7879,""bn"",""en"")"),"The brush rains feel soft")</f>
        <v>The brush rains feel soft</v>
      </c>
    </row>
    <row r="7880" spans="1:3" ht="15.75" customHeight="1" x14ac:dyDescent="0.25">
      <c r="A7880" s="2" t="s">
        <v>7882</v>
      </c>
      <c r="B7880" s="3" t="s">
        <v>4</v>
      </c>
      <c r="C7880" s="2" t="str">
        <f ca="1">IFERROR(__xludf.DUMMYFUNCTION("GOOGLETRANSLATE(A7880,""bn"",""en"")"),"The shampoo added shine to the hair")</f>
        <v>The shampoo added shine to the hair</v>
      </c>
    </row>
    <row r="7881" spans="1:3" ht="15.75" customHeight="1" x14ac:dyDescent="0.25">
      <c r="A7881" s="2" t="s">
        <v>7883</v>
      </c>
      <c r="B7881" s="3" t="s">
        <v>6</v>
      </c>
      <c r="C7881" s="2" t="str">
        <f ca="1">IFERROR(__xludf.DUMMYFUNCTION("GOOGLETRANSLATE(A7881,""bn"",""en"")"),"The tea leaves were very old and lacked the freshness and vibrancy of quality tea")</f>
        <v>The tea leaves were very old and lacked the freshness and vibrancy of quality tea</v>
      </c>
    </row>
    <row r="7882" spans="1:3" ht="15.75" customHeight="1" x14ac:dyDescent="0.25">
      <c r="A7882" s="2" t="s">
        <v>7884</v>
      </c>
      <c r="B7882" s="3" t="s">
        <v>4</v>
      </c>
      <c r="C7882" s="2" t="str">
        <f ca="1">IFERROR(__xludf.DUMMYFUNCTION("GOOGLETRANSLATE(A7882,""bn"",""en"")"),"Strong magnet")</f>
        <v>Strong magnet</v>
      </c>
    </row>
    <row r="7883" spans="1:3" ht="15.75" customHeight="1" x14ac:dyDescent="0.25">
      <c r="A7883" s="2" t="s">
        <v>7885</v>
      </c>
      <c r="B7883" s="3" t="s">
        <v>2</v>
      </c>
      <c r="C7883" s="2" t="str">
        <f ca="1">IFERROR(__xludf.DUMMYFUNCTION("GOOGLETRANSLATE(A7883,""bn"",""en"")"),"Rubber pencils can be somewhat useful for sharpening ")</f>
        <v xml:space="preserve">Rubber pencils can be somewhat useful for sharpening </v>
      </c>
    </row>
    <row r="7884" spans="1:3" ht="15.75" customHeight="1" x14ac:dyDescent="0.25">
      <c r="A7884" s="2" t="s">
        <v>7886</v>
      </c>
      <c r="B7884" s="3" t="s">
        <v>6</v>
      </c>
      <c r="C7884" s="2" t="str">
        <f ca="1">IFERROR(__xludf.DUMMYFUNCTION("GOOGLETRANSLATE(A7884,""bn"",""en"")"),"Rust developed inside contaminated water")</f>
        <v>Rust developed inside contaminated water</v>
      </c>
    </row>
    <row r="7885" spans="1:3" ht="15.75" customHeight="1" x14ac:dyDescent="0.25">
      <c r="A7885" s="2" t="s">
        <v>7887</v>
      </c>
      <c r="B7885" s="3" t="s">
        <v>6</v>
      </c>
      <c r="C7885" s="2" t="str">
        <f ca="1">IFERROR(__xludf.DUMMYFUNCTION("GOOGLETRANSLATE(A7885,""bn"",""en"")"),"The exterior surface is easily scratched and detracts from its appearance")</f>
        <v>The exterior surface is easily scratched and detracts from its appearance</v>
      </c>
    </row>
    <row r="7886" spans="1:3" ht="15.75" customHeight="1" x14ac:dyDescent="0.25">
      <c r="A7886" s="2" t="s">
        <v>7888</v>
      </c>
      <c r="B7886" s="3" t="s">
        <v>2</v>
      </c>
      <c r="C7886" s="2" t="str">
        <f ca="1">IFERROR(__xludf.DUMMYFUNCTION("GOOGLETRANSLATE(A7886,""bn"",""en"")"),"There are different animal shapes but not very realistic")</f>
        <v>There are different animal shapes but not very realistic</v>
      </c>
    </row>
    <row r="7887" spans="1:3" ht="15.75" customHeight="1" x14ac:dyDescent="0.25">
      <c r="A7887" s="2" t="s">
        <v>7889</v>
      </c>
      <c r="B7887" s="3" t="s">
        <v>6</v>
      </c>
      <c r="C7887" s="2" t="str">
        <f ca="1">IFERROR(__xludf.DUMMYFUNCTION("GOOGLETRANSLATE(A7887,""bn"",""en"")")," The auto-rotate feature is erratic and sometimes the screen rotates incorrectly or fails to rotate at all")</f>
        <v xml:space="preserve"> The auto-rotate feature is erratic and sometimes the screen rotates incorrectly or fails to rotate at all</v>
      </c>
    </row>
    <row r="7888" spans="1:3" ht="15.75" customHeight="1" x14ac:dyDescent="0.25">
      <c r="A7888" s="2" t="s">
        <v>7890</v>
      </c>
      <c r="B7888" s="3" t="s">
        <v>4</v>
      </c>
      <c r="C7888" s="2" t="str">
        <f ca="1">IFERROR(__xludf.DUMMYFUNCTION("GOOGLETRANSLATE(A7888,""bn"",""en"")"),"Sleeping with this blanket is really pleasant")</f>
        <v>Sleeping with this blanket is really pleasant</v>
      </c>
    </row>
    <row r="7889" spans="1:3" ht="15.75" customHeight="1" x14ac:dyDescent="0.25">
      <c r="A7889" s="2" t="s">
        <v>7891</v>
      </c>
      <c r="B7889" s="3" t="s">
        <v>2</v>
      </c>
      <c r="C7889" s="2" t="str">
        <f ca="1">IFERROR(__xludf.DUMMYFUNCTION("GOOGLETRANSLATE(A7889,""bn"",""en"")"),"Good for the soil but the yield of fertilizer is slightly reduced")</f>
        <v>Good for the soil but the yield of fertilizer is slightly reduced</v>
      </c>
    </row>
    <row r="7890" spans="1:3" ht="15.75" customHeight="1" x14ac:dyDescent="0.25">
      <c r="A7890" s="2" t="s">
        <v>7892</v>
      </c>
      <c r="B7890" s="3" t="s">
        <v>2</v>
      </c>
      <c r="C7890" s="2" t="str">
        <f ca="1">IFERROR(__xludf.DUMMYFUNCTION("GOOGLETRANSLATE(A7890,""bn"",""en"")"),"Some pieces are less durable and less expensive")</f>
        <v>Some pieces are less durable and less expensive</v>
      </c>
    </row>
    <row r="7891" spans="1:3" ht="15.75" customHeight="1" x14ac:dyDescent="0.25">
      <c r="A7891" s="2" t="s">
        <v>7893</v>
      </c>
      <c r="B7891" s="3" t="s">
        <v>6</v>
      </c>
      <c r="C7891" s="2" t="str">
        <f ca="1">IFERROR(__xludf.DUMMYFUNCTION("GOOGLETRANSLATE(A7891,""bn"",""en"")"),"The brushes were too soft and lacked precision")</f>
        <v>The brushes were too soft and lacked precision</v>
      </c>
    </row>
    <row r="7892" spans="1:3" ht="15.75" customHeight="1" x14ac:dyDescent="0.25">
      <c r="A7892" s="2" t="s">
        <v>7894</v>
      </c>
      <c r="B7892" s="3" t="s">
        <v>4</v>
      </c>
      <c r="C7892" s="2" t="str">
        <f ca="1">IFERROR(__xludf.DUMMYFUNCTION("GOOGLETRANSLATE(A7892,""bn"",""en"")"),"Made my room very comfortable")</f>
        <v>Made my room very comfortable</v>
      </c>
    </row>
    <row r="7893" spans="1:3" ht="15.75" customHeight="1" x14ac:dyDescent="0.25">
      <c r="A7893" s="2" t="s">
        <v>7895</v>
      </c>
      <c r="B7893" s="3" t="s">
        <v>6</v>
      </c>
      <c r="C7893" s="2" t="str">
        <f ca="1">IFERROR(__xludf.DUMMYFUNCTION("GOOGLETRANSLATE(A7893,""bn"",""en"")"),"Autofocus hunting is a common problem that results in missed shots and frustration")</f>
        <v>Autofocus hunting is a common problem that results in missed shots and frustration</v>
      </c>
    </row>
    <row r="7894" spans="1:3" ht="15.75" customHeight="1" x14ac:dyDescent="0.25">
      <c r="A7894" s="2" t="s">
        <v>7896</v>
      </c>
      <c r="B7894" s="3" t="s">
        <v>6</v>
      </c>
      <c r="C7894" s="2" t="str">
        <f ca="1">IFERROR(__xludf.DUMMYFUNCTION("GOOGLETRANSLATE(A7894,""bn"",""en"")"),"The coffee was very acidic causing stomach upset")</f>
        <v>The coffee was very acidic causing stomach upset</v>
      </c>
    </row>
    <row r="7895" spans="1:3" ht="15.75" customHeight="1" x14ac:dyDescent="0.25">
      <c r="A7895" s="2" t="s">
        <v>7897</v>
      </c>
      <c r="B7895" s="3" t="s">
        <v>6</v>
      </c>
      <c r="C7895" s="2" t="str">
        <f ca="1">IFERROR(__xludf.DUMMYFUNCTION("GOOGLETRANSLATE(A7895,""bn"",""en"")"),"Smartwatch batteries drain quickly and require frequent recharging")</f>
        <v>Smartwatch batteries drain quickly and require frequent recharging</v>
      </c>
    </row>
    <row r="7896" spans="1:3" ht="15.75" customHeight="1" x14ac:dyDescent="0.25">
      <c r="A7896" s="2" t="s">
        <v>7898</v>
      </c>
      <c r="B7896" s="3" t="s">
        <v>6</v>
      </c>
      <c r="C7896" s="2" t="str">
        <f ca="1">IFERROR(__xludf.DUMMYFUNCTION("GOOGLETRANSLATE(A7896,""bn"",""en"")"),"Cheap thin fabric that wrinkles easily and lacks durability")</f>
        <v>Cheap thin fabric that wrinkles easily and lacks durability</v>
      </c>
    </row>
    <row r="7897" spans="1:3" ht="15.75" customHeight="1" x14ac:dyDescent="0.25">
      <c r="A7897" s="2" t="s">
        <v>7899</v>
      </c>
      <c r="B7897" s="3" t="s">
        <v>2</v>
      </c>
      <c r="C7897" s="2" t="str">
        <f ca="1">IFERROR(__xludf.DUMMYFUNCTION("GOOGLETRANSLATE(A7897,""bn"",""en"")"),"I find it gross")</f>
        <v>I find it gross</v>
      </c>
    </row>
    <row r="7898" spans="1:3" ht="15.75" customHeight="1" x14ac:dyDescent="0.25">
      <c r="A7898" s="2" t="s">
        <v>7900</v>
      </c>
      <c r="B7898" s="3" t="s">
        <v>4</v>
      </c>
      <c r="C7898" s="2" t="str">
        <f ca="1">IFERROR(__xludf.DUMMYFUNCTION("GOOGLETRANSLATE(A7898,""bn"",""en"")"),"Very advanced very beautiful")</f>
        <v>Very advanced very beautiful</v>
      </c>
    </row>
    <row r="7899" spans="1:3" ht="15.75" customHeight="1" x14ac:dyDescent="0.25">
      <c r="A7899" s="2" t="s">
        <v>7901</v>
      </c>
      <c r="B7899" s="3" t="s">
        <v>2</v>
      </c>
      <c r="C7899" s="2" t="str">
        <f ca="1">IFERROR(__xludf.DUMMYFUNCTION("GOOGLETRANSLATE(A7899,""bn"",""en"")"),"Spoons and forks have narrow handles that can be difficult to grip")</f>
        <v>Spoons and forks have narrow handles that can be difficult to grip</v>
      </c>
    </row>
    <row r="7900" spans="1:3" ht="15.75" customHeight="1" x14ac:dyDescent="0.25">
      <c r="A7900" s="2" t="s">
        <v>7902</v>
      </c>
      <c r="B7900" s="3" t="s">
        <v>6</v>
      </c>
      <c r="C7900" s="2" t="str">
        <f ca="1">IFERROR(__xludf.DUMMYFUNCTION("GOOGLETRANSLATE(A7900,""bn"",""en"")"),"Definitely moderate")</f>
        <v>Definitely moderate</v>
      </c>
    </row>
    <row r="7901" spans="1:3" ht="15.75" customHeight="1" x14ac:dyDescent="0.25">
      <c r="A7901" s="2" t="s">
        <v>7903</v>
      </c>
      <c r="B7901" s="3" t="s">
        <v>4</v>
      </c>
      <c r="C7901" s="2" t="str">
        <f ca="1">IFERROR(__xludf.DUMMYFUNCTION("GOOGLETRANSLATE(A7901,""bn"",""en"")"),"Combination of classic and modern style")</f>
        <v>Combination of classic and modern style</v>
      </c>
    </row>
    <row r="7902" spans="1:3" ht="15.75" customHeight="1" x14ac:dyDescent="0.25">
      <c r="A7902" s="2" t="s">
        <v>7904</v>
      </c>
      <c r="B7902" s="3" t="s">
        <v>4</v>
      </c>
      <c r="C7902" s="2" t="str">
        <f ca="1">IFERROR(__xludf.DUMMYFUNCTION("GOOGLETRANSLATE(A7902,""bn"",""en"")"),"The cover is very nice and clean matching I got the best quality cover at this price thanks Daraz")</f>
        <v>The cover is very nice and clean matching I got the best quality cover at this price thanks Daraz</v>
      </c>
    </row>
    <row r="7903" spans="1:3" ht="15.75" customHeight="1" x14ac:dyDescent="0.25">
      <c r="A7903" s="2" t="s">
        <v>7905</v>
      </c>
      <c r="B7903" s="3" t="s">
        <v>2</v>
      </c>
      <c r="C7903" s="2" t="str">
        <f ca="1">IFERROR(__xludf.DUMMYFUNCTION("GOOGLETRANSLATE(A7903,""bn"",""en"")"),"Overall ok but fabric is a bit stiff")</f>
        <v>Overall ok but fabric is a bit stiff</v>
      </c>
    </row>
    <row r="7904" spans="1:3" ht="15.75" customHeight="1" x14ac:dyDescent="0.25">
      <c r="A7904" s="2" t="s">
        <v>7906</v>
      </c>
      <c r="B7904" s="3" t="s">
        <v>4</v>
      </c>
      <c r="C7904" s="2" t="str">
        <f ca="1">IFERROR(__xludf.DUMMYFUNCTION("GOOGLETRANSLATE(A7904,""bn"",""en"")"),"Enough for what was needed")</f>
        <v>Enough for what was needed</v>
      </c>
    </row>
    <row r="7905" spans="1:3" ht="15.75" customHeight="1" x14ac:dyDescent="0.25">
      <c r="A7905" s="2" t="s">
        <v>7907</v>
      </c>
      <c r="B7905" s="3" t="s">
        <v>2</v>
      </c>
      <c r="C7905" s="2" t="str">
        <f ca="1">IFERROR(__xludf.DUMMYFUNCTION("GOOGLETRANSLATE(A7905,""bn"",""en"")"),"Portable but the handle could have been sturdier")</f>
        <v>Portable but the handle could have been sturdier</v>
      </c>
    </row>
    <row r="7906" spans="1:3" ht="15.75" customHeight="1" x14ac:dyDescent="0.25">
      <c r="A7906" s="2" t="s">
        <v>7908</v>
      </c>
      <c r="B7906" s="3" t="s">
        <v>6</v>
      </c>
      <c r="C7906" s="2" t="str">
        <f ca="1">IFERROR(__xludf.DUMMYFUNCTION("GOOGLETRANSLATE(A7906,""bn"",""en"")"),"Disappointed with the lack of attention to detail in the packaging")</f>
        <v>Disappointed with the lack of attention to detail in the packaging</v>
      </c>
    </row>
    <row r="7907" spans="1:3" ht="15.75" customHeight="1" x14ac:dyDescent="0.25">
      <c r="A7907" s="2" t="s">
        <v>7909</v>
      </c>
      <c r="B7907" s="3" t="s">
        <v>6</v>
      </c>
      <c r="C7907" s="2" t="str">
        <f ca="1">IFERROR(__xludf.DUMMYFUNCTION("GOOGLETRANSLATE(A7907,""bn"",""en"")"),"The bottled sauce was overly sweet and lacked the complexity of homemade flavors")</f>
        <v>The bottled sauce was overly sweet and lacked the complexity of homemade flavors</v>
      </c>
    </row>
    <row r="7908" spans="1:3" ht="15.75" customHeight="1" x14ac:dyDescent="0.25">
      <c r="A7908" s="2" t="s">
        <v>7910</v>
      </c>
      <c r="B7908" s="3" t="s">
        <v>4</v>
      </c>
      <c r="C7908" s="2" t="str">
        <f ca="1">IFERROR(__xludf.DUMMYFUNCTION("GOOGLETRANSLATE(A7908,""bn"",""en"")"),"Enhances the beauty of other furniture in the room")</f>
        <v>Enhances the beauty of other furniture in the room</v>
      </c>
    </row>
    <row r="7909" spans="1:3" ht="15.75" customHeight="1" x14ac:dyDescent="0.25">
      <c r="A7909" s="2" t="s">
        <v>7911</v>
      </c>
      <c r="B7909" s="3" t="s">
        <v>4</v>
      </c>
      <c r="C7909" s="2" t="str">
        <f ca="1">IFERROR(__xludf.DUMMYFUNCTION("GOOGLETRANSLATE(A7909,""bn"",""en"")"),"It is very standard and popular")</f>
        <v>It is very standard and popular</v>
      </c>
    </row>
    <row r="7910" spans="1:3" ht="15.75" customHeight="1" x14ac:dyDescent="0.25">
      <c r="A7910" s="2" t="s">
        <v>7912</v>
      </c>
      <c r="B7910" s="3" t="s">
        <v>2</v>
      </c>
      <c r="C7910" s="2" t="str">
        <f ca="1">IFERROR(__xludf.DUMMYFUNCTION("GOOGLETRANSLATE(A7910,""bn"",""en"")"),"The quality is consistent with the price but not high quality")</f>
        <v>The quality is consistent with the price but not high quality</v>
      </c>
    </row>
    <row r="7911" spans="1:3" ht="15.75" customHeight="1" x14ac:dyDescent="0.25">
      <c r="A7911" s="2" t="s">
        <v>7913</v>
      </c>
      <c r="B7911" s="3" t="s">
        <v>4</v>
      </c>
      <c r="C7911" s="2" t="str">
        <f ca="1">IFERROR(__xludf.DUMMYFUNCTION("GOOGLETRANSLATE(A7911,""bn"",""en"")"),"Matching stools are provided with the dressing table")</f>
        <v>Matching stools are provided with the dressing table</v>
      </c>
    </row>
    <row r="7912" spans="1:3" ht="15.75" customHeight="1" x14ac:dyDescent="0.25">
      <c r="A7912" s="2" t="s">
        <v>7914</v>
      </c>
      <c r="B7912" s="3" t="s">
        <v>4</v>
      </c>
      <c r="C7912" s="2" t="str">
        <f ca="1">IFERROR(__xludf.DUMMYFUNCTION("GOOGLETRANSLATE(A7912,""bn"",""en"")"),"This cooler met my expectations")</f>
        <v>This cooler met my expectations</v>
      </c>
    </row>
    <row r="7913" spans="1:3" ht="15.75" customHeight="1" x14ac:dyDescent="0.25">
      <c r="A7913" s="2" t="s">
        <v>7915</v>
      </c>
      <c r="B7913" s="3" t="s">
        <v>2</v>
      </c>
      <c r="C7913" s="2" t="str">
        <f ca="1">IFERROR(__xludf.DUMMYFUNCTION("GOOGLETRANSLATE(A7913,""bn"",""en"")"),"Somewhat easier to use")</f>
        <v>Somewhat easier to use</v>
      </c>
    </row>
    <row r="7914" spans="1:3" ht="15.75" customHeight="1" x14ac:dyDescent="0.25">
      <c r="A7914" s="2" t="s">
        <v>7916</v>
      </c>
      <c r="B7914" s="3" t="s">
        <v>4</v>
      </c>
      <c r="C7914" s="2" t="str">
        <f ca="1">IFERROR(__xludf.DUMMYFUNCTION("GOOGLETRANSLATE(A7914,""bn"",""en"")"),"Very satisfied")</f>
        <v>Very satisfied</v>
      </c>
    </row>
    <row r="7915" spans="1:3" ht="15.75" customHeight="1" x14ac:dyDescent="0.25">
      <c r="A7915" s="2" t="s">
        <v>7917</v>
      </c>
      <c r="B7915" s="3" t="s">
        <v>2</v>
      </c>
      <c r="C7915" s="2" t="str">
        <f ca="1">IFERROR(__xludf.DUMMYFUNCTION("GOOGLETRANSLATE(A7915,""bn"",""en"")"),"It is plastic body")</f>
        <v>It is plastic body</v>
      </c>
    </row>
    <row r="7916" spans="1:3" ht="15.75" customHeight="1" x14ac:dyDescent="0.25">
      <c r="A7916" s="2" t="s">
        <v>7918</v>
      </c>
      <c r="B7916" s="3" t="s">
        <v>6</v>
      </c>
      <c r="C7916" s="2" t="str">
        <f ca="1">IFERROR(__xludf.DUMMYFUNCTION("GOOGLETRANSLATE(A7916,""bn"",""en"")")," The stand required assembly but the included instructions were vague and incomplete")</f>
        <v xml:space="preserve"> The stand required assembly but the included instructions were vague and incomplete</v>
      </c>
    </row>
    <row r="7917" spans="1:3" ht="15.75" customHeight="1" x14ac:dyDescent="0.25">
      <c r="A7917" s="2" t="s">
        <v>7919</v>
      </c>
      <c r="B7917" s="3" t="s">
        <v>4</v>
      </c>
      <c r="C7917" s="2" t="str">
        <f ca="1">IFERROR(__xludf.DUMMYFUNCTION("GOOGLETRANSLATE(A7917,""bn"",""en"")"),"The video playback performance of the mobile is very smooth")</f>
        <v>The video playback performance of the mobile is very smooth</v>
      </c>
    </row>
    <row r="7918" spans="1:3" ht="15.75" customHeight="1" x14ac:dyDescent="0.25">
      <c r="A7918" s="2" t="s">
        <v>7920</v>
      </c>
      <c r="B7918" s="3" t="s">
        <v>4</v>
      </c>
      <c r="C7918" s="2" t="str">
        <f ca="1">IFERROR(__xludf.DUMMYFUNCTION("GOOGLETRANSLATE(A7918,""bn"",""en"")"),"Cell phone holders are great")</f>
        <v>Cell phone holders are great</v>
      </c>
    </row>
    <row r="7919" spans="1:3" ht="15.75" customHeight="1" x14ac:dyDescent="0.25">
      <c r="A7919" s="2" t="s">
        <v>7921</v>
      </c>
      <c r="B7919" s="3" t="s">
        <v>2</v>
      </c>
      <c r="C7919" s="2" t="str">
        <f ca="1">IFERROR(__xludf.DUMMYFUNCTION("GOOGLETRANSLATE(A7919,""bn"",""en"")"),"Cold press texture is not hot press")</f>
        <v>Cold press texture is not hot press</v>
      </c>
    </row>
    <row r="7920" spans="1:3" ht="15.75" customHeight="1" x14ac:dyDescent="0.25">
      <c r="A7920" s="2" t="s">
        <v>7922</v>
      </c>
      <c r="B7920" s="3" t="s">
        <v>2</v>
      </c>
      <c r="C7920" s="2" t="str">
        <f ca="1">IFERROR(__xludf.DUMMYFUNCTION("GOOGLETRANSLATE(A7920,""bn"",""en"")"),"Item may fade slightly after hand washing")</f>
        <v>Item may fade slightly after hand washing</v>
      </c>
    </row>
    <row r="7921" spans="1:3" ht="15.75" customHeight="1" x14ac:dyDescent="0.25">
      <c r="A7921" s="2" t="s">
        <v>7923</v>
      </c>
      <c r="B7921" s="3" t="s">
        <v>4</v>
      </c>
      <c r="C7921" s="2" t="str">
        <f ca="1">IFERROR(__xludf.DUMMYFUNCTION("GOOGLETRANSLATE(A7921,""bn"",""en"")"),"This body wash increases the blood circulation of the skin")</f>
        <v>This body wash increases the blood circulation of the skin</v>
      </c>
    </row>
    <row r="7922" spans="1:3" ht="15.75" customHeight="1" x14ac:dyDescent="0.25">
      <c r="A7922" s="2" t="s">
        <v>7924</v>
      </c>
      <c r="B7922" s="3" t="s">
        <v>2</v>
      </c>
      <c r="C7922" s="2" t="str">
        <f ca="1">IFERROR(__xludf.DUMMYFUNCTION("GOOGLETRANSLATE(A7922,""bn"",""en"")"),"Sticky notes are useful but the color doesn't last long")</f>
        <v>Sticky notes are useful but the color doesn't last long</v>
      </c>
    </row>
    <row r="7923" spans="1:3" ht="15.75" customHeight="1" x14ac:dyDescent="0.25">
      <c r="A7923" s="2" t="s">
        <v>7925</v>
      </c>
      <c r="B7923" s="3" t="s">
        <v>4</v>
      </c>
      <c r="C7923" s="2" t="str">
        <f ca="1">IFERROR(__xludf.DUMMYFUNCTION("GOOGLETRANSLATE(A7923,""bn"",""en"")"),"The comforter is long lasting")</f>
        <v>The comforter is long lasting</v>
      </c>
    </row>
    <row r="7924" spans="1:3" ht="15.75" customHeight="1" x14ac:dyDescent="0.25">
      <c r="A7924" s="2" t="s">
        <v>7926</v>
      </c>
      <c r="B7924" s="3" t="s">
        <v>2</v>
      </c>
      <c r="C7924" s="2" t="str">
        <f ca="1">IFERROR(__xludf.DUMMYFUNCTION("GOOGLETRANSLATE(A7924,""bn"",""en"")"),"Price to performance ratio is good but current is very wasteful")</f>
        <v>Price to performance ratio is good but current is very wasteful</v>
      </c>
    </row>
    <row r="7925" spans="1:3" ht="15.75" customHeight="1" x14ac:dyDescent="0.25">
      <c r="A7925" s="2" t="s">
        <v>7927</v>
      </c>
      <c r="B7925" s="3" t="s">
        <v>4</v>
      </c>
      <c r="C7925" s="2" t="str">
        <f ca="1">IFERROR(__xludf.DUMMYFUNCTION("GOOGLETRANSLATE(A7925,""bn"",""en"")"),"The quality of the tea seems to have been picked with special care")</f>
        <v>The quality of the tea seems to have been picked with special care</v>
      </c>
    </row>
    <row r="7926" spans="1:3" ht="15.75" customHeight="1" x14ac:dyDescent="0.25">
      <c r="A7926" s="2" t="s">
        <v>7928</v>
      </c>
      <c r="B7926" s="3" t="s">
        <v>2</v>
      </c>
      <c r="C7926" s="2" t="str">
        <f ca="1">IFERROR(__xludf.DUMMYFUNCTION("GOOGLETRANSLATE(A7926,""bn"",""en"")"),"Cool but not suitable for all uses")</f>
        <v>Cool but not suitable for all uses</v>
      </c>
    </row>
    <row r="7927" spans="1:3" ht="15.75" customHeight="1" x14ac:dyDescent="0.25">
      <c r="A7927" s="2" t="s">
        <v>7929</v>
      </c>
      <c r="B7927" s="3" t="s">
        <v>2</v>
      </c>
      <c r="C7927" s="2" t="str">
        <f ca="1">IFERROR(__xludf.DUMMYFUNCTION("GOOGLETRANSLATE(A7927,""bn"",""en"")"),"The woodworking sharpener works somewhat satisfactorily")</f>
        <v>The woodworking sharpener works somewhat satisfactorily</v>
      </c>
    </row>
    <row r="7928" spans="1:3" ht="15.75" customHeight="1" x14ac:dyDescent="0.25">
      <c r="A7928" s="2" t="s">
        <v>7930</v>
      </c>
      <c r="B7928" s="3" t="s">
        <v>6</v>
      </c>
      <c r="C7928" s="2" t="str">
        <f ca="1">IFERROR(__xludf.DUMMYFUNCTION("GOOGLETRANSLATE(A7928,""bn"",""en"")"),"The stitching on the backpack came undone causing the straps to come apart")</f>
        <v>The stitching on the backpack came undone causing the straps to come apart</v>
      </c>
    </row>
    <row r="7929" spans="1:3" ht="15.75" customHeight="1" x14ac:dyDescent="0.25">
      <c r="A7929" s="2" t="s">
        <v>7931</v>
      </c>
      <c r="B7929" s="3" t="s">
        <v>2</v>
      </c>
      <c r="C7929" s="2" t="str">
        <f ca="1">IFERROR(__xludf.DUMMYFUNCTION("GOOGLETRANSLATE(A7929,""bn"",""en"")"),"Had to file some edges")</f>
        <v>Had to file some edges</v>
      </c>
    </row>
    <row r="7930" spans="1:3" ht="15.75" customHeight="1" x14ac:dyDescent="0.25">
      <c r="A7930" s="2" t="s">
        <v>7932</v>
      </c>
      <c r="B7930" s="3" t="s">
        <v>6</v>
      </c>
      <c r="C7930" s="2" t="str">
        <f ca="1">IFERROR(__xludf.DUMMYFUNCTION("GOOGLETRANSLATE(A7930,""bn"",""en"")"),"The lip balm is very thick and waxy and sits on the lips without providing any real hydration")</f>
        <v>The lip balm is very thick and waxy and sits on the lips without providing any real hydration</v>
      </c>
    </row>
    <row r="7931" spans="1:3" ht="15.75" customHeight="1" x14ac:dyDescent="0.25">
      <c r="A7931" s="2" t="s">
        <v>7933</v>
      </c>
      <c r="B7931" s="3" t="s">
        <v>6</v>
      </c>
      <c r="C7931" s="2" t="str">
        <f ca="1">IFERROR(__xludf.DUMMYFUNCTION("GOOGLETRANSLATE(A7931,""bn"",""en"")"),"Smart water bottle leaky stuff")</f>
        <v>Smart water bottle leaky stuff</v>
      </c>
    </row>
    <row r="7932" spans="1:3" ht="15.75" customHeight="1" x14ac:dyDescent="0.25">
      <c r="A7932" s="2" t="s">
        <v>7934</v>
      </c>
      <c r="B7932" s="3" t="s">
        <v>4</v>
      </c>
      <c r="C7932" s="2" t="str">
        <f ca="1">IFERROR(__xludf.DUMMYFUNCTION("GOOGLETRANSLATE(A7932,""bn"",""en"")"),"Good product for carrying")</f>
        <v>Good product for carrying</v>
      </c>
    </row>
    <row r="7933" spans="1:3" ht="15.75" customHeight="1" x14ac:dyDescent="0.25">
      <c r="A7933" s="2" t="s">
        <v>7935</v>
      </c>
      <c r="B7933" s="3" t="s">
        <v>2</v>
      </c>
      <c r="C7933" s="2" t="str">
        <f ca="1">IFERROR(__xludf.DUMMYFUNCTION("GOOGLETRANSLATE(A7933,""bn"",""en"")"),"A fan is capable of increasing its efficiency")</f>
        <v>A fan is capable of increasing its efficiency</v>
      </c>
    </row>
    <row r="7934" spans="1:3" ht="15.75" customHeight="1" x14ac:dyDescent="0.25">
      <c r="A7934" s="2" t="s">
        <v>7936</v>
      </c>
      <c r="B7934" s="3" t="s">
        <v>4</v>
      </c>
      <c r="C7934" s="2" t="str">
        <f ca="1">IFERROR(__xludf.DUMMYFUNCTION("GOOGLETRANSLATE(A7934,""bn"",""en"")"),"This body wash reduces skin irritation")</f>
        <v>This body wash reduces skin irritation</v>
      </c>
    </row>
    <row r="7935" spans="1:3" ht="15.75" customHeight="1" x14ac:dyDescent="0.25">
      <c r="A7935" s="2" t="s">
        <v>7937</v>
      </c>
      <c r="B7935" s="3" t="s">
        <v>6</v>
      </c>
      <c r="C7935" s="2" t="str">
        <f ca="1">IFERROR(__xludf.DUMMYFUNCTION("GOOGLETRANSLATE(A7935,""bn"",""en"")"),"Body scrub grains are very large and abrasive, causing microtears in the skin.")</f>
        <v>Body scrub grains are very large and abrasive, causing microtears in the skin.</v>
      </c>
    </row>
    <row r="7936" spans="1:3" ht="15.75" customHeight="1" x14ac:dyDescent="0.25">
      <c r="A7936" s="2" t="s">
        <v>7938</v>
      </c>
      <c r="B7936" s="3" t="s">
        <v>6</v>
      </c>
      <c r="C7936" s="2" t="str">
        <f ca="1">IFERROR(__xludf.DUMMYFUNCTION("GOOGLETRANSLATE(A7936,""bn"",""en"")"),"The texturizing spray leaves my hair feeling sticky and lacking in matted volume")</f>
        <v>The texturizing spray leaves my hair feeling sticky and lacking in matted volume</v>
      </c>
    </row>
    <row r="7937" spans="1:3" ht="15.75" customHeight="1" x14ac:dyDescent="0.25">
      <c r="A7937" s="2" t="s">
        <v>7939</v>
      </c>
      <c r="B7937" s="3" t="s">
        <v>2</v>
      </c>
      <c r="C7937" s="2" t="str">
        <f ca="1">IFERROR(__xludf.DUMMYFUNCTION("GOOGLETRANSLATE(A7937,""bn"",""en"")"),"Not too bad and not too good")</f>
        <v>Not too bad and not too good</v>
      </c>
    </row>
    <row r="7938" spans="1:3" ht="15.75" customHeight="1" x14ac:dyDescent="0.25">
      <c r="A7938" s="2" t="s">
        <v>7940</v>
      </c>
      <c r="B7938" s="3" t="s">
        <v>4</v>
      </c>
      <c r="C7938" s="2" t="str">
        <f ca="1">IFERROR(__xludf.DUMMYFUNCTION("GOOGLETRANSLATE(A7938,""bn"",""en"")"),"The girl is always busy with her project work")</f>
        <v>The girl is always busy with her project work</v>
      </c>
    </row>
    <row r="7939" spans="1:3" ht="15.75" customHeight="1" x14ac:dyDescent="0.25">
      <c r="A7939" s="2" t="s">
        <v>7941</v>
      </c>
      <c r="B7939" s="3" t="s">
        <v>4</v>
      </c>
      <c r="C7939" s="2" t="str">
        <f ca="1">IFERROR(__xludf.DUMMYFUNCTION("GOOGLETRANSLATE(A7939,""bn"",""en"")"),"The brush is easy to clean which is essential for hygienic use")</f>
        <v>The brush is easy to clean which is essential for hygienic use</v>
      </c>
    </row>
    <row r="7940" spans="1:3" ht="15.75" customHeight="1" x14ac:dyDescent="0.25">
      <c r="A7940" s="2" t="s">
        <v>7942</v>
      </c>
      <c r="B7940" s="3" t="s">
        <v>4</v>
      </c>
      <c r="C7940" s="2" t="str">
        <f ca="1">IFERROR(__xludf.DUMMYFUNCTION("GOOGLETRANSLATE(A7940,""bn"",""en"")"),"Great value plus piece")</f>
        <v>Great value plus piece</v>
      </c>
    </row>
    <row r="7941" spans="1:3" ht="15.75" customHeight="1" x14ac:dyDescent="0.25">
      <c r="A7941" s="2" t="s">
        <v>7943</v>
      </c>
      <c r="B7941" s="3" t="s">
        <v>6</v>
      </c>
      <c r="C7941" s="2" t="str">
        <f ca="1">IFERROR(__xludf.DUMMYFUNCTION("GOOGLETRANSLATE(A7941,""bn"",""en"")"),"The watch strap has broken unexpectedly making the watch unwearable")</f>
        <v>The watch strap has broken unexpectedly making the watch unwearable</v>
      </c>
    </row>
    <row r="7942" spans="1:3" ht="15.75" customHeight="1" x14ac:dyDescent="0.25">
      <c r="A7942" s="2" t="s">
        <v>7944</v>
      </c>
      <c r="B7942" s="3" t="s">
        <v>6</v>
      </c>
      <c r="C7942" s="2" t="str">
        <f ca="1">IFERROR(__xludf.DUMMYFUNCTION("GOOGLETRANSLATE(A7942,""bn"",""en"")"),"Difficult to assemble or set up properly")</f>
        <v>Difficult to assemble or set up properly</v>
      </c>
    </row>
    <row r="7943" spans="1:3" ht="15.75" customHeight="1" x14ac:dyDescent="0.25">
      <c r="A7943" s="2" t="s">
        <v>7945</v>
      </c>
      <c r="B7943" s="3" t="s">
        <v>2</v>
      </c>
      <c r="C7943" s="2" t="str">
        <f ca="1">IFERROR(__xludf.DUMMYFUNCTION("GOOGLETRANSLATE(A7943,""bn"",""en"")"),"It can be used but has no special features")</f>
        <v>It can be used but has no special features</v>
      </c>
    </row>
    <row r="7944" spans="1:3" ht="15.75" customHeight="1" x14ac:dyDescent="0.25">
      <c r="A7944" s="2" t="s">
        <v>7946</v>
      </c>
      <c r="B7944" s="3" t="s">
        <v>4</v>
      </c>
      <c r="C7944" s="2" t="str">
        <f ca="1">IFERROR(__xludf.DUMMYFUNCTION("GOOGLETRANSLATE(A7944,""bn"",""en"")"),"My winter nights have become more pleasant after using it")</f>
        <v>My winter nights have become more pleasant after using it</v>
      </c>
    </row>
    <row r="7945" spans="1:3" ht="15.75" customHeight="1" x14ac:dyDescent="0.25">
      <c r="A7945" s="2" t="s">
        <v>7947</v>
      </c>
      <c r="B7945" s="3" t="s">
        <v>2</v>
      </c>
      <c r="C7945" s="2" t="str">
        <f ca="1">IFERROR(__xludf.DUMMYFUNCTION("GOOGLETRANSLATE(A7945,""bn"",""en"")"),"Pocket-sized voice recorders store audio although storage space is limited")</f>
        <v>Pocket-sized voice recorders store audio although storage space is limited</v>
      </c>
    </row>
    <row r="7946" spans="1:3" ht="15.75" customHeight="1" x14ac:dyDescent="0.25">
      <c r="A7946" s="2" t="s">
        <v>7948</v>
      </c>
      <c r="B7946" s="3" t="s">
        <v>4</v>
      </c>
      <c r="C7946" s="2" t="str">
        <f ca="1">IFERROR(__xludf.DUMMYFUNCTION("GOOGLETRANSLATE(A7946,""bn"",""en"")"),"This shampoo keeps hair moisturized")</f>
        <v>This shampoo keeps hair moisturized</v>
      </c>
    </row>
    <row r="7947" spans="1:3" ht="15.75" customHeight="1" x14ac:dyDescent="0.25">
      <c r="A7947" s="2" t="s">
        <v>7949</v>
      </c>
      <c r="B7947" s="3" t="s">
        <v>6</v>
      </c>
      <c r="C7947" s="2" t="str">
        <f ca="1">IFERROR(__xludf.DUMMYFUNCTION("GOOGLETRANSLATE(A7947,""bn"",""en"")"),"The handmade product had a unique charm but suffered from inconsistent quality with each piece significantly different from the next.")</f>
        <v>The handmade product had a unique charm but suffered from inconsistent quality with each piece significantly different from the next.</v>
      </c>
    </row>
    <row r="7948" spans="1:3" ht="15.75" customHeight="1" x14ac:dyDescent="0.25">
      <c r="A7948" s="2" t="s">
        <v>7950</v>
      </c>
      <c r="B7948" s="3" t="s">
        <v>6</v>
      </c>
      <c r="C7948" s="2" t="str">
        <f ca="1">IFERROR(__xludf.DUMMYFUNCTION("GOOGLETRANSLATE(A7948,""bn"",""en"")"),"Food processor blades dull quickly which compromises chopping efficiency")</f>
        <v>Food processor blades dull quickly which compromises chopping efficiency</v>
      </c>
    </row>
    <row r="7949" spans="1:3" ht="15.75" customHeight="1" x14ac:dyDescent="0.25">
      <c r="A7949" s="2" t="s">
        <v>7951</v>
      </c>
      <c r="B7949" s="3" t="s">
        <v>4</v>
      </c>
      <c r="C7949" s="2" t="str">
        <f ca="1">IFERROR(__xludf.DUMMYFUNCTION("GOOGLETRANSLATE(A7949,""bn"",""en"")"),"There are many biscuits in the packet which are good quantity for the price")</f>
        <v>There are many biscuits in the packet which are good quantity for the price</v>
      </c>
    </row>
    <row r="7950" spans="1:3" ht="15.75" customHeight="1" x14ac:dyDescent="0.25">
      <c r="A7950" s="2" t="s">
        <v>7952</v>
      </c>
      <c r="B7950" s="3" t="s">
        <v>6</v>
      </c>
      <c r="C7950" s="2" t="str">
        <f ca="1">IFERROR(__xludf.DUMMYFUNCTION("GOOGLETRANSLATE(A7950,""bn"",""en"")")," The power cord limits placement options in very small kitchens")</f>
        <v xml:space="preserve"> The power cord limits placement options in very small kitchens</v>
      </c>
    </row>
    <row r="7951" spans="1:3" ht="15.75" customHeight="1" x14ac:dyDescent="0.25">
      <c r="A7951" s="2" t="s">
        <v>7953</v>
      </c>
      <c r="B7951" s="3" t="s">
        <v>6</v>
      </c>
      <c r="C7951" s="2" t="str">
        <f ca="1">IFERROR(__xludf.DUMMYFUNCTION("GOOGLETRANSLATE(A7951,""bn"",""en"")"),"The bath oil bottle leaked during shipping damaging the other items in the package")</f>
        <v>The bath oil bottle leaked during shipping damaging the other items in the package</v>
      </c>
    </row>
    <row r="7952" spans="1:3" ht="15.75" customHeight="1" x14ac:dyDescent="0.25">
      <c r="A7952" s="2" t="s">
        <v>7954</v>
      </c>
      <c r="B7952" s="3" t="s">
        <v>4</v>
      </c>
      <c r="C7952" s="2" t="str">
        <f ca="1">IFERROR(__xludf.DUMMYFUNCTION("GOOGLETRANSLATE(A7952,""bn"",""en"")"),"A perfect blend of style comfort and sound is a five star delight")</f>
        <v>A perfect blend of style comfort and sound is a five star delight</v>
      </c>
    </row>
    <row r="7953" spans="1:3" ht="15.75" customHeight="1" x14ac:dyDescent="0.25">
      <c r="A7953" s="2" t="s">
        <v>7955</v>
      </c>
      <c r="B7953" s="3" t="s">
        <v>2</v>
      </c>
      <c r="C7953" s="2" t="str">
        <f ca="1">IFERROR(__xludf.DUMMYFUNCTION("GOOGLETRANSLATE(A7953,""bn"",""en"")"),"The digital fabric paint song paints the fabric but the nozzle stops")</f>
        <v>The digital fabric paint song paints the fabric but the nozzle stops</v>
      </c>
    </row>
    <row r="7954" spans="1:3" ht="15.75" customHeight="1" x14ac:dyDescent="0.25">
      <c r="A7954" s="2" t="s">
        <v>7956</v>
      </c>
      <c r="B7954" s="3" t="s">
        <v>2</v>
      </c>
      <c r="C7954" s="2" t="str">
        <f ca="1">IFERROR(__xludf.DUMMYFUNCTION("GOOGLETRANSLATE(A7954,""bn"",""en"")"),"The handle is designed in such a way that it can be easily removed")</f>
        <v>The handle is designed in such a way that it can be easily removed</v>
      </c>
    </row>
    <row r="7955" spans="1:3" ht="15.75" customHeight="1" x14ac:dyDescent="0.25">
      <c r="A7955" s="2" t="s">
        <v>7957</v>
      </c>
      <c r="B7955" s="3" t="s">
        <v>6</v>
      </c>
      <c r="C7955" s="2" t="str">
        <f ca="1">IFERROR(__xludf.DUMMYFUNCTION("GOOGLETRANSLATE(A7955,""bn"",""en"")"),"The canvas material had a strong chemical smell")</f>
        <v>The canvas material had a strong chemical smell</v>
      </c>
    </row>
    <row r="7956" spans="1:3" ht="15.75" customHeight="1" x14ac:dyDescent="0.25">
      <c r="A7956" s="2" t="s">
        <v>7958</v>
      </c>
      <c r="B7956" s="3" t="s">
        <v>4</v>
      </c>
      <c r="C7956" s="2" t="str">
        <f ca="1">IFERROR(__xludf.DUMMYFUNCTION("GOOGLETRANSLATE(A7956,""bn"",""en"")"),"This pencil is very suitable for daily use, it is long lasting and affordable")</f>
        <v>This pencil is very suitable for daily use, it is long lasting and affordable</v>
      </c>
    </row>
    <row r="7957" spans="1:3" ht="15.75" customHeight="1" x14ac:dyDescent="0.25">
      <c r="A7957" s="2" t="s">
        <v>7959</v>
      </c>
      <c r="B7957" s="3" t="s">
        <v>2</v>
      </c>
      <c r="C7957" s="2" t="str">
        <f ca="1">IFERROR(__xludf.DUMMYFUNCTION("GOOGLETRANSLATE(A7957,""bn"",""en"")"),"Works for the price but nothing fancy")</f>
        <v>Works for the price but nothing fancy</v>
      </c>
    </row>
    <row r="7958" spans="1:3" ht="15.75" customHeight="1" x14ac:dyDescent="0.25">
      <c r="A7958" s="2" t="s">
        <v>7960</v>
      </c>
      <c r="B7958" s="3" t="s">
        <v>4</v>
      </c>
      <c r="C7958" s="2" t="str">
        <f ca="1">IFERROR(__xludf.DUMMYFUNCTION("GOOGLETRANSLATE(A7958,""bn"",""en"")"),"The bookshelf is very easy to assemble")</f>
        <v>The bookshelf is very easy to assemble</v>
      </c>
    </row>
    <row r="7959" spans="1:3" ht="15.75" customHeight="1" x14ac:dyDescent="0.25">
      <c r="A7959" s="2" t="s">
        <v>7961</v>
      </c>
      <c r="B7959" s="3" t="s">
        <v>4</v>
      </c>
      <c r="C7959" s="2" t="str">
        <f ca="1">IFERROR(__xludf.DUMMYFUNCTION("GOOGLETRANSLATE(A7959,""bn"",""en"")"),"The canvas material had texture that affected paint absorption")</f>
        <v>The canvas material had texture that affected paint absorption</v>
      </c>
    </row>
    <row r="7960" spans="1:3" ht="15.75" customHeight="1" x14ac:dyDescent="0.25">
      <c r="A7960" s="2" t="s">
        <v>7962</v>
      </c>
      <c r="B7960" s="3" t="s">
        <v>2</v>
      </c>
      <c r="C7960" s="2" t="str">
        <f ca="1">IFERROR(__xludf.DUMMYFUNCTION("GOOGLETRANSLATE(A7960,""bn"",""en"")"),"It has to be changed every few hours")</f>
        <v>It has to be changed every few hours</v>
      </c>
    </row>
    <row r="7961" spans="1:3" ht="15.75" customHeight="1" x14ac:dyDescent="0.25">
      <c r="A7961" s="2" t="s">
        <v>7963</v>
      </c>
      <c r="B7961" s="3" t="s">
        <v>6</v>
      </c>
      <c r="C7961" s="2" t="str">
        <f ca="1">IFERROR(__xludf.DUMMYFUNCTION("GOOGLETRANSLATE(A7961,""bn"",""en"")"),"Not soft touch")</f>
        <v>Not soft touch</v>
      </c>
    </row>
    <row r="7962" spans="1:3" ht="15.75" customHeight="1" x14ac:dyDescent="0.25">
      <c r="A7962" s="2" t="s">
        <v>7964</v>
      </c>
      <c r="B7962" s="3" t="s">
        <v>2</v>
      </c>
      <c r="C7962" s="2" t="str">
        <f ca="1">IFERROR(__xludf.DUMMYFUNCTION("GOOGLETRANSLATE(A7962,""bn"",""en"")"),"It is a bit thin but could have been stronger")</f>
        <v>It is a bit thin but could have been stronger</v>
      </c>
    </row>
    <row r="7963" spans="1:3" ht="15.75" customHeight="1" x14ac:dyDescent="0.25">
      <c r="A7963" s="2" t="s">
        <v>7965</v>
      </c>
      <c r="B7963" s="3" t="s">
        <v>2</v>
      </c>
      <c r="C7963" s="2" t="str">
        <f ca="1">IFERROR(__xludf.DUMMYFUNCTION("GOOGLETRANSLATE(A7963,""bn"",""en"")"),"The design of the shoe is good but it slips while running")</f>
        <v>The design of the shoe is good but it slips while running</v>
      </c>
    </row>
    <row r="7964" spans="1:3" ht="15.75" customHeight="1" x14ac:dyDescent="0.25">
      <c r="A7964" s="2" t="s">
        <v>7966</v>
      </c>
      <c r="B7964" s="3" t="s">
        <v>4</v>
      </c>
      <c r="C7964" s="2" t="str">
        <f ca="1">IFERROR(__xludf.DUMMYFUNCTION("GOOGLETRANSLATE(A7964,""bn"",""en"")"),"The problem of hair fall is reduced a lot by using this shampoo")</f>
        <v>The problem of hair fall is reduced a lot by using this shampoo</v>
      </c>
    </row>
    <row r="7965" spans="1:3" ht="15.75" customHeight="1" x14ac:dyDescent="0.25">
      <c r="A7965" s="2" t="s">
        <v>7967</v>
      </c>
      <c r="B7965" s="3" t="s">
        <v>4</v>
      </c>
      <c r="C7965" s="2" t="str">
        <f ca="1">IFERROR(__xludf.DUMMYFUNCTION("GOOGLETRANSLATE(A7965,""bn"",""en"")"),"Healthy ingredients are used which is important to me")</f>
        <v>Healthy ingredients are used which is important to me</v>
      </c>
    </row>
    <row r="7966" spans="1:3" ht="15.75" customHeight="1" x14ac:dyDescent="0.25">
      <c r="A7966" s="2" t="s">
        <v>7968</v>
      </c>
      <c r="B7966" s="3" t="s">
        <v>2</v>
      </c>
      <c r="C7966" s="2" t="str">
        <f ca="1">IFERROR(__xludf.DUMMYFUNCTION("GOOGLETRANSLATE(A7966,""bn"",""en"")"),"Available in offline stores")</f>
        <v>Available in offline stores</v>
      </c>
    </row>
    <row r="7967" spans="1:3" ht="15.75" customHeight="1" x14ac:dyDescent="0.25">
      <c r="A7967" s="2" t="s">
        <v>7969</v>
      </c>
      <c r="B7967" s="3" t="s">
        <v>4</v>
      </c>
      <c r="C7967" s="2" t="str">
        <f ca="1">IFERROR(__xludf.DUMMYFUNCTION("GOOGLETRANSLATE(A7967,""bn"",""en"")"),"works")</f>
        <v>works</v>
      </c>
    </row>
    <row r="7968" spans="1:3" ht="15.75" customHeight="1" x14ac:dyDescent="0.25">
      <c r="A7968" s="2" t="s">
        <v>7970</v>
      </c>
      <c r="B7968" s="3" t="s">
        <v>2</v>
      </c>
      <c r="C7968" s="2" t="str">
        <f ca="1">IFERROR(__xludf.DUMMYFUNCTION("GOOGLETRANSLATE(A7968,""bn"",""en"")"),"The filter needs to be cleaned")</f>
        <v>The filter needs to be cleaned</v>
      </c>
    </row>
    <row r="7969" spans="1:3" ht="15.75" customHeight="1" x14ac:dyDescent="0.25">
      <c r="A7969" s="2" t="s">
        <v>7971</v>
      </c>
      <c r="B7969" s="3" t="s">
        <v>4</v>
      </c>
      <c r="C7969" s="2" t="str">
        <f ca="1">IFERROR(__xludf.DUMMYFUNCTION("GOOGLETRANSLATE(A7969,""bn"",""en"")"),"The quality is very good and easy to clean")</f>
        <v>The quality is very good and easy to clean</v>
      </c>
    </row>
    <row r="7970" spans="1:3" ht="15.75" customHeight="1" x14ac:dyDescent="0.25">
      <c r="A7970" s="2" t="s">
        <v>7972</v>
      </c>
      <c r="B7970" s="3" t="s">
        <v>4</v>
      </c>
      <c r="C7970" s="2" t="str">
        <f ca="1">IFERROR(__xludf.DUMMYFUNCTION("GOOGLETRANSLATE(A7970,""bn"",""en"")"),"I have gained a lot of new knowledge by reading the book")</f>
        <v>I have gained a lot of new knowledge by reading the book</v>
      </c>
    </row>
    <row r="7971" spans="1:3" ht="15.75" customHeight="1" x14ac:dyDescent="0.25">
      <c r="A7971" s="2" t="s">
        <v>7973</v>
      </c>
      <c r="B7971" s="3" t="s">
        <v>4</v>
      </c>
      <c r="C7971" s="2" t="str">
        <f ca="1">IFERROR(__xludf.DUMMYFUNCTION("GOOGLETRANSLATE(A7971,""bn"",""en"")"),"This flush works quickly and quietly")</f>
        <v>This flush works quickly and quietly</v>
      </c>
    </row>
    <row r="7972" spans="1:3" ht="15.75" customHeight="1" x14ac:dyDescent="0.25">
      <c r="A7972" s="2" t="s">
        <v>7974</v>
      </c>
      <c r="B7972" s="3" t="s">
        <v>6</v>
      </c>
      <c r="C7972" s="2" t="str">
        <f ca="1">IFERROR(__xludf.DUMMYFUNCTION("GOOGLETRANSLATE(A7972,""bn"",""en"")"),"The packaging was wasteful with excess plastic and unnecessary materials")</f>
        <v>The packaging was wasteful with excess plastic and unnecessary materials</v>
      </c>
    </row>
    <row r="7973" spans="1:3" ht="15.75" customHeight="1" x14ac:dyDescent="0.25">
      <c r="A7973" s="2" t="s">
        <v>7975</v>
      </c>
      <c r="B7973" s="3" t="s">
        <v>2</v>
      </c>
      <c r="C7973" s="2" t="str">
        <f ca="1">IFERROR(__xludf.DUMMYFUNCTION("GOOGLETRANSLATE(A7973,""bn"",""en"")"),"It can hang clothes but has problems with heavy clothes")</f>
        <v>It can hang clothes but has problems with heavy clothes</v>
      </c>
    </row>
    <row r="7974" spans="1:3" ht="15.75" customHeight="1" x14ac:dyDescent="0.25">
      <c r="A7974" s="2" t="s">
        <v>7976</v>
      </c>
      <c r="B7974" s="3" t="s">
        <v>2</v>
      </c>
      <c r="C7974" s="2" t="str">
        <f ca="1">IFERROR(__xludf.DUMMYFUNCTION("GOOGLETRANSLATE(A7974,""bn"",""en"")"),"Can be folded")</f>
        <v>Can be folded</v>
      </c>
    </row>
    <row r="7975" spans="1:3" ht="15.75" customHeight="1" x14ac:dyDescent="0.25">
      <c r="A7975" s="2" t="s">
        <v>7977</v>
      </c>
      <c r="B7975" s="3" t="s">
        <v>2</v>
      </c>
      <c r="C7975" s="2" t="str">
        <f ca="1">IFERROR(__xludf.DUMMYFUNCTION("GOOGLETRANSLATE(A7975,""bn"",""en"")"),"Sometimes the light doesn't turn on")</f>
        <v>Sometimes the light doesn't turn on</v>
      </c>
    </row>
    <row r="7976" spans="1:3" ht="15.75" customHeight="1" x14ac:dyDescent="0.25">
      <c r="A7976" s="2" t="s">
        <v>7978</v>
      </c>
      <c r="B7976" s="3" t="s">
        <v>4</v>
      </c>
      <c r="C7976" s="2" t="str">
        <f ca="1">IFERROR(__xludf.DUMMYFUNCTION("GOOGLETRANSLATE(A7976,""bn"",""en"")"),"It can be used on both wet and dry hair")</f>
        <v>It can be used on both wet and dry hair</v>
      </c>
    </row>
    <row r="7977" spans="1:3" ht="15.75" customHeight="1" x14ac:dyDescent="0.25">
      <c r="A7977" s="2" t="s">
        <v>7979</v>
      </c>
      <c r="B7977" s="3" t="s">
        <v>6</v>
      </c>
      <c r="C7977" s="2" t="str">
        <f ca="1">IFERROR(__xludf.DUMMYFUNCTION("GOOGLETRANSLATE(A7977,""bn"",""en"")")," The ventilation system is inadequate causing it to overheat during extended use")</f>
        <v xml:space="preserve"> The ventilation system is inadequate causing it to overheat during extended use</v>
      </c>
    </row>
    <row r="7978" spans="1:3" ht="15.75" customHeight="1" x14ac:dyDescent="0.25">
      <c r="A7978" s="2" t="s">
        <v>7980</v>
      </c>
      <c r="B7978" s="3" t="s">
        <v>2</v>
      </c>
      <c r="C7978" s="2" t="str">
        <f ca="1">IFERROR(__xludf.DUMMYFUNCTION("GOOGLETRANSLATE(A7978,""bn"",""en"")"),"Water may run off a bit when wet")</f>
        <v>Water may run off a bit when wet</v>
      </c>
    </row>
    <row r="7979" spans="1:3" ht="15.75" customHeight="1" x14ac:dyDescent="0.25">
      <c r="A7979" s="2" t="s">
        <v>7981</v>
      </c>
      <c r="B7979" s="3" t="s">
        <v>2</v>
      </c>
      <c r="C7979" s="2" t="str">
        <f ca="1">IFERROR(__xludf.DUMMYFUNCTION("GOOGLETRANSLATE(A7979,""bn"",""en"")"),"It is useful while walking at night")</f>
        <v>It is useful while walking at night</v>
      </c>
    </row>
    <row r="7980" spans="1:3" ht="15.75" customHeight="1" x14ac:dyDescent="0.25">
      <c r="A7980" s="2" t="s">
        <v>7982</v>
      </c>
      <c r="B7980" s="3" t="s">
        <v>6</v>
      </c>
      <c r="C7980" s="2" t="str">
        <f ca="1">IFERROR(__xludf.DUMMYFUNCTION("GOOGLETRANSLATE(A7980,""bn"",""en"")"),"The color fades quickly after exposure to sunlight leaving it looking worn and old after just a few weeks of use")</f>
        <v>The color fades quickly after exposure to sunlight leaving it looking worn and old after just a few weeks of use</v>
      </c>
    </row>
    <row r="7981" spans="1:3" ht="15.75" customHeight="1" x14ac:dyDescent="0.25">
      <c r="A7981" s="2" t="s">
        <v>7983</v>
      </c>
      <c r="B7981" s="3" t="s">
        <v>2</v>
      </c>
      <c r="C7981" s="2" t="str">
        <f ca="1">IFERROR(__xludf.DUMMYFUNCTION("GOOGLETRANSLATE(A7981,""bn"",""en"")"),"Repair service is an option")</f>
        <v>Repair service is an option</v>
      </c>
    </row>
    <row r="7982" spans="1:3" ht="15.75" customHeight="1" x14ac:dyDescent="0.25">
      <c r="A7982" s="2" t="s">
        <v>7984</v>
      </c>
      <c r="B7982" s="3" t="s">
        <v>4</v>
      </c>
      <c r="C7982" s="2" t="str">
        <f ca="1">IFERROR(__xludf.DUMMYFUNCTION("GOOGLETRANSLATE(A7982,""bn"",""en"")"),"The hands of the watch are very clear")</f>
        <v>The hands of the watch are very clear</v>
      </c>
    </row>
    <row r="7983" spans="1:3" ht="15.75" customHeight="1" x14ac:dyDescent="0.25">
      <c r="A7983" s="2" t="s">
        <v>7985</v>
      </c>
      <c r="B7983" s="3" t="s">
        <v>4</v>
      </c>
      <c r="C7983" s="2" t="str">
        <f ca="1">IFERROR(__xludf.DUMMYFUNCTION("GOOGLETRANSLATE(A7983,""bn"",""en"")"),"The dining table has wide legs that provide stability")</f>
        <v>The dining table has wide legs that provide stability</v>
      </c>
    </row>
    <row r="7984" spans="1:3" ht="15.75" customHeight="1" x14ac:dyDescent="0.25">
      <c r="A7984" s="2" t="s">
        <v>7986</v>
      </c>
      <c r="B7984" s="3" t="s">
        <v>2</v>
      </c>
      <c r="C7984" s="2" t="str">
        <f ca="1">IFERROR(__xludf.DUMMYFUNCTION("GOOGLETRANSLATE(A7984,""bn"",""en"")"),"A mop does not require a lot of energy to work with")</f>
        <v>A mop does not require a lot of energy to work with</v>
      </c>
    </row>
    <row r="7985" spans="1:3" ht="15.75" customHeight="1" x14ac:dyDescent="0.25">
      <c r="A7985" s="2" t="s">
        <v>7987</v>
      </c>
      <c r="B7985" s="3" t="s">
        <v>2</v>
      </c>
      <c r="C7985" s="2" t="str">
        <f ca="1">IFERROR(__xludf.DUMMYFUNCTION("GOOGLETRANSLATE(A7985,""bn"",""en"")"),"There are many tools that could improve the quality")</f>
        <v>There are many tools that could improve the quality</v>
      </c>
    </row>
    <row r="7986" spans="1:3" ht="15.75" customHeight="1" x14ac:dyDescent="0.25">
      <c r="A7986" s="2" t="s">
        <v>7988</v>
      </c>
      <c r="B7986" s="3" t="s">
        <v>6</v>
      </c>
      <c r="C7986" s="2" t="str">
        <f ca="1">IFERROR(__xludf.DUMMYFUNCTION("GOOGLETRANSLATE(A7986,""bn"",""en"")"),"Boxed instant mashed potatoes had a powdery taste and lacked the creaminess of homemade")</f>
        <v>Boxed instant mashed potatoes had a powdery taste and lacked the creaminess of homemade</v>
      </c>
    </row>
    <row r="7987" spans="1:3" ht="15.75" customHeight="1" x14ac:dyDescent="0.25">
      <c r="A7987" s="2" t="s">
        <v>7989</v>
      </c>
      <c r="B7987" s="3" t="s">
        <v>2</v>
      </c>
      <c r="C7987" s="2" t="str">
        <f ca="1">IFERROR(__xludf.DUMMYFUNCTION("GOOGLETRANSLATE(A7987,""bn"",""en"")"),"Adequate but not the best")</f>
        <v>Adequate but not the best</v>
      </c>
    </row>
    <row r="7988" spans="1:3" ht="15.75" customHeight="1" x14ac:dyDescent="0.25">
      <c r="A7988" s="2" t="s">
        <v>7990</v>
      </c>
      <c r="B7988" s="3" t="s">
        <v>2</v>
      </c>
      <c r="C7988" s="2" t="str">
        <f ca="1">IFERROR(__xludf.DUMMYFUNCTION("GOOGLETRANSLATE(A7988,""bn"",""en"")"),"Although the fertilizer is cost effective, the yield has not increased much")</f>
        <v>Although the fertilizer is cost effective, the yield has not increased much</v>
      </c>
    </row>
    <row r="7989" spans="1:3" ht="15.75" customHeight="1" x14ac:dyDescent="0.25">
      <c r="A7989" s="2" t="s">
        <v>7991</v>
      </c>
      <c r="B7989" s="3" t="s">
        <v>4</v>
      </c>
      <c r="C7989" s="2" t="str">
        <f ca="1">IFERROR(__xludf.DUMMYFUNCTION("GOOGLETRANSLATE(A7989,""bn"",""en"")"),"So far that has been working")</f>
        <v>So far that has been working</v>
      </c>
    </row>
    <row r="7990" spans="1:3" ht="15.75" customHeight="1" x14ac:dyDescent="0.25">
      <c r="A7990" s="2" t="s">
        <v>7992</v>
      </c>
      <c r="B7990" s="3" t="s">
        <v>2</v>
      </c>
      <c r="C7990" s="2" t="str">
        <f ca="1">IFERROR(__xludf.DUMMYFUNCTION("GOOGLETRANSLATE(A7990,""bn"",""en"")"),"The quality of the fabric is average and it can be wearable for some time")</f>
        <v>The quality of the fabric is average and it can be wearable for some time</v>
      </c>
    </row>
    <row r="7991" spans="1:3" ht="15.75" customHeight="1" x14ac:dyDescent="0.25">
      <c r="A7991" s="2" t="s">
        <v>7993</v>
      </c>
      <c r="B7991" s="3" t="s">
        <v>2</v>
      </c>
      <c r="C7991" s="2" t="str">
        <f ca="1">IFERROR(__xludf.DUMMYFUNCTION("GOOGLETRANSLATE(A7991,""bn"",""en"")"),"The color is neutral which can look boring in some cases")</f>
        <v>The color is neutral which can look boring in some cases</v>
      </c>
    </row>
    <row r="7992" spans="1:3" ht="15.75" customHeight="1" x14ac:dyDescent="0.25">
      <c r="A7992" s="2" t="s">
        <v>7994</v>
      </c>
      <c r="B7992" s="3" t="s">
        <v>2</v>
      </c>
      <c r="C7992" s="2" t="str">
        <f ca="1">IFERROR(__xludf.DUMMYFUNCTION("GOOGLETRANSLATE(A7992,""bn"",""en"")"),"Price has something to do with quality")</f>
        <v>Price has something to do with quality</v>
      </c>
    </row>
    <row r="7993" spans="1:3" ht="15.75" customHeight="1" x14ac:dyDescent="0.25">
      <c r="A7993" s="2" t="s">
        <v>7995</v>
      </c>
      <c r="B7993" s="3" t="s">
        <v>2</v>
      </c>
      <c r="C7993" s="2" t="str">
        <f ca="1">IFERROR(__xludf.DUMMYFUNCTION("GOOGLETRANSLATE(A7993,""bn"",""en"")"),"Keeps food warm but not for long")</f>
        <v>Keeps food warm but not for long</v>
      </c>
    </row>
    <row r="7994" spans="1:3" ht="15.75" customHeight="1" x14ac:dyDescent="0.25">
      <c r="A7994" s="2" t="s">
        <v>7996</v>
      </c>
      <c r="B7994" s="3" t="s">
        <v>2</v>
      </c>
      <c r="C7994" s="2" t="str">
        <f ca="1">IFERROR(__xludf.DUMMYFUNCTION("GOOGLETRANSLATE(A7994,""bn"",""en"")"),"Good taste but a bit too cold")</f>
        <v>Good taste but a bit too cold</v>
      </c>
    </row>
    <row r="7995" spans="1:3" ht="15.75" customHeight="1" x14ac:dyDescent="0.25">
      <c r="A7995" s="2" t="s">
        <v>7997</v>
      </c>
      <c r="B7995" s="3" t="s">
        <v>4</v>
      </c>
      <c r="C7995" s="2" t="str">
        <f ca="1">IFERROR(__xludf.DUMMYFUNCTION("GOOGLETRANSLATE(A7995,""bn"",""en"")"),"The UI of the mobile is very user friendly")</f>
        <v>The UI of the mobile is very user friendly</v>
      </c>
    </row>
    <row r="7996" spans="1:3" ht="15.75" customHeight="1" x14ac:dyDescent="0.25">
      <c r="A7996" s="2" t="s">
        <v>7998</v>
      </c>
      <c r="B7996" s="3" t="s">
        <v>2</v>
      </c>
      <c r="C7996" s="2" t="str">
        <f ca="1">IFERROR(__xludf.DUMMYFUNCTION("GOOGLETRANSLATE(A7996,""bn"",""en"")"),"Galaxy earbuds can have some issues but generally work well")</f>
        <v>Galaxy earbuds can have some issues but generally work well</v>
      </c>
    </row>
    <row r="7997" spans="1:3" ht="15.75" customHeight="1" x14ac:dyDescent="0.25">
      <c r="A7997" s="2" t="s">
        <v>7999</v>
      </c>
      <c r="B7997" s="3" t="s">
        <v>2</v>
      </c>
      <c r="C7997" s="2" t="str">
        <f ca="1">IFERROR(__xludf.DUMMYFUNCTION("GOOGLETRANSLATE(A7997,""bn"",""en"")"),"Customer service is good but some issues are still not resolved")</f>
        <v>Customer service is good but some issues are still not resolved</v>
      </c>
    </row>
    <row r="7998" spans="1:3" ht="15.75" customHeight="1" x14ac:dyDescent="0.25">
      <c r="A7998" s="2" t="s">
        <v>8000</v>
      </c>
      <c r="B7998" s="3" t="s">
        <v>6</v>
      </c>
      <c r="C7998" s="2" t="str">
        <f ca="1">IFERROR(__xludf.DUMMYFUNCTION("GOOGLETRANSLATE(A7998,""bn"",""en"")"),"Microsoft Personal Features seems like a scam locked behind a paywall")</f>
        <v>Microsoft Personal Features seems like a scam locked behind a paywall</v>
      </c>
    </row>
    <row r="7999" spans="1:3" ht="15.75" customHeight="1" x14ac:dyDescent="0.25">
      <c r="A7999" s="2" t="s">
        <v>8001</v>
      </c>
      <c r="B7999" s="3" t="s">
        <v>6</v>
      </c>
      <c r="C7999" s="2" t="str">
        <f ca="1">IFERROR(__xludf.DUMMYFUNCTION("GOOGLETRANSLATE(A7999,""bn"",""en"")")," Customization options limit the user's ability to tailor settings to their liking")</f>
        <v xml:space="preserve"> Customization options limit the user's ability to tailor settings to their liking</v>
      </c>
    </row>
    <row r="8000" spans="1:3" ht="15.75" customHeight="1" x14ac:dyDescent="0.25">
      <c r="A8000" s="2" t="s">
        <v>8002</v>
      </c>
      <c r="B8000" s="3" t="s">
        <v>2</v>
      </c>
      <c r="C8000" s="2" t="str">
        <f ca="1">IFERROR(__xludf.DUMMYFUNCTION("GOOGLETRANSLATE(A8000,""bn"",""en"")"),"The size of the table is medium centimeters long")</f>
        <v>The size of the table is medium centimeters long</v>
      </c>
    </row>
    <row r="8001" spans="1:3" ht="15.75" customHeight="1" x14ac:dyDescent="0.25">
      <c r="A8001" s="2" t="s">
        <v>8003</v>
      </c>
      <c r="B8001" s="3" t="s">
        <v>6</v>
      </c>
      <c r="C8001" s="2" t="str">
        <f ca="1">IFERROR(__xludf.DUMMYFUNCTION("GOOGLETRANSLATE(A8001,""bn"",""en"")"),"Quality is lacking")</f>
        <v>Quality is lacking</v>
      </c>
    </row>
    <row r="8002" spans="1:3" ht="15.75" customHeight="1" x14ac:dyDescent="0.25">
      <c r="A8002" s="2" t="s">
        <v>8004</v>
      </c>
      <c r="B8002" s="3" t="s">
        <v>4</v>
      </c>
      <c r="C8002" s="2" t="str">
        <f ca="1">IFERROR(__xludf.DUMMYFUNCTION("GOOGLETRANSLATE(A8002,""bn"",""en"")"),"Fits any corner of the house")</f>
        <v>Fits any corner of the house</v>
      </c>
    </row>
    <row r="8003" spans="1:3" ht="15.75" customHeight="1" x14ac:dyDescent="0.25">
      <c r="A8003" s="2" t="s">
        <v>8005</v>
      </c>
      <c r="B8003" s="3" t="s">
        <v>2</v>
      </c>
      <c r="C8003" s="2" t="str">
        <f ca="1">IFERROR(__xludf.DUMMYFUNCTION("GOOGLETRANSLATE(A8003,""bn"",""en"")"),"It makes the house attractive but not dramatic")</f>
        <v>It makes the house attractive but not dramatic</v>
      </c>
    </row>
    <row r="8004" spans="1:3" ht="15.75" customHeight="1" x14ac:dyDescent="0.25">
      <c r="A8004" s="2" t="s">
        <v>8006</v>
      </c>
      <c r="B8004" s="3" t="s">
        <v>4</v>
      </c>
      <c r="C8004" s="2" t="str">
        <f ca="1">IFERROR(__xludf.DUMMYFUNCTION("GOOGLETRANSLATE(A8004,""bn"",""en"")"),"The sofa is very comfortable and soft to sit on")</f>
        <v>The sofa is very comfortable and soft to sit on</v>
      </c>
    </row>
    <row r="8005" spans="1:3" ht="15.75" customHeight="1" x14ac:dyDescent="0.25">
      <c r="A8005" s="2" t="s">
        <v>8007</v>
      </c>
      <c r="B8005" s="3" t="s">
        <v>4</v>
      </c>
      <c r="C8005" s="2" t="str">
        <f ca="1">IFERROR(__xludf.DUMMYFUNCTION("GOOGLETRANSLATE(A8005,""bn"",""en"")"),"It is easily smoothed")</f>
        <v>It is easily smoothed</v>
      </c>
    </row>
    <row r="8006" spans="1:3" ht="15.75" customHeight="1" x14ac:dyDescent="0.25">
      <c r="A8006" s="2" t="s">
        <v>8008</v>
      </c>
      <c r="B8006" s="3" t="s">
        <v>2</v>
      </c>
      <c r="C8006" s="2" t="str">
        <f ca="1">IFERROR(__xludf.DUMMYFUNCTION("GOOGLETRANSLATE(A8006,""bn"",""en"")"),"The toothbrush disinfects but the charge lasts less")</f>
        <v>The toothbrush disinfects but the charge lasts less</v>
      </c>
    </row>
    <row r="8007" spans="1:3" ht="15.75" customHeight="1" x14ac:dyDescent="0.25">
      <c r="A8007" s="2" t="s">
        <v>8009</v>
      </c>
      <c r="B8007" s="3" t="s">
        <v>6</v>
      </c>
      <c r="C8007" s="2" t="str">
        <f ca="1">IFERROR(__xludf.DUMMYFUNCTION("GOOGLETRANSLATE(A8007,""bn"",""en"")"),"The cups had sharp edges that scratched my hands")</f>
        <v>The cups had sharp edges that scratched my hands</v>
      </c>
    </row>
    <row r="8008" spans="1:3" ht="15.75" customHeight="1" x14ac:dyDescent="0.25">
      <c r="A8008" s="2" t="s">
        <v>8010</v>
      </c>
      <c r="B8008" s="3" t="s">
        <v>4</v>
      </c>
      <c r="C8008" s="2" t="str">
        <f ca="1">IFERROR(__xludf.DUMMYFUNCTION("GOOGLETRANSLATE(A8008,""bn"",""en"")"),"Good value worked so well I bought a second one")</f>
        <v>Good value worked so well I bought a second one</v>
      </c>
    </row>
    <row r="8009" spans="1:3" ht="15.75" customHeight="1" x14ac:dyDescent="0.25">
      <c r="A8009" s="2" t="s">
        <v>8011</v>
      </c>
      <c r="B8009" s="3" t="s">
        <v>6</v>
      </c>
      <c r="C8009" s="2" t="str">
        <f ca="1">IFERROR(__xludf.DUMMYFUNCTION("GOOGLETRANSLATE(A8009,""bn"",""en"")"),"The design is impractical and uncomfortable for everyday wear")</f>
        <v>The design is impractical and uncomfortable for everyday wear</v>
      </c>
    </row>
    <row r="8010" spans="1:3" ht="15.75" customHeight="1" x14ac:dyDescent="0.25">
      <c r="A8010" s="2" t="s">
        <v>8012</v>
      </c>
      <c r="B8010" s="3" t="s">
        <v>6</v>
      </c>
      <c r="C8010" s="2" t="str">
        <f ca="1">IFERROR(__xludf.DUMMYFUNCTION("GOOGLETRANSLATE(A8010,""bn"",""en"")"),"Unsealed containers are not acceptable during delivery")</f>
        <v>Unsealed containers are not acceptable during delivery</v>
      </c>
    </row>
    <row r="8011" spans="1:3" ht="15.75" customHeight="1" x14ac:dyDescent="0.25">
      <c r="A8011" s="2" t="s">
        <v>8013</v>
      </c>
      <c r="B8011" s="3" t="s">
        <v>4</v>
      </c>
      <c r="C8011" s="2" t="str">
        <f ca="1">IFERROR(__xludf.DUMMYFUNCTION("GOOGLETRANSLATE(A8011,""bn"",""en"")"),"The design of the laptop is very premium looking and the thin and light design is very easy to carry")</f>
        <v>The design of the laptop is very premium looking and the thin and light design is very easy to carry</v>
      </c>
    </row>
    <row r="8012" spans="1:3" ht="15.75" customHeight="1" x14ac:dyDescent="0.25">
      <c r="A8012" s="2" t="s">
        <v>8014</v>
      </c>
      <c r="B8012" s="3" t="s">
        <v>6</v>
      </c>
      <c r="C8012" s="2" t="str">
        <f ca="1">IFERROR(__xludf.DUMMYFUNCTION("GOOGLETRANSLATE(A8012,""bn"",""en"")")," Compartments are poorly designed which makes it difficult to store things")</f>
        <v xml:space="preserve"> Compartments are poorly designed which makes it difficult to store things</v>
      </c>
    </row>
    <row r="8013" spans="1:3" ht="15.75" customHeight="1" x14ac:dyDescent="0.25">
      <c r="A8013" s="2" t="s">
        <v>8015</v>
      </c>
      <c r="B8013" s="3" t="s">
        <v>2</v>
      </c>
      <c r="C8013" s="2" t="str">
        <f ca="1">IFERROR(__xludf.DUMMYFUNCTION("GOOGLETRANSLATE(A8013,""bn"",""en"")"),"Available in different sizes but all look the same")</f>
        <v>Available in different sizes but all look the same</v>
      </c>
    </row>
    <row r="8014" spans="1:3" ht="15.75" customHeight="1" x14ac:dyDescent="0.25">
      <c r="A8014" s="2" t="s">
        <v>8016</v>
      </c>
      <c r="B8014" s="3" t="s">
        <v>6</v>
      </c>
      <c r="C8014" s="2" t="str">
        <f ca="1">IFERROR(__xludf.DUMMYFUNCTION("GOOGLETRANSLATE(A8014,""bn"",""en"")"),"Insignificant and overpriced buyer beware")</f>
        <v>Insignificant and overpriced buyer beware</v>
      </c>
    </row>
    <row r="8015" spans="1:3" ht="15.75" customHeight="1" x14ac:dyDescent="0.25">
      <c r="A8015" s="2" t="s">
        <v>8017</v>
      </c>
      <c r="B8015" s="3" t="s">
        <v>2</v>
      </c>
      <c r="C8015" s="2" t="str">
        <f ca="1">IFERROR(__xludf.DUMMYFUNCTION("GOOGLETRANSLATE(A8015,""bn"",""en"")"),"Very sweet but slightly runny")</f>
        <v>Very sweet but slightly runny</v>
      </c>
    </row>
    <row r="8016" spans="1:3" ht="15.75" customHeight="1" x14ac:dyDescent="0.25">
      <c r="A8016" s="2" t="s">
        <v>8018</v>
      </c>
      <c r="B8016" s="3" t="s">
        <v>6</v>
      </c>
      <c r="C8016" s="2" t="str">
        <f ca="1">IFERROR(__xludf.DUMMYFUNCTION("GOOGLETRANSLATE(A8016,""bn"",""en"")"),"  The spray gave me a rash and made my skin itch")</f>
        <v xml:space="preserve">  The spray gave me a rash and made my skin itch</v>
      </c>
    </row>
    <row r="8017" spans="1:3" ht="15.75" customHeight="1" x14ac:dyDescent="0.25">
      <c r="A8017" s="2" t="s">
        <v>8019</v>
      </c>
      <c r="B8017" s="3" t="s">
        <v>4</v>
      </c>
      <c r="C8017" s="2" t="str">
        <f ca="1">IFERROR(__xludf.DUMMYFUNCTION("GOOGLETRANSLATE(A8017,""bn"",""en"")"),"The child is very happy with his new book")</f>
        <v>The child is very happy with his new book</v>
      </c>
    </row>
    <row r="8018" spans="1:3" ht="15.75" customHeight="1" x14ac:dyDescent="0.25">
      <c r="A8018" s="2" t="s">
        <v>8020</v>
      </c>
      <c r="B8018" s="3" t="s">
        <v>6</v>
      </c>
      <c r="C8018" s="2" t="str">
        <f ca="1">IFERROR(__xludf.DUMMYFUNCTION("GOOGLETRANSLATE(A8018,""bn"",""en"")"),"Wobbly and frustrating not recommended")</f>
        <v>Wobbly and frustrating not recommended</v>
      </c>
    </row>
    <row r="8019" spans="1:3" ht="15.75" customHeight="1" x14ac:dyDescent="0.25">
      <c r="A8019" s="2" t="s">
        <v>8021</v>
      </c>
      <c r="B8019" s="3" t="s">
        <v>6</v>
      </c>
      <c r="C8019" s="2" t="str">
        <f ca="1">IFERROR(__xludf.DUMMYFUNCTION("GOOGLETRANSLATE(A8019,""bn"",""en"")"),"The product does not seem reliable")</f>
        <v>The product does not seem reliable</v>
      </c>
    </row>
    <row r="8020" spans="1:3" ht="15.75" customHeight="1" x14ac:dyDescent="0.25">
      <c r="A8020" s="2" t="s">
        <v>8022</v>
      </c>
      <c r="B8020" s="3" t="s">
        <v>4</v>
      </c>
      <c r="C8020" s="2" t="str">
        <f ca="1">IFERROR(__xludf.DUMMYFUNCTION("GOOGLETRANSLATE(A8020,""bn"",""en"")"),"Good quality works as advertised")</f>
        <v>Good quality works as advertised</v>
      </c>
    </row>
    <row r="8021" spans="1:3" ht="15.75" customHeight="1" x14ac:dyDescent="0.25">
      <c r="A8021" s="2" t="s">
        <v>8023</v>
      </c>
      <c r="B8021" s="3" t="s">
        <v>6</v>
      </c>
      <c r="C8021" s="2" t="str">
        <f ca="1">IFERROR(__xludf.DUMMYFUNCTION("GOOGLETRANSLATE(A8021,""bn"",""en"")"),"The item's design lacked consideration")</f>
        <v>The item's design lacked consideration</v>
      </c>
    </row>
    <row r="8022" spans="1:3" ht="15.75" customHeight="1" x14ac:dyDescent="0.25">
      <c r="A8022" s="2" t="s">
        <v>8024</v>
      </c>
      <c r="B8022" s="3" t="s">
        <v>4</v>
      </c>
      <c r="C8022" s="2" t="str">
        <f ca="1">IFERROR(__xludf.DUMMYFUNCTION("GOOGLETRANSLATE(A8022,""bn"",""en"")"),"Its combination of crispness and sweet salt is simply amazing")</f>
        <v>Its combination of crispness and sweet salt is simply amazing</v>
      </c>
    </row>
    <row r="8023" spans="1:3" ht="15.75" customHeight="1" x14ac:dyDescent="0.25">
      <c r="A8023" s="2" t="s">
        <v>8025</v>
      </c>
      <c r="B8023" s="3" t="s">
        <v>6</v>
      </c>
      <c r="C8023" s="2" t="str">
        <f ca="1">IFERROR(__xludf.DUMMYFUNCTION("GOOGLETRANSLATE(A8023,""bn"",""en"")")," The outer surface becomes hot to the touch, creating a risk of burns especially for children")</f>
        <v xml:space="preserve"> The outer surface becomes hot to the touch, creating a risk of burns especially for children</v>
      </c>
    </row>
    <row r="8024" spans="1:3" ht="15.75" customHeight="1" x14ac:dyDescent="0.25">
      <c r="A8024" s="2" t="s">
        <v>8026</v>
      </c>
      <c r="B8024" s="3" t="s">
        <v>6</v>
      </c>
      <c r="C8024" s="2" t="str">
        <f ca="1">IFERROR(__xludf.DUMMYFUNCTION("GOOGLETRANSLATE(A8024,""bn"",""en"")"),"The coffee had a sour taste indicating under roasting")</f>
        <v>The coffee had a sour taste indicating under roasting</v>
      </c>
    </row>
    <row r="8025" spans="1:3" ht="15.75" customHeight="1" x14ac:dyDescent="0.25">
      <c r="A8025" s="2" t="s">
        <v>8027</v>
      </c>
      <c r="B8025" s="3" t="s">
        <v>4</v>
      </c>
      <c r="C8025" s="2" t="str">
        <f ca="1">IFERROR(__xludf.DUMMYFUNCTION("GOOGLETRANSLATE(A8025,""bn"",""en"")"),"The fan does a great job of keeping the room cool")</f>
        <v>The fan does a great job of keeping the room cool</v>
      </c>
    </row>
    <row r="8026" spans="1:3" ht="15.75" customHeight="1" x14ac:dyDescent="0.25">
      <c r="A8026" s="2" t="s">
        <v>8028</v>
      </c>
      <c r="B8026" s="3" t="s">
        <v>4</v>
      </c>
      <c r="C8026" s="2" t="str">
        <f ca="1">IFERROR(__xludf.DUMMYFUNCTION("GOOGLETRANSLATE(A8026,""bn"",""en"")"),"A headset with more durability based on sound quality")</f>
        <v>A headset with more durability based on sound quality</v>
      </c>
    </row>
    <row r="8027" spans="1:3" ht="15.75" customHeight="1" x14ac:dyDescent="0.25">
      <c r="A8027" s="2" t="s">
        <v>8029</v>
      </c>
      <c r="B8027" s="3" t="s">
        <v>4</v>
      </c>
      <c r="C8027" s="2" t="str">
        <f ca="1">IFERROR(__xludf.DUMMYFUNCTION("GOOGLETRANSLATE(A8027,""bn"",""en"")"),"The battery standby time of the mobile is very long")</f>
        <v>The battery standby time of the mobile is very long</v>
      </c>
    </row>
    <row r="8028" spans="1:3" ht="15.75" customHeight="1" x14ac:dyDescent="0.25">
      <c r="A8028" s="2" t="s">
        <v>8030</v>
      </c>
      <c r="B8028" s="3" t="s">
        <v>6</v>
      </c>
      <c r="C8028" s="2" t="str">
        <f ca="1">IFERROR(__xludf.DUMMYFUNCTION("GOOGLETRANSLATE(A8028,""bn"",""en"")"),"The motion sensor of the smart doorbell does not detect the movement unreliable security")</f>
        <v>The motion sensor of the smart doorbell does not detect the movement unreliable security</v>
      </c>
    </row>
    <row r="8029" spans="1:3" ht="15.75" customHeight="1" x14ac:dyDescent="0.25">
      <c r="A8029" s="2" t="s">
        <v>8031</v>
      </c>
      <c r="B8029" s="3" t="s">
        <v>6</v>
      </c>
      <c r="C8029" s="2" t="str">
        <f ca="1">IFERROR(__xludf.DUMMYFUNCTION("GOOGLETRANSLATE(A8029,""bn"",""en"")"),"The toy's hinges were weak and prone to snapping")</f>
        <v>The toy's hinges were weak and prone to snapping</v>
      </c>
    </row>
    <row r="8030" spans="1:3" ht="15.75" customHeight="1" x14ac:dyDescent="0.25">
      <c r="A8030" s="2" t="s">
        <v>8032</v>
      </c>
      <c r="B8030" s="3" t="s">
        <v>6</v>
      </c>
      <c r="C8030" s="2" t="str">
        <f ca="1">IFERROR(__xludf.DUMMYFUNCTION("GOOGLETRANSLATE(A8030,""bn"",""en"")"),"Electric lawn mower blades dull quickly and cut ineffectively")</f>
        <v>Electric lawn mower blades dull quickly and cut ineffectively</v>
      </c>
    </row>
    <row r="8031" spans="1:3" ht="15.75" customHeight="1" x14ac:dyDescent="0.25">
      <c r="A8031" s="2" t="s">
        <v>8033</v>
      </c>
      <c r="B8031" s="3" t="s">
        <v>2</v>
      </c>
      <c r="C8031" s="2" t="str">
        <f ca="1">IFERROR(__xludf.DUMMYFUNCTION("GOOGLETRANSLATE(A8031,""bn"",""en"")"),"The reflection is visible but not very clear")</f>
        <v>The reflection is visible but not very clear</v>
      </c>
    </row>
    <row r="8032" spans="1:3" ht="15.75" customHeight="1" x14ac:dyDescent="0.25">
      <c r="A8032" s="2" t="s">
        <v>8034</v>
      </c>
      <c r="B8032" s="3" t="s">
        <v>4</v>
      </c>
      <c r="C8032" s="2" t="str">
        <f ca="1">IFERROR(__xludf.DUMMYFUNCTION("GOOGLETRANSLATE(A8032,""bn"",""en"")"),"The cupboard lock system is very reliable and my precious books are safe")</f>
        <v>The cupboard lock system is very reliable and my precious books are safe</v>
      </c>
    </row>
    <row r="8033" spans="1:3" ht="15.75" customHeight="1" x14ac:dyDescent="0.25">
      <c r="A8033" s="2" t="s">
        <v>8035</v>
      </c>
      <c r="B8033" s="3" t="s">
        <v>2</v>
      </c>
      <c r="C8033" s="2" t="str">
        <f ca="1">IFERROR(__xludf.DUMMYFUNCTION("GOOGLETRANSLATE(A8033,""bn"",""en"")"),"Plant growth was good but yield was not as expected")</f>
        <v>Plant growth was good but yield was not as expected</v>
      </c>
    </row>
    <row r="8034" spans="1:3" ht="15.75" customHeight="1" x14ac:dyDescent="0.25">
      <c r="A8034" s="2" t="s">
        <v>8036</v>
      </c>
      <c r="B8034" s="3" t="s">
        <v>4</v>
      </c>
      <c r="C8034" s="2" t="str">
        <f ca="1">IFERROR(__xludf.DUMMYFUNCTION("GOOGLETRANSLATE(A8034,""bn"",""en"")"),"It's perfectly fried and I hear a nice snapping sound when I put it in my mouth")</f>
        <v>It's perfectly fried and I hear a nice snapping sound when I put it in my mouth</v>
      </c>
    </row>
    <row r="8035" spans="1:3" ht="15.75" customHeight="1" x14ac:dyDescent="0.25">
      <c r="A8035" s="2" t="s">
        <v>8037</v>
      </c>
      <c r="B8035" s="3" t="s">
        <v>6</v>
      </c>
      <c r="C8035" s="2" t="str">
        <f ca="1">IFERROR(__xludf.DUMMYFUNCTION("GOOGLETRANSLATE(A8035,""bn"",""en"")"),"They rarely work")</f>
        <v>They rarely work</v>
      </c>
    </row>
    <row r="8036" spans="1:3" ht="15.75" customHeight="1" x14ac:dyDescent="0.25">
      <c r="A8036" s="2" t="s">
        <v>8038</v>
      </c>
      <c r="B8036" s="3" t="s">
        <v>2</v>
      </c>
      <c r="C8036" s="2" t="str">
        <f ca="1">IFERROR(__xludf.DUMMYFUNCTION("GOOGLETRANSLATE(A8036,""bn"",""en"")"),"Wireless doorbell cameras can meet some needs, but not all")</f>
        <v>Wireless doorbell cameras can meet some needs, but not all</v>
      </c>
    </row>
    <row r="8037" spans="1:3" ht="15.75" customHeight="1" x14ac:dyDescent="0.25">
      <c r="A8037" s="2" t="s">
        <v>8039</v>
      </c>
      <c r="B8037" s="3" t="s">
        <v>6</v>
      </c>
      <c r="C8037" s="2" t="str">
        <f ca="1">IFERROR(__xludf.DUMMYFUNCTION("GOOGLETRANSLATE(A8037,""bn"",""en"")"),"The automatic coffee maker's carafe handle feels flimsy")</f>
        <v>The automatic coffee maker's carafe handle feels flimsy</v>
      </c>
    </row>
    <row r="8038" spans="1:3" ht="15.75" customHeight="1" x14ac:dyDescent="0.25">
      <c r="A8038" s="2" t="s">
        <v>8040</v>
      </c>
      <c r="B8038" s="3" t="s">
        <v>2</v>
      </c>
      <c r="C8038" s="2" t="str">
        <f ca="1">IFERROR(__xludf.DUMMYFUNCTION("GOOGLETRANSLATE(A8038,""bn"",""en"")"),"Can become bitter if soaked for too long")</f>
        <v>Can become bitter if soaked for too long</v>
      </c>
    </row>
    <row r="8039" spans="1:3" ht="15.75" customHeight="1" x14ac:dyDescent="0.25">
      <c r="A8039" s="2" t="s">
        <v>8041</v>
      </c>
      <c r="B8039" s="3" t="s">
        <v>2</v>
      </c>
      <c r="C8039" s="2" t="str">
        <f ca="1">IFERROR(__xludf.DUMMYFUNCTION("GOOGLETRANSLATE(A8039,""bn"",""en"")"),"Sharpening speed is relatively slow")</f>
        <v>Sharpening speed is relatively slow</v>
      </c>
    </row>
    <row r="8040" spans="1:3" ht="15.75" customHeight="1" x14ac:dyDescent="0.25">
      <c r="A8040" s="2" t="s">
        <v>8042</v>
      </c>
      <c r="B8040" s="3" t="s">
        <v>2</v>
      </c>
      <c r="C8040" s="2" t="str">
        <f ca="1">IFERROR(__xludf.DUMMYFUNCTION("GOOGLETRANSLATE(A8040,""bn"",""en"")"),"Technical support is required for these tasks")</f>
        <v>Technical support is required for these tasks</v>
      </c>
    </row>
    <row r="8041" spans="1:3" ht="15.75" customHeight="1" x14ac:dyDescent="0.25">
      <c r="A8041" s="2" t="s">
        <v>8043</v>
      </c>
      <c r="B8041" s="3" t="s">
        <v>4</v>
      </c>
      <c r="C8041" s="2" t="str">
        <f ca="1">IFERROR(__xludf.DUMMYFUNCTION("GOOGLETRANSLATE(A8041,""bn"",""en"")"),"This body wash brings healthy surprises to the skin")</f>
        <v>This body wash brings healthy surprises to the skin</v>
      </c>
    </row>
    <row r="8042" spans="1:3" ht="15.75" customHeight="1" x14ac:dyDescent="0.25">
      <c r="A8042" s="2" t="s">
        <v>8044</v>
      </c>
      <c r="B8042" s="3" t="s">
        <v>2</v>
      </c>
      <c r="C8042" s="2" t="str">
        <f ca="1">IFERROR(__xludf.DUMMYFUNCTION("GOOGLETRANSLATE(A8042,""bn"",""en"")"),"Quality is ok but not great Durability is average")</f>
        <v>Quality is ok but not great Durability is average</v>
      </c>
    </row>
    <row r="8043" spans="1:3" ht="15.75" customHeight="1" x14ac:dyDescent="0.25">
      <c r="A8043" s="2" t="s">
        <v>8045</v>
      </c>
      <c r="B8043" s="3" t="s">
        <v>6</v>
      </c>
      <c r="C8043" s="2" t="str">
        <f ca="1">IFERROR(__xludf.DUMMYFUNCTION("GOOGLETRANSLATE(A8043,""bn"",""en"")"),"  Shoulder straps are uncomfortable and dig into the skin causing discomfort")</f>
        <v xml:space="preserve">  Shoulder straps are uncomfortable and dig into the skin causing discomfort</v>
      </c>
    </row>
    <row r="8044" spans="1:3" ht="15.75" customHeight="1" x14ac:dyDescent="0.25">
      <c r="A8044" s="2" t="s">
        <v>8046</v>
      </c>
      <c r="B8044" s="3" t="s">
        <v>4</v>
      </c>
      <c r="C8044" s="2" t="str">
        <f ca="1">IFERROR(__xludf.DUMMYFUNCTION("GOOGLETRANSLATE(A8044,""bn"",""en"")"),"Helps eliminate static electricity from my hair")</f>
        <v>Helps eliminate static electricity from my hair</v>
      </c>
    </row>
    <row r="8045" spans="1:3" ht="15.75" customHeight="1" x14ac:dyDescent="0.25">
      <c r="A8045" s="2" t="s">
        <v>8047</v>
      </c>
      <c r="B8045" s="3" t="s">
        <v>4</v>
      </c>
      <c r="C8045" s="2" t="str">
        <f ca="1">IFERROR(__xludf.DUMMYFUNCTION("GOOGLETRANSLATE(A8045,""bn"",""en"")"),"Stylish and modern look")</f>
        <v>Stylish and modern look</v>
      </c>
    </row>
    <row r="8046" spans="1:3" ht="15.75" customHeight="1" x14ac:dyDescent="0.25">
      <c r="A8046" s="2" t="s">
        <v>8048</v>
      </c>
      <c r="B8046" s="3" t="s">
        <v>4</v>
      </c>
      <c r="C8046" s="2" t="str">
        <f ca="1">IFERROR(__xludf.DUMMYFUNCTION("GOOGLETRANSLATE(A8046,""bn"",""en"")"),"The fan is very easy to use and effective")</f>
        <v>The fan is very easy to use and effective</v>
      </c>
    </row>
    <row r="8047" spans="1:3" ht="15.75" customHeight="1" x14ac:dyDescent="0.25">
      <c r="A8047" s="2" t="s">
        <v>8049</v>
      </c>
      <c r="B8047" s="3" t="s">
        <v>2</v>
      </c>
      <c r="C8047" s="2" t="str">
        <f ca="1">IFERROR(__xludf.DUMMYFUNCTION("GOOGLETRANSLATE(A8047,""bn"",""en"")"),"Weight is ok but not seasonally appropriate")</f>
        <v>Weight is ok but not seasonally appropriate</v>
      </c>
    </row>
    <row r="8048" spans="1:3" ht="15.75" customHeight="1" x14ac:dyDescent="0.25">
      <c r="A8048" s="2" t="s">
        <v>8050</v>
      </c>
      <c r="B8048" s="3" t="s">
        <v>4</v>
      </c>
      <c r="C8048" s="2" t="str">
        <f ca="1">IFERROR(__xludf.DUMMYFUNCTION("GOOGLETRANSLATE(A8048,""bn"",""en"")"),"The TV viewing experience has completely changed since purchasing these speakers")</f>
        <v>The TV viewing experience has completely changed since purchasing these speakers</v>
      </c>
    </row>
    <row r="8049" spans="1:3" ht="15.75" customHeight="1" x14ac:dyDescent="0.25">
      <c r="A8049" s="2" t="s">
        <v>8051</v>
      </c>
      <c r="B8049" s="3" t="s">
        <v>2</v>
      </c>
      <c r="C8049" s="2" t="str">
        <f ca="1">IFERROR(__xludf.DUMMYFUNCTION("GOOGLETRANSLATE(A8049,""bn"",""en"")"),"The biscuit didn't seem too special to eat")</f>
        <v>The biscuit didn't seem too special to eat</v>
      </c>
    </row>
    <row r="8050" spans="1:3" ht="15.75" customHeight="1" x14ac:dyDescent="0.25">
      <c r="A8050" s="2" t="s">
        <v>8052</v>
      </c>
      <c r="B8050" s="3" t="s">
        <v>4</v>
      </c>
      <c r="C8050" s="2" t="str">
        <f ca="1">IFERROR(__xludf.DUMMYFUNCTION("GOOGLETRANSLATE(A8050,""bn"",""en"")"),"It is naturally fresh and pure")</f>
        <v>It is naturally fresh and pure</v>
      </c>
    </row>
    <row r="8051" spans="1:3" ht="15.75" customHeight="1" x14ac:dyDescent="0.25">
      <c r="A8051" s="2" t="s">
        <v>8053</v>
      </c>
      <c r="B8051" s="3" t="s">
        <v>2</v>
      </c>
      <c r="C8051" s="2" t="str">
        <f ca="1">IFERROR(__xludf.DUMMYFUNCTION("GOOGLETRANSLATE(A8051,""bn"",""en"")"),"No option to adjust brightness")</f>
        <v>No option to adjust brightness</v>
      </c>
    </row>
    <row r="8052" spans="1:3" ht="15.75" customHeight="1" x14ac:dyDescent="0.25">
      <c r="A8052" s="2" t="s">
        <v>8054</v>
      </c>
      <c r="B8052" s="3" t="s">
        <v>6</v>
      </c>
      <c r="C8052" s="2" t="str">
        <f ca="1">IFERROR(__xludf.DUMMYFUNCTION("GOOGLETRANSLATE(A8052,""bn"",""en"")"),"The fabric feels flimsy and flimsy and lacks durability")</f>
        <v>The fabric feels flimsy and flimsy and lacks durability</v>
      </c>
    </row>
    <row r="8053" spans="1:3" ht="15.75" customHeight="1" x14ac:dyDescent="0.25">
      <c r="A8053" s="2" t="s">
        <v>8055</v>
      </c>
      <c r="B8053" s="3" t="s">
        <v>2</v>
      </c>
      <c r="C8053" s="2" t="str">
        <f ca="1">IFERROR(__xludf.DUMMYFUNCTION("GOOGLETRANSLATE(A8053,""bn"",""en"")"),"Decent quality but not perfect")</f>
        <v>Decent quality but not perfect</v>
      </c>
    </row>
    <row r="8054" spans="1:3" ht="15.75" customHeight="1" x14ac:dyDescent="0.25">
      <c r="A8054" s="2" t="s">
        <v>8056</v>
      </c>
      <c r="B8054" s="3" t="s">
        <v>6</v>
      </c>
      <c r="C8054" s="2" t="str">
        <f ca="1">IFERROR(__xludf.DUMMYFUNCTION("GOOGLETRANSLATE(A8054,""bn"",""en"")"),"Constant dirt problems need to be solved")</f>
        <v>Constant dirt problems need to be solved</v>
      </c>
    </row>
    <row r="8055" spans="1:3" ht="15.75" customHeight="1" x14ac:dyDescent="0.25">
      <c r="A8055" s="2" t="s">
        <v>8057</v>
      </c>
      <c r="B8055" s="3" t="s">
        <v>2</v>
      </c>
      <c r="C8055" s="2" t="str">
        <f ca="1">IFERROR(__xludf.DUMMYFUNCTION("GOOGLETRANSLATE(A8055,""bn"",""en"")"),"The headphone fit is good and the quality is good but there are some issues")</f>
        <v>The headphone fit is good and the quality is good but there are some issues</v>
      </c>
    </row>
    <row r="8056" spans="1:3" ht="15.75" customHeight="1" x14ac:dyDescent="0.25">
      <c r="A8056" s="2" t="s">
        <v>8058</v>
      </c>
      <c r="B8056" s="3" t="s">
        <v>4</v>
      </c>
      <c r="C8056" s="2" t="str">
        <f ca="1">IFERROR(__xludf.DUMMYFUNCTION("GOOGLETRANSLATE(A8056,""bn"",""en"")"),"Every story in the new book is very interesting")</f>
        <v>Every story in the new book is very interesting</v>
      </c>
    </row>
    <row r="8057" spans="1:3" ht="15.75" customHeight="1" x14ac:dyDescent="0.25">
      <c r="A8057" s="2" t="s">
        <v>8059</v>
      </c>
      <c r="B8057" s="3" t="s">
        <v>2</v>
      </c>
      <c r="C8057" s="2" t="str">
        <f ca="1">IFERROR(__xludf.DUMMYFUNCTION("GOOGLETRANSLATE(A8057,""bn"",""en"")"),"The design is somewhat simple")</f>
        <v>The design is somewhat simple</v>
      </c>
    </row>
    <row r="8058" spans="1:3" ht="15.75" customHeight="1" x14ac:dyDescent="0.25">
      <c r="A8058" s="2" t="s">
        <v>8060</v>
      </c>
      <c r="B8058" s="3" t="s">
        <v>2</v>
      </c>
      <c r="C8058" s="2" t="str">
        <f ca="1">IFERROR(__xludf.DUMMYFUNCTION("GOOGLETRANSLATE(A8058,""bn"",""en"")"),"All metal backs are replaced but some are easily lost")</f>
        <v>All metal backs are replaced but some are easily lost</v>
      </c>
    </row>
    <row r="8059" spans="1:3" ht="15.75" customHeight="1" x14ac:dyDescent="0.25">
      <c r="A8059" s="2" t="s">
        <v>8061</v>
      </c>
      <c r="B8059" s="3" t="s">
        <v>4</v>
      </c>
      <c r="C8059" s="2" t="str">
        <f ca="1">IFERROR(__xludf.DUMMYFUNCTION("GOOGLETRANSLATE(A8059,""bn"",""en"")"),"The design of the watch is very attractive")</f>
        <v>The design of the watch is very attractive</v>
      </c>
    </row>
    <row r="8060" spans="1:3" ht="15.75" customHeight="1" x14ac:dyDescent="0.25">
      <c r="A8060" s="2" t="s">
        <v>8062</v>
      </c>
      <c r="B8060" s="3" t="s">
        <v>6</v>
      </c>
      <c r="C8060" s="2" t="str">
        <f ca="1">IFERROR(__xludf.DUMMYFUNCTION("GOOGLETRANSLATE(A8060,""bn"",""en"")")," Construction materials scratch easily and its appearance diminishes over time")</f>
        <v xml:space="preserve"> Construction materials scratch easily and its appearance diminishes over time</v>
      </c>
    </row>
    <row r="8061" spans="1:3" ht="15.75" customHeight="1" x14ac:dyDescent="0.25">
      <c r="A8061" s="2" t="s">
        <v>8063</v>
      </c>
      <c r="B8061" s="3" t="s">
        <v>2</v>
      </c>
      <c r="C8061" s="2" t="str">
        <f ca="1">IFERROR(__xludf.DUMMYFUNCTION("GOOGLETRANSLATE(A8061,""bn"",""en"")"),"Headphone quality is good and some users have opted for other options")</f>
        <v>Headphone quality is good and some users have opted for other options</v>
      </c>
    </row>
    <row r="8062" spans="1:3" ht="15.75" customHeight="1" x14ac:dyDescent="0.25">
      <c r="A8062" s="2" t="s">
        <v>8064</v>
      </c>
      <c r="B8062" s="3" t="s">
        <v>4</v>
      </c>
      <c r="C8062" s="2" t="str">
        <f ca="1">IFERROR(__xludf.DUMMYFUNCTION("GOOGLETRANSLATE(A8062,""bn"",""en"")"),"The umbrella is light and easily portable")</f>
        <v>The umbrella is light and easily portable</v>
      </c>
    </row>
    <row r="8063" spans="1:3" ht="15.75" customHeight="1" x14ac:dyDescent="0.25">
      <c r="A8063" s="2" t="s">
        <v>8065</v>
      </c>
      <c r="B8063" s="3" t="s">
        <v>4</v>
      </c>
      <c r="C8063" s="2" t="str">
        <f ca="1">IFERROR(__xludf.DUMMYFUNCTION("GOOGLETRANSLATE(A8063,""bn"",""en"")"),"The fragrance of the perfume is very long lasting")</f>
        <v>The fragrance of the perfume is very long lasting</v>
      </c>
    </row>
    <row r="8064" spans="1:3" ht="15.75" customHeight="1" x14ac:dyDescent="0.25">
      <c r="A8064" s="2" t="s">
        <v>8066</v>
      </c>
      <c r="B8064" s="3" t="s">
        <v>4</v>
      </c>
      <c r="C8064" s="2" t="str">
        <f ca="1">IFERROR(__xludf.DUMMYFUNCTION("GOOGLETRANSLATE(A8064,""bn"",""en"")"),"High quality name brand quality good value worked so well I bought a second one great product I am very happy")</f>
        <v>High quality name brand quality good value worked so well I bought a second one great product I am very happy</v>
      </c>
    </row>
    <row r="8065" spans="1:3" ht="15.75" customHeight="1" x14ac:dyDescent="0.25">
      <c r="A8065" s="2" t="s">
        <v>8067</v>
      </c>
      <c r="B8065" s="3" t="s">
        <v>6</v>
      </c>
      <c r="C8065" s="2" t="str">
        <f ca="1">IFERROR(__xludf.DUMMYFUNCTION("GOOGLETRANSLATE(A8065,""bn"",""en"")")," The door seal is prone to mold growth and requires frequent cleaning and maintenance")</f>
        <v xml:space="preserve"> The door seal is prone to mold growth and requires frequent cleaning and maintenance</v>
      </c>
    </row>
    <row r="8066" spans="1:3" ht="15.75" customHeight="1" x14ac:dyDescent="0.25">
      <c r="A8066" s="2" t="s">
        <v>8068</v>
      </c>
      <c r="B8066" s="3" t="s">
        <v>2</v>
      </c>
      <c r="C8066" s="2" t="str">
        <f ca="1">IFERROR(__xludf.DUMMYFUNCTION("GOOGLETRANSLATE(A8066,""bn"",""en"")"),"The dial is expected to be easy to read")</f>
        <v>The dial is expected to be easy to read</v>
      </c>
    </row>
    <row r="8067" spans="1:3" ht="15.75" customHeight="1" x14ac:dyDescent="0.25">
      <c r="A8067" s="2" t="s">
        <v>8069</v>
      </c>
      <c r="B8067" s="3" t="s">
        <v>6</v>
      </c>
      <c r="C8067" s="2" t="str">
        <f ca="1">IFERROR(__xludf.DUMMYFUNCTION("GOOGLETRANSLATE(A8067,""bn"",""en"")"),"Tip over switch sensitive")</f>
        <v>Tip over switch sensitive</v>
      </c>
    </row>
    <row r="8068" spans="1:3" ht="15.75" customHeight="1" x14ac:dyDescent="0.25">
      <c r="A8068" s="2" t="s">
        <v>8070</v>
      </c>
      <c r="B8068" s="3" t="s">
        <v>2</v>
      </c>
      <c r="C8068" s="2" t="str">
        <f ca="1">IFERROR(__xludf.DUMMYFUNCTION("GOOGLETRANSLATE(A8068,""bn"",""en"")"),"The handle of the brush has anti-slip pattern")</f>
        <v>The handle of the brush has anti-slip pattern</v>
      </c>
    </row>
    <row r="8069" spans="1:3" ht="15.75" customHeight="1" x14ac:dyDescent="0.25">
      <c r="A8069" s="2" t="s">
        <v>8071</v>
      </c>
      <c r="B8069" s="3" t="s">
        <v>4</v>
      </c>
      <c r="C8069" s="2" t="str">
        <f ca="1">IFERROR(__xludf.DUMMYFUNCTION("GOOGLETRANSLATE(A8069,""bn"",""en"")"),"A very efficient air cooler")</f>
        <v>A very efficient air cooler</v>
      </c>
    </row>
    <row r="8070" spans="1:3" ht="15.75" customHeight="1" x14ac:dyDescent="0.25">
      <c r="A8070" s="2" t="s">
        <v>8072</v>
      </c>
      <c r="B8070" s="3" t="s">
        <v>4</v>
      </c>
      <c r="C8070" s="2" t="str">
        <f ca="1">IFERROR(__xludf.DUMMYFUNCTION("GOOGLETRANSLATE(A8070,""bn"",""en"")"),"works well")</f>
        <v>works well</v>
      </c>
    </row>
    <row r="8071" spans="1:3" ht="15.75" customHeight="1" x14ac:dyDescent="0.25">
      <c r="A8071" s="2" t="s">
        <v>8073</v>
      </c>
      <c r="B8071" s="3" t="s">
        <v>4</v>
      </c>
      <c r="C8071" s="2" t="str">
        <f ca="1">IFERROR(__xludf.DUMMYFUNCTION("GOOGLETRANSLATE(A8071,""bn"",""en"")"),"A very tasty and quality product")</f>
        <v>A very tasty and quality product</v>
      </c>
    </row>
    <row r="8072" spans="1:3" ht="15.75" customHeight="1" x14ac:dyDescent="0.25">
      <c r="A8072" s="2" t="s">
        <v>8074</v>
      </c>
      <c r="B8072" s="3" t="s">
        <v>4</v>
      </c>
      <c r="C8072" s="2" t="str">
        <f ca="1">IFERROR(__xludf.DUMMYFUNCTION("GOOGLETRANSLATE(A8072,""bn"",""en"")"),"Loves the soft and gentle touch on the feet")</f>
        <v>Loves the soft and gentle touch on the feet</v>
      </c>
    </row>
    <row r="8073" spans="1:3" ht="15.75" customHeight="1" x14ac:dyDescent="0.25">
      <c r="A8073" s="2" t="s">
        <v>8075</v>
      </c>
      <c r="B8073" s="3" t="s">
        <v>4</v>
      </c>
      <c r="C8073" s="2" t="str">
        <f ca="1">IFERROR(__xludf.DUMMYFUNCTION("GOOGLETRANSLATE(A8073,""bn"",""en"")"),"This shampoo works great to keep hair roots strong")</f>
        <v>This shampoo works great to keep hair roots strong</v>
      </c>
    </row>
    <row r="8074" spans="1:3" ht="15.75" customHeight="1" x14ac:dyDescent="0.25">
      <c r="A8074" s="2" t="s">
        <v>8076</v>
      </c>
      <c r="B8074" s="3" t="s">
        <v>2</v>
      </c>
      <c r="C8074" s="2" t="str">
        <f ca="1">IFERROR(__xludf.DUMMYFUNCTION("GOOGLETRANSLATE(A8074,""bn"",""en"")"),"Although the fertilizer is fairly good, there is no significant change")</f>
        <v>Although the fertilizer is fairly good, there is no significant change</v>
      </c>
    </row>
    <row r="8075" spans="1:3" ht="15.75" customHeight="1" x14ac:dyDescent="0.25">
      <c r="A8075" s="2" t="s">
        <v>8077</v>
      </c>
      <c r="B8075" s="3" t="s">
        <v>6</v>
      </c>
      <c r="C8075" s="2" t="str">
        <f ca="1">IFERROR(__xludf.DUMMYFUNCTION("GOOGLETRANSLATE(A8075,""bn"",""en"")"),"Upon closer inspection the stitching appears sloppy and inconsistent indicating poor workmanship")</f>
        <v>Upon closer inspection the stitching appears sloppy and inconsistent indicating poor workmanship</v>
      </c>
    </row>
    <row r="8076" spans="1:3" ht="15.75" customHeight="1" x14ac:dyDescent="0.25">
      <c r="A8076" s="2" t="s">
        <v>8078</v>
      </c>
      <c r="B8076" s="3" t="s">
        <v>2</v>
      </c>
      <c r="C8076" s="2" t="str">
        <f ca="1">IFERROR(__xludf.DUMMYFUNCTION("GOOGLETRANSLATE(A8076,""bn"",""en"")"),"Its use is somewhat limited")</f>
        <v>Its use is somewhat limited</v>
      </c>
    </row>
    <row r="8077" spans="1:3" ht="15.75" customHeight="1" x14ac:dyDescent="0.25">
      <c r="A8077" s="2" t="s">
        <v>8079</v>
      </c>
      <c r="B8077" s="3" t="s">
        <v>2</v>
      </c>
      <c r="C8077" s="2" t="str">
        <f ca="1">IFERROR(__xludf.DUMMYFUNCTION("GOOGLETRANSLATE(A8077,""bn"",""en"")"),"Size is ok but nothing special")</f>
        <v>Size is ok but nothing special</v>
      </c>
    </row>
    <row r="8078" spans="1:3" ht="15.75" customHeight="1" x14ac:dyDescent="0.25">
      <c r="A8078" s="2" t="s">
        <v>8080</v>
      </c>
      <c r="B8078" s="3" t="s">
        <v>6</v>
      </c>
      <c r="C8078" s="2" t="str">
        <f ca="1">IFERROR(__xludf.DUMMYFUNCTION("GOOGLETRANSLATE(A8078,""bn"",""en"")"),"The intuitive interface made it challenging to operate")</f>
        <v>The intuitive interface made it challenging to operate</v>
      </c>
    </row>
    <row r="8079" spans="1:3" ht="15.75" customHeight="1" x14ac:dyDescent="0.25">
      <c r="A8079" s="2" t="s">
        <v>8081</v>
      </c>
      <c r="B8079" s="3" t="s">
        <v>2</v>
      </c>
      <c r="C8079" s="2" t="str">
        <f ca="1">IFERROR(__xludf.DUMMYFUNCTION("GOOGLETRANSLATE(A8079,""bn"",""en"")"),"Design is nice but stitching is not good")</f>
        <v>Design is nice but stitching is not good</v>
      </c>
    </row>
    <row r="8080" spans="1:3" ht="15.75" customHeight="1" x14ac:dyDescent="0.25">
      <c r="A8080" s="2" t="s">
        <v>8082</v>
      </c>
      <c r="B8080" s="3" t="s">
        <v>4</v>
      </c>
      <c r="C8080" s="2" t="str">
        <f ca="1">IFERROR(__xludf.DUMMYFUNCTION("GOOGLETRANSLATE(A8080,""bn"",""en"")"),"Helps maintain good air circulation in the room")</f>
        <v>Helps maintain good air circulation in the room</v>
      </c>
    </row>
    <row r="8081" spans="1:3" ht="15.75" customHeight="1" x14ac:dyDescent="0.25">
      <c r="A8081" s="2" t="s">
        <v>8083</v>
      </c>
      <c r="B8081" s="3" t="s">
        <v>4</v>
      </c>
      <c r="C8081" s="2" t="str">
        <f ca="1">IFERROR(__xludf.DUMMYFUNCTION("GOOGLETRANSLATE(A8081,""bn"",""en"")"),"The price of the set is very reasonable for its quality and it is a great value")</f>
        <v>The price of the set is very reasonable for its quality and it is a great value</v>
      </c>
    </row>
    <row r="8082" spans="1:3" ht="15.75" customHeight="1" x14ac:dyDescent="0.25">
      <c r="A8082" s="2" t="s">
        <v>8084</v>
      </c>
      <c r="B8082" s="3" t="s">
        <v>6</v>
      </c>
      <c r="C8082" s="2" t="str">
        <f ca="1">IFERROR(__xludf.DUMMYFUNCTION("GOOGLETRANSLATE(A8082,""bn"",""en"")"),"The scent of the bath salts was too strong and artificial lingering on my skin")</f>
        <v>The scent of the bath salts was too strong and artificial lingering on my skin</v>
      </c>
    </row>
    <row r="8083" spans="1:3" ht="15.75" customHeight="1" x14ac:dyDescent="0.25">
      <c r="A8083" s="2" t="s">
        <v>8085</v>
      </c>
      <c r="B8083" s="3" t="s">
        <v>6</v>
      </c>
      <c r="C8083" s="2" t="str">
        <f ca="1">IFERROR(__xludf.DUMMYFUNCTION("GOOGLETRANSLATE(A8083,""bn"",""en"")"),"There is no serving dish which can be inconvenient")</f>
        <v>There is no serving dish which can be inconvenient</v>
      </c>
    </row>
    <row r="8084" spans="1:3" ht="15.75" customHeight="1" x14ac:dyDescent="0.25">
      <c r="A8084" s="2" t="s">
        <v>8086</v>
      </c>
      <c r="B8084" s="3" t="s">
        <v>4</v>
      </c>
      <c r="C8084" s="2" t="str">
        <f ca="1">IFERROR(__xludf.DUMMYFUNCTION("GOOGLETRANSLATE(A8084,""bn"",""en"")"),"Beauty soap provides long lasting fragrance")</f>
        <v>Beauty soap provides long lasting fragrance</v>
      </c>
    </row>
    <row r="8085" spans="1:3" ht="15.75" customHeight="1" x14ac:dyDescent="0.25">
      <c r="A8085" s="2" t="s">
        <v>8087</v>
      </c>
      <c r="B8085" s="3" t="s">
        <v>4</v>
      </c>
      <c r="C8085" s="2" t="str">
        <f ca="1">IFERROR(__xludf.DUMMYFUNCTION("GOOGLETRANSLATE(A8085,""bn"",""en"")"),"The fabric is high quality and durable")</f>
        <v>The fabric is high quality and durable</v>
      </c>
    </row>
    <row r="8086" spans="1:3" ht="15.75" customHeight="1" x14ac:dyDescent="0.25">
      <c r="A8086" s="2" t="s">
        <v>8088</v>
      </c>
      <c r="B8086" s="3" t="s">
        <v>4</v>
      </c>
      <c r="C8086" s="2" t="str">
        <f ca="1">IFERROR(__xludf.DUMMYFUNCTION("GOOGLETRANSLATE(A8086,""bn"",""en"")"),"Use of shampoo reduces dryness of hair")</f>
        <v>Use of shampoo reduces dryness of hair</v>
      </c>
    </row>
    <row r="8087" spans="1:3" ht="15.75" customHeight="1" x14ac:dyDescent="0.25">
      <c r="A8087" s="2" t="s">
        <v>8089</v>
      </c>
      <c r="B8087" s="3" t="s">
        <v>6</v>
      </c>
      <c r="C8087" s="2" t="str">
        <f ca="1">IFERROR(__xludf.DUMMYFUNCTION("GOOGLETRANSLATE(A8087,""bn"",""en"")"),"The eyelash curler pinches the eyelids causing discomfort during use")</f>
        <v>The eyelash curler pinches the eyelids causing discomfort during use</v>
      </c>
    </row>
    <row r="8088" spans="1:3" ht="15.75" customHeight="1" x14ac:dyDescent="0.25">
      <c r="A8088" s="2" t="s">
        <v>8090</v>
      </c>
      <c r="B8088" s="3" t="s">
        <v>6</v>
      </c>
      <c r="C8088" s="2" t="str">
        <f ca="1">IFERROR(__xludf.DUMMYFUNCTION("GOOGLETRANSLATE(A8088,""bn"",""en"")"),"The compressor produces too much heat, raising concerns about its longevity")</f>
        <v>The compressor produces too much heat, raising concerns about its longevity</v>
      </c>
    </row>
    <row r="8089" spans="1:3" ht="15.75" customHeight="1" x14ac:dyDescent="0.25">
      <c r="A8089" s="2" t="s">
        <v>8091</v>
      </c>
      <c r="B8089" s="3" t="s">
        <v>6</v>
      </c>
      <c r="C8089" s="2" t="str">
        <f ca="1">IFERROR(__xludf.DUMMYFUNCTION("GOOGLETRANSLATE(A8089,""bn"",""en"")"),"The stones in the jewelery fell off after minimal wear leaving unsightly gaps and diminishing its overall appeal")</f>
        <v>The stones in the jewelery fell off after minimal wear leaving unsightly gaps and diminishing its overall appeal</v>
      </c>
    </row>
    <row r="8090" spans="1:3" ht="15.75" customHeight="1" x14ac:dyDescent="0.25">
      <c r="A8090" s="2" t="s">
        <v>8092</v>
      </c>
      <c r="B8090" s="3" t="s">
        <v>4</v>
      </c>
      <c r="C8090" s="2" t="str">
        <f ca="1">IFERROR(__xludf.DUMMYFUNCTION("GOOGLETRANSLATE(A8090,""bn"",""en"")"),"The design of this watch is very stylish")</f>
        <v>The design of this watch is very stylish</v>
      </c>
    </row>
    <row r="8091" spans="1:3" ht="15.75" customHeight="1" x14ac:dyDescent="0.25">
      <c r="A8091" s="2" t="s">
        <v>8093</v>
      </c>
      <c r="B8091" s="3" t="s">
        <v>2</v>
      </c>
      <c r="C8091" s="2" t="str">
        <f ca="1">IFERROR(__xludf.DUMMYFUNCTION("GOOGLETRANSLATE(A8091,""bn"",""en"")"),"This is a jacket with some flaws")</f>
        <v>This is a jacket with some flaws</v>
      </c>
    </row>
    <row r="8092" spans="1:3" ht="15.75" customHeight="1" x14ac:dyDescent="0.25">
      <c r="A8092" s="2" t="s">
        <v>8094</v>
      </c>
      <c r="B8092" s="3" t="s">
        <v>4</v>
      </c>
      <c r="C8092" s="2" t="str">
        <f ca="1">IFERROR(__xludf.DUMMYFUNCTION("GOOGLETRANSLATE(A8092,""bn"",""en"")"),"The quality of the coffee looks like it has been brewed with special care")</f>
        <v>The quality of the coffee looks like it has been brewed with special care</v>
      </c>
    </row>
    <row r="8093" spans="1:3" ht="15.75" customHeight="1" x14ac:dyDescent="0.25">
      <c r="A8093" s="2" t="s">
        <v>8095</v>
      </c>
      <c r="B8093" s="3" t="s">
        <v>6</v>
      </c>
      <c r="C8093" s="2" t="str">
        <f ca="1">IFERROR(__xludf.DUMMYFUNCTION("GOOGLETRANSLATE(A8093,""bn"",""en"")"),"The packaging was flimsy and prone to tearing")</f>
        <v>The packaging was flimsy and prone to tearing</v>
      </c>
    </row>
    <row r="8094" spans="1:3" ht="15.75" customHeight="1" x14ac:dyDescent="0.25">
      <c r="A8094" s="2" t="s">
        <v>8096</v>
      </c>
      <c r="B8094" s="3" t="s">
        <v>4</v>
      </c>
      <c r="C8094" s="2" t="str">
        <f ca="1">IFERROR(__xludf.DUMMYFUNCTION("GOOGLETRANSLATE(A8094,""bn"",""en"")"),"Super fast delivery")</f>
        <v>Super fast delivery</v>
      </c>
    </row>
    <row r="8095" spans="1:3" ht="15.75" customHeight="1" x14ac:dyDescent="0.25">
      <c r="A8095" s="2" t="s">
        <v>8097</v>
      </c>
      <c r="B8095" s="3" t="s">
        <v>6</v>
      </c>
      <c r="C8095" s="2" t="str">
        <f ca="1">IFERROR(__xludf.DUMMYFUNCTION("GOOGLETRANSLATE(A8095,""bn"",""en"")"),"The instructions were unclear and difficult to follow")</f>
        <v>The instructions were unclear and difficult to follow</v>
      </c>
    </row>
    <row r="8096" spans="1:3" ht="15.75" customHeight="1" x14ac:dyDescent="0.25">
      <c r="A8096" s="2" t="s">
        <v>8098</v>
      </c>
      <c r="B8096" s="3" t="s">
        <v>4</v>
      </c>
      <c r="C8096" s="2" t="str">
        <f ca="1">IFERROR(__xludf.DUMMYFUNCTION("GOOGLETRANSLATE(A8096,""bn"",""en"")"),"It improves the quality of makeup")</f>
        <v>It improves the quality of makeup</v>
      </c>
    </row>
    <row r="8097" spans="1:3" ht="15.75" customHeight="1" x14ac:dyDescent="0.25">
      <c r="A8097" s="2" t="s">
        <v>8099</v>
      </c>
      <c r="B8097" s="3" t="s">
        <v>2</v>
      </c>
      <c r="C8097" s="2" t="str">
        <f ca="1">IFERROR(__xludf.DUMMYFUNCTION("GOOGLETRANSLATE(A8097,""bn"",""en"")"),"No extra noise during use")</f>
        <v>No extra noise during use</v>
      </c>
    </row>
    <row r="8098" spans="1:3" ht="15.75" customHeight="1" x14ac:dyDescent="0.25">
      <c r="A8098" s="2" t="s">
        <v>8100</v>
      </c>
      <c r="B8098" s="3" t="s">
        <v>6</v>
      </c>
      <c r="C8098" s="2" t="str">
        <f ca="1">IFERROR(__xludf.DUMMYFUNCTION("GOOGLETRANSLATE(A8098,""bn"",""en"")"),"Standard presentations did not attract him")</f>
        <v>Standard presentations did not attract him</v>
      </c>
    </row>
    <row r="8099" spans="1:3" ht="15.75" customHeight="1" x14ac:dyDescent="0.25">
      <c r="A8099" s="2" t="s">
        <v>8101</v>
      </c>
      <c r="B8099" s="3" t="s">
        <v>4</v>
      </c>
      <c r="C8099" s="2" t="str">
        <f ca="1">IFERROR(__xludf.DUMMYFUNCTION("GOOGLETRANSLATE(A8099,""bn"",""en"")"),"The fabric is breathable which provides a comfortable and cool feeling")</f>
        <v>The fabric is breathable which provides a comfortable and cool feeling</v>
      </c>
    </row>
    <row r="8100" spans="1:3" ht="15.75" customHeight="1" x14ac:dyDescent="0.25">
      <c r="A8100" s="2" t="s">
        <v>8102</v>
      </c>
      <c r="B8100" s="3" t="s">
        <v>4</v>
      </c>
      <c r="C8100" s="2" t="str">
        <f ca="1">IFERROR(__xludf.DUMMYFUNCTION("GOOGLETRANSLATE(A8100,""bn"",""en"")"),"Great product very nice ")</f>
        <v xml:space="preserve">Great product very nice </v>
      </c>
    </row>
    <row r="8101" spans="1:3" ht="15.75" customHeight="1" x14ac:dyDescent="0.25">
      <c r="A8101" s="2" t="s">
        <v>8103</v>
      </c>
      <c r="B8101" s="3" t="s">
        <v>4</v>
      </c>
      <c r="C8101" s="2" t="str">
        <f ca="1">IFERROR(__xludf.DUMMYFUNCTION("GOOGLETRANSLATE(A8101,""bn"",""en"")"),"I have noticed that these pillows do not emit any unusual odors, creating a healthy sleeping environment")</f>
        <v>I have noticed that these pillows do not emit any unusual odors, creating a healthy sleeping environment</v>
      </c>
    </row>
    <row r="8102" spans="1:3" ht="15.75" customHeight="1" x14ac:dyDescent="0.25">
      <c r="A8102" s="2" t="s">
        <v>8104</v>
      </c>
      <c r="B8102" s="3" t="s">
        <v>6</v>
      </c>
      <c r="C8102" s="2" t="str">
        <f ca="1">IFERROR(__xludf.DUMMYFUNCTION("GOOGLETRANSLATE(A8102,""bn"",""en"")"),"The aroma was with a hint of unsettling restlessness")</f>
        <v>The aroma was with a hint of unsettling restlessness</v>
      </c>
    </row>
    <row r="8103" spans="1:3" ht="15.75" customHeight="1" x14ac:dyDescent="0.25">
      <c r="A8103" s="2" t="s">
        <v>8105</v>
      </c>
      <c r="B8103" s="3" t="s">
        <v>2</v>
      </c>
      <c r="C8103" s="2" t="str">
        <f ca="1">IFERROR(__xludf.DUMMYFUNCTION("GOOGLETRANSLATE(A8103,""bn"",""en"")"),"Lightweight that can feel redundant at times")</f>
        <v>Lightweight that can feel redundant at times</v>
      </c>
    </row>
    <row r="8104" spans="1:3" ht="15.75" customHeight="1" x14ac:dyDescent="0.25">
      <c r="A8104" s="2" t="s">
        <v>8106</v>
      </c>
      <c r="B8104" s="3" t="s">
        <v>6</v>
      </c>
      <c r="C8104" s="2" t="str">
        <f ca="1">IFERROR(__xludf.DUMMYFUNCTION("GOOGLETRANSLATE(A8104,""bn"",""en"")"),"The charger's folding prongs don't lock into place, often opening unexpectedly")</f>
        <v>The charger's folding prongs don't lock into place, often opening unexpectedly</v>
      </c>
    </row>
    <row r="8105" spans="1:3" ht="15.75" customHeight="1" x14ac:dyDescent="0.25">
      <c r="A8105" s="2" t="s">
        <v>8107</v>
      </c>
      <c r="B8105" s="3" t="s">
        <v>4</v>
      </c>
      <c r="C8105" s="2" t="str">
        <f ca="1">IFERROR(__xludf.DUMMYFUNCTION("GOOGLETRANSLATE(A8105,""bn"",""en"")"),"Suitable for any season")</f>
        <v>Suitable for any season</v>
      </c>
    </row>
    <row r="8106" spans="1:3" ht="15.75" customHeight="1" x14ac:dyDescent="0.25">
      <c r="A8106" s="2" t="s">
        <v>8108</v>
      </c>
      <c r="B8106" s="3" t="s">
        <v>6</v>
      </c>
      <c r="C8106" s="2" t="str">
        <f ca="1">IFERROR(__xludf.DUMMYFUNCTION("GOOGLETRANSLATE(A8106,""bn"",""en"")"),"The eco-friendly product touts sustainability but leaves a significant carbon footprint due to its excessive packaging and manufacturing process.")</f>
        <v>The eco-friendly product touts sustainability but leaves a significant carbon footprint due to its excessive packaging and manufacturing process.</v>
      </c>
    </row>
    <row r="8107" spans="1:3" ht="15.75" customHeight="1" x14ac:dyDescent="0.25">
      <c r="A8107" s="2" t="s">
        <v>8109</v>
      </c>
      <c r="B8107" s="3" t="s">
        <v>6</v>
      </c>
      <c r="C8107" s="2" t="str">
        <f ca="1">IFERROR(__xludf.DUMMYFUNCTION("GOOGLETRANSLATE(A8107,""bn"",""en"")"),"Love doesn't go away")</f>
        <v>Love doesn't go away</v>
      </c>
    </row>
    <row r="8108" spans="1:3" ht="15.75" customHeight="1" x14ac:dyDescent="0.25">
      <c r="A8108" s="2" t="s">
        <v>8110</v>
      </c>
      <c r="B8108" s="3" t="s">
        <v>4</v>
      </c>
      <c r="C8108" s="2" t="str">
        <f ca="1">IFERROR(__xludf.DUMMYFUNCTION("GOOGLETRANSLATE(A8108,""bn"",""en"")"),"Gives some relief in hot weather")</f>
        <v>Gives some relief in hot weather</v>
      </c>
    </row>
    <row r="8109" spans="1:3" ht="15.75" customHeight="1" x14ac:dyDescent="0.25">
      <c r="A8109" s="2" t="s">
        <v>8111</v>
      </c>
      <c r="B8109" s="3" t="s">
        <v>4</v>
      </c>
      <c r="C8109" s="2" t="str">
        <f ca="1">IFERROR(__xludf.DUMMYFUNCTION("GOOGLETRANSLATE(A8109,""bn"",""en"")"),"Just seeing it makes my mind feel better")</f>
        <v>Just seeing it makes my mind feel better</v>
      </c>
    </row>
    <row r="8110" spans="1:3" ht="15.75" customHeight="1" x14ac:dyDescent="0.25">
      <c r="A8110" s="2" t="s">
        <v>8112</v>
      </c>
      <c r="B8110" s="3" t="s">
        <v>2</v>
      </c>
      <c r="C8110" s="2" t="str">
        <f ca="1">IFERROR(__xludf.DUMMYFUNCTION("GOOGLETRANSLATE(A8110,""bn"",""en"")"),"Tastes good but a little too sugary")</f>
        <v>Tastes good but a little too sugary</v>
      </c>
    </row>
    <row r="8111" spans="1:3" ht="15.75" customHeight="1" x14ac:dyDescent="0.25">
      <c r="A8111" s="2" t="s">
        <v>8113</v>
      </c>
      <c r="B8111" s="3" t="s">
        <v>4</v>
      </c>
      <c r="C8111" s="2" t="str">
        <f ca="1">IFERROR(__xludf.DUMMYFUNCTION("GOOGLETRANSLATE(A8111,""bn"",""en"")"),"Simple is better ")</f>
        <v xml:space="preserve">Simple is better </v>
      </c>
    </row>
    <row r="8112" spans="1:3" ht="15.75" customHeight="1" x14ac:dyDescent="0.25">
      <c r="A8112" s="2" t="s">
        <v>8114</v>
      </c>
      <c r="B8112" s="3" t="s">
        <v>6</v>
      </c>
      <c r="C8112" s="2" t="str">
        <f ca="1">IFERROR(__xludf.DUMMYFUNCTION("GOOGLETRANSLATE(A8112,""bn"",""en"")"),"The color is white which is easily visible dirt")</f>
        <v>The color is white which is easily visible dirt</v>
      </c>
    </row>
    <row r="8113" spans="1:3" ht="15.75" customHeight="1" x14ac:dyDescent="0.25">
      <c r="A8113" s="2" t="s">
        <v>8115</v>
      </c>
      <c r="B8113" s="3" t="s">
        <v>2</v>
      </c>
      <c r="C8113" s="2" t="str">
        <f ca="1">IFERROR(__xludf.DUMMYFUNCTION("GOOGLETRANSLATE(A8113,""bn"",""en"")"),"The price is affordable but does not appear to be of high quality")</f>
        <v>The price is affordable but does not appear to be of high quality</v>
      </c>
    </row>
    <row r="8114" spans="1:3" ht="15.75" customHeight="1" x14ac:dyDescent="0.25">
      <c r="A8114" s="2" t="s">
        <v>8116</v>
      </c>
      <c r="B8114" s="3" t="s">
        <v>4</v>
      </c>
      <c r="C8114" s="2" t="str">
        <f ca="1">IFERROR(__xludf.DUMMYFUNCTION("GOOGLETRANSLATE(A8114,""bn"",""en"")"),"A warranty card is provided with the entire set")</f>
        <v>A warranty card is provided with the entire set</v>
      </c>
    </row>
    <row r="8115" spans="1:3" ht="15.75" customHeight="1" x14ac:dyDescent="0.25">
      <c r="A8115" s="2" t="s">
        <v>8117</v>
      </c>
      <c r="B8115" s="3" t="s">
        <v>4</v>
      </c>
      <c r="C8115" s="2" t="str">
        <f ca="1">IFERROR(__xludf.DUMMYFUNCTION("GOOGLETRANSLATE(A8115,""bn"",""en"")"),"Great performance and build quality")</f>
        <v>Great performance and build quality</v>
      </c>
    </row>
    <row r="8116" spans="1:3" ht="15.75" customHeight="1" x14ac:dyDescent="0.25">
      <c r="A8116" s="2" t="s">
        <v>8118</v>
      </c>
      <c r="B8116" s="3" t="s">
        <v>4</v>
      </c>
      <c r="C8116" s="2" t="str">
        <f ca="1">IFERROR(__xludf.DUMMYFUNCTION("GOOGLETRANSLATE(A8116,""bn"",""en"")"),"The watch is very reliable")</f>
        <v>The watch is very reliable</v>
      </c>
    </row>
    <row r="8117" spans="1:3" ht="15.75" customHeight="1" x14ac:dyDescent="0.25">
      <c r="A8117" s="2" t="s">
        <v>8119</v>
      </c>
      <c r="B8117" s="3" t="s">
        <v>6</v>
      </c>
      <c r="C8117" s="2" t="str">
        <f ca="1">IFERROR(__xludf.DUMMYFUNCTION("GOOGLETRANSLATE(A8117,""bn"",""en"")"),"Didn't help much in the job")</f>
        <v>Didn't help much in the job</v>
      </c>
    </row>
    <row r="8118" spans="1:3" ht="15.75" customHeight="1" x14ac:dyDescent="0.25">
      <c r="A8118" s="2" t="s">
        <v>8120</v>
      </c>
      <c r="B8118" s="3" t="s">
        <v>2</v>
      </c>
      <c r="C8118" s="2" t="str">
        <f ca="1">IFERROR(__xludf.DUMMYFUNCTION("GOOGLETRANSLATE(A8118,""bn"",""en"")"),"The guests did not make special comments")</f>
        <v>The guests did not make special comments</v>
      </c>
    </row>
    <row r="8119" spans="1:3" ht="15.75" customHeight="1" x14ac:dyDescent="0.25">
      <c r="A8119" s="2" t="s">
        <v>8121</v>
      </c>
      <c r="B8119" s="3" t="s">
        <v>6</v>
      </c>
      <c r="C8119" s="2" t="str">
        <f ca="1">IFERROR(__xludf.DUMMYFUNCTION("GOOGLETRANSLATE(A8119,""bn"",""en"")"),"UV sterilizers are ineffective sterilizers by damaging delicate items")</f>
        <v>UV sterilizers are ineffective sterilizers by damaging delicate items</v>
      </c>
    </row>
    <row r="8120" spans="1:3" ht="15.75" customHeight="1" x14ac:dyDescent="0.25">
      <c r="A8120" s="2" t="s">
        <v>8122</v>
      </c>
      <c r="B8120" s="3" t="s">
        <v>6</v>
      </c>
      <c r="C8120" s="2" t="str">
        <f ca="1">IFERROR(__xludf.DUMMYFUNCTION("GOOGLETRANSLATE(A8120,""bn"",""en"")"),"The materials used for shoes tear easily and compromise on durability")</f>
        <v>The materials used for shoes tear easily and compromise on durability</v>
      </c>
    </row>
    <row r="8121" spans="1:3" ht="15.75" customHeight="1" x14ac:dyDescent="0.25">
      <c r="A8121" s="2" t="s">
        <v>8123</v>
      </c>
      <c r="B8121" s="3" t="s">
        <v>2</v>
      </c>
      <c r="C8121" s="2" t="str">
        <f ca="1">IFERROR(__xludf.DUMMYFUNCTION("GOOGLETRANSLATE(A8121,""bn"",""en"")"),"The color is vibrant but the stitching is not durable")</f>
        <v>The color is vibrant but the stitching is not durable</v>
      </c>
    </row>
    <row r="8122" spans="1:3" ht="15.75" customHeight="1" x14ac:dyDescent="0.25">
      <c r="A8122" s="2" t="s">
        <v>8124</v>
      </c>
      <c r="B8122" s="3" t="s">
        <v>6</v>
      </c>
      <c r="C8122" s="2" t="str">
        <f ca="1">IFERROR(__xludf.DUMMYFUNCTION("GOOGLETRANSLATE(A8122,""bn"",""en"")"),"Boring and repetitive dull colors are unimaginative images")</f>
        <v>Boring and repetitive dull colors are unimaginative images</v>
      </c>
    </row>
    <row r="8123" spans="1:3" ht="15.75" customHeight="1" x14ac:dyDescent="0.25">
      <c r="A8123" s="2" t="s">
        <v>8125</v>
      </c>
      <c r="B8123" s="3" t="s">
        <v>4</v>
      </c>
      <c r="C8123" s="2" t="str">
        <f ca="1">IFERROR(__xludf.DUMMYFUNCTION("GOOGLETRANSLATE(A8123,""bn"",""en"")"),"Easy set up")</f>
        <v>Easy set up</v>
      </c>
    </row>
    <row r="8124" spans="1:3" ht="15.75" customHeight="1" x14ac:dyDescent="0.25">
      <c r="A8124" s="2" t="s">
        <v>8126</v>
      </c>
      <c r="B8124" s="3" t="s">
        <v>2</v>
      </c>
      <c r="C8124" s="2" t="str">
        <f ca="1">IFERROR(__xludf.DUMMYFUNCTION("GOOGLETRANSLATE(A8124,""bn"",""en"")"),"Available in different colors")</f>
        <v>Available in different colors</v>
      </c>
    </row>
    <row r="8125" spans="1:3" ht="15.75" customHeight="1" x14ac:dyDescent="0.25">
      <c r="A8125" s="2" t="s">
        <v>8127</v>
      </c>
      <c r="B8125" s="3" t="s">
        <v>4</v>
      </c>
      <c r="C8125" s="2" t="str">
        <f ca="1">IFERROR(__xludf.DUMMYFUNCTION("GOOGLETRANSLATE(A8125,""bn"",""en"")"),"The girl got full marks in her project")</f>
        <v>The girl got full marks in her project</v>
      </c>
    </row>
    <row r="8126" spans="1:3" ht="15.75" customHeight="1" x14ac:dyDescent="0.25">
      <c r="A8126" s="2" t="s">
        <v>8128</v>
      </c>
      <c r="B8126" s="3" t="s">
        <v>2</v>
      </c>
      <c r="C8126" s="2" t="str">
        <f ca="1">IFERROR(__xludf.DUMMYFUNCTION("GOOGLETRANSLATE(A8126,""bn"",""en"")"),"Expected more as per the price")</f>
        <v>Expected more as per the price</v>
      </c>
    </row>
    <row r="8127" spans="1:3" ht="15.75" customHeight="1" x14ac:dyDescent="0.25">
      <c r="A8127" s="2" t="s">
        <v>8129</v>
      </c>
      <c r="B8127" s="3" t="s">
        <v>6</v>
      </c>
      <c r="C8127" s="2" t="str">
        <f ca="1">IFERROR(__xludf.DUMMYFUNCTION("GOOGLETRANSLATE(A8127,""bn"",""en"")"),"An electric bike seat causes discomfort during an uncomfortable ride")</f>
        <v>An electric bike seat causes discomfort during an uncomfortable ride</v>
      </c>
    </row>
    <row r="8128" spans="1:3" ht="15.75" customHeight="1" x14ac:dyDescent="0.25">
      <c r="A8128" s="2" t="s">
        <v>8130</v>
      </c>
      <c r="B8128" s="3" t="s">
        <v>6</v>
      </c>
      <c r="C8128" s="2" t="str">
        <f ca="1">IFERROR(__xludf.DUMMYFUNCTION("GOOGLETRANSLATE(A8128,""bn"",""en"")"),"Electric scooter brakes are very sensitive making sudden stops jerky")</f>
        <v>Electric scooter brakes are very sensitive making sudden stops jerky</v>
      </c>
    </row>
    <row r="8129" spans="1:3" ht="15.75" customHeight="1" x14ac:dyDescent="0.25">
      <c r="A8129" s="2" t="s">
        <v>8131</v>
      </c>
      <c r="B8129" s="3" t="s">
        <v>4</v>
      </c>
      <c r="C8129" s="2" t="str">
        <f ca="1">IFERROR(__xludf.DUMMYFUNCTION("GOOGLETRANSLATE(A8129,""bn"",""en"")"),"Slim enough to fit securely in my wallet without creating extra bulk")</f>
        <v>Slim enough to fit securely in my wallet without creating extra bulk</v>
      </c>
    </row>
    <row r="8130" spans="1:3" ht="15.75" customHeight="1" x14ac:dyDescent="0.25">
      <c r="A8130" s="2" t="s">
        <v>8132</v>
      </c>
      <c r="B8130" s="3" t="s">
        <v>4</v>
      </c>
      <c r="C8130" s="2" t="str">
        <f ca="1">IFERROR(__xludf.DUMMYFUNCTION("GOOGLETRANSLATE(A8130,""bn"",""en"")"),"Great Android tablet")</f>
        <v>Great Android tablet</v>
      </c>
    </row>
    <row r="8131" spans="1:3" ht="15.75" customHeight="1" x14ac:dyDescent="0.25">
      <c r="A8131" s="2" t="s">
        <v>8133</v>
      </c>
      <c r="B8131" s="3" t="s">
        <v>2</v>
      </c>
      <c r="C8131" s="2" t="str">
        <f ca="1">IFERROR(__xludf.DUMMYFUNCTION("GOOGLETRANSLATE(A8131,""bn"",""en"")"),"The design is simple not extraordinary")</f>
        <v>The design is simple not extraordinary</v>
      </c>
    </row>
    <row r="8132" spans="1:3" ht="15.75" customHeight="1" x14ac:dyDescent="0.25">
      <c r="A8132" s="2" t="s">
        <v>8134</v>
      </c>
      <c r="B8132" s="3" t="s">
        <v>2</v>
      </c>
      <c r="C8132" s="2" t="str">
        <f ca="1">IFERROR(__xludf.DUMMYFUNCTION("GOOGLETRANSLATE(A8132,""bn"",""en"")"),"Retains color but less brightness")</f>
        <v>Retains color but less brightness</v>
      </c>
    </row>
    <row r="8133" spans="1:3" ht="15.75" customHeight="1" x14ac:dyDescent="0.25">
      <c r="A8133" s="2" t="s">
        <v>8135</v>
      </c>
      <c r="B8133" s="3" t="s">
        <v>6</v>
      </c>
      <c r="C8133" s="2" t="str">
        <f ca="1">IFERROR(__xludf.DUMMYFUNCTION("GOOGLETRANSLATE(A8133,""bn"",""en"")"),"Minifridges don't cool drinks and are a waste of space")</f>
        <v>Minifridges don't cool drinks and are a waste of space</v>
      </c>
    </row>
    <row r="8134" spans="1:3" ht="15.75" customHeight="1" x14ac:dyDescent="0.25">
      <c r="A8134" s="2" t="s">
        <v>8136</v>
      </c>
      <c r="B8134" s="3" t="s">
        <v>2</v>
      </c>
      <c r="C8134" s="2" t="str">
        <f ca="1">IFERROR(__xludf.DUMMYFUNCTION("GOOGLETRANSLATE(A8134,""bn"",""en"")"),"Keeps warm at night but feels a little hot during the day")</f>
        <v>Keeps warm at night but feels a little hot during the day</v>
      </c>
    </row>
    <row r="8135" spans="1:3" ht="15.75" customHeight="1" x14ac:dyDescent="0.25">
      <c r="A8135" s="2" t="s">
        <v>8137</v>
      </c>
      <c r="B8135" s="3" t="s">
        <v>6</v>
      </c>
      <c r="C8135" s="2" t="str">
        <f ca="1">IFERROR(__xludf.DUMMYFUNCTION("GOOGLETRANSLATE(A8135,""bn"",""en"")"),"Canned tuna had a fishy smell and overly salty taste indicating poor quality")</f>
        <v>Canned tuna had a fishy smell and overly salty taste indicating poor quality</v>
      </c>
    </row>
    <row r="8136" spans="1:3" ht="15.75" customHeight="1" x14ac:dyDescent="0.25">
      <c r="A8136" s="2" t="s">
        <v>8138</v>
      </c>
      <c r="B8136" s="3" t="s">
        <v>2</v>
      </c>
      <c r="C8136" s="2" t="str">
        <f ca="1">IFERROR(__xludf.DUMMYFUNCTION("GOOGLETRANSLATE(A8136,""bn"",""en"")"),"Good at first but may cause problems in long term use")</f>
        <v>Good at first but may cause problems in long term use</v>
      </c>
    </row>
    <row r="8137" spans="1:3" ht="15.75" customHeight="1" x14ac:dyDescent="0.25">
      <c r="A8137" s="2" t="s">
        <v>8139</v>
      </c>
      <c r="B8137" s="3" t="s">
        <v>4</v>
      </c>
      <c r="C8137" s="2" t="str">
        <f ca="1">IFERROR(__xludf.DUMMYFUNCTION("GOOGLETRANSLATE(A8137,""bn"",""en"")"),"The connectivity options of the device are very advanced")</f>
        <v>The connectivity options of the device are very advanced</v>
      </c>
    </row>
    <row r="8138" spans="1:3" ht="15.75" customHeight="1" x14ac:dyDescent="0.25">
      <c r="A8138" s="2" t="s">
        <v>8140</v>
      </c>
      <c r="B8138" s="3" t="s">
        <v>4</v>
      </c>
      <c r="C8138" s="2" t="str">
        <f ca="1">IFERROR(__xludf.DUMMYFUNCTION("GOOGLETRANSLATE(A8138,""bn"",""en"")"),"The book gave me a new perspective")</f>
        <v>The book gave me a new perspective</v>
      </c>
    </row>
    <row r="8139" spans="1:3" ht="15.75" customHeight="1" x14ac:dyDescent="0.25">
      <c r="A8139" s="2" t="s">
        <v>8141</v>
      </c>
      <c r="B8139" s="3" t="s">
        <v>4</v>
      </c>
      <c r="C8139" s="2" t="str">
        <f ca="1">IFERROR(__xludf.DUMMYFUNCTION("GOOGLETRANSLATE(A8139,""bn"",""en"")"),"This body wash has antiaging properties")</f>
        <v>This body wash has antiaging properties</v>
      </c>
    </row>
    <row r="8140" spans="1:3" ht="15.75" customHeight="1" x14ac:dyDescent="0.25">
      <c r="A8140" s="2" t="s">
        <v>8142</v>
      </c>
      <c r="B8140" s="3" t="s">
        <v>4</v>
      </c>
      <c r="C8140" s="2" t="str">
        <f ca="1">IFERROR(__xludf.DUMMYFUNCTION("GOOGLETRANSLATE(A8140,""bn"",""en"")"),"The light of the lamp spreads beautifully throughout the room")</f>
        <v>The light of the lamp spreads beautifully throughout the room</v>
      </c>
    </row>
    <row r="8141" spans="1:3" ht="15.75" customHeight="1" x14ac:dyDescent="0.25">
      <c r="A8141" s="2" t="s">
        <v>8143</v>
      </c>
      <c r="B8141" s="3" t="s">
        <v>6</v>
      </c>
      <c r="C8141" s="2" t="str">
        <f ca="1">IFERROR(__xludf.DUMMYFUNCTION("GOOGLETRANSLATE(A8141,""bn"",""en"")"),"Blush powder is very sheer and requires multiple layers for visible color")</f>
        <v>Blush powder is very sheer and requires multiple layers for visible color</v>
      </c>
    </row>
    <row r="8142" spans="1:3" ht="15.75" customHeight="1" x14ac:dyDescent="0.25">
      <c r="A8142" s="2" t="s">
        <v>8144</v>
      </c>
      <c r="B8142" s="3" t="s">
        <v>6</v>
      </c>
      <c r="C8142" s="2" t="str">
        <f ca="1">IFERROR(__xludf.DUMMYFUNCTION("GOOGLETRANSLATE(A8142,""bn"",""en"")")," The graphics card struggles to handle low-powered modern games and graphics-intensive applications")</f>
        <v xml:space="preserve"> The graphics card struggles to handle low-powered modern games and graphics-intensive applications</v>
      </c>
    </row>
    <row r="8143" spans="1:3" ht="15.75" customHeight="1" x14ac:dyDescent="0.25">
      <c r="A8143" s="2" t="s">
        <v>8145</v>
      </c>
      <c r="B8143" s="3" t="s">
        <v>2</v>
      </c>
      <c r="C8143" s="2" t="str">
        <f ca="1">IFERROR(__xludf.DUMMYFUNCTION("GOOGLETRANSLATE(A8143,""bn"",""en"")"),"It is effective but can be limited in some cases")</f>
        <v>It is effective but can be limited in some cases</v>
      </c>
    </row>
    <row r="8144" spans="1:3" ht="15.75" customHeight="1" x14ac:dyDescent="0.25">
      <c r="A8144" s="2" t="s">
        <v>8146</v>
      </c>
      <c r="B8144" s="3" t="s">
        <v>2</v>
      </c>
      <c r="C8144" s="2" t="str">
        <f ca="1">IFERROR(__xludf.DUMMYFUNCTION("GOOGLETRANSLATE(A8144,""bn"",""en"")"),"The fertilizer worked but the yield should have been higher")</f>
        <v>The fertilizer worked but the yield should have been higher</v>
      </c>
    </row>
    <row r="8145" spans="1:3" ht="15.75" customHeight="1" x14ac:dyDescent="0.25">
      <c r="A8145" s="2" t="s">
        <v>8147</v>
      </c>
      <c r="B8145" s="3" t="s">
        <v>4</v>
      </c>
      <c r="C8145" s="2" t="str">
        <f ca="1">IFERROR(__xludf.DUMMYFUNCTION("GOOGLETRANSLATE(A8145,""bn"",""en"")"),"Been using it for a long time and still running without problems")</f>
        <v>Been using it for a long time and still running without problems</v>
      </c>
    </row>
    <row r="8146" spans="1:3" ht="15.75" customHeight="1" x14ac:dyDescent="0.25">
      <c r="A8146" s="2" t="s">
        <v>8148</v>
      </c>
      <c r="B8146" s="3" t="s">
        <v>4</v>
      </c>
      <c r="C8146" s="2" t="str">
        <f ca="1">IFERROR(__xludf.DUMMYFUNCTION("GOOGLETRANSLATE(A8146,""bn"",""en"")"),"Mornings are always equally interesting")</f>
        <v>Mornings are always equally interesting</v>
      </c>
    </row>
    <row r="8147" spans="1:3" ht="15.75" customHeight="1" x14ac:dyDescent="0.25">
      <c r="A8147" s="2" t="s">
        <v>8149</v>
      </c>
      <c r="B8147" s="3" t="s">
        <v>4</v>
      </c>
      <c r="C8147" s="2" t="str">
        <f ca="1">IFERROR(__xludf.DUMMYFUNCTION("GOOGLETRANSLATE(A8147,""bn"",""en"")"),"The packaging is also quite attractive")</f>
        <v>The packaging is also quite attractive</v>
      </c>
    </row>
    <row r="8148" spans="1:3" ht="15.75" customHeight="1" x14ac:dyDescent="0.25">
      <c r="A8148" s="2" t="s">
        <v>8150</v>
      </c>
      <c r="B8148" s="3" t="s">
        <v>6</v>
      </c>
      <c r="C8148" s="2" t="str">
        <f ca="1">IFERROR(__xludf.DUMMYFUNCTION("GOOGLETRANSLATE(A8148,""bn"",""en"")"),"Earphones have poor sound quality with muddy bass and muffled highs resulting in an unsatisfying listening experience.")</f>
        <v>Earphones have poor sound quality with muddy bass and muffled highs resulting in an unsatisfying listening experience.</v>
      </c>
    </row>
    <row r="8149" spans="1:3" ht="15.75" customHeight="1" x14ac:dyDescent="0.25">
      <c r="A8149" s="2" t="s">
        <v>8151</v>
      </c>
      <c r="B8149" s="3" t="s">
        <v>6</v>
      </c>
      <c r="C8149" s="2" t="str">
        <f ca="1">IFERROR(__xludf.DUMMYFUNCTION("GOOGLETRANSLATE(A8149,""bn"",""en"")"),"The multifunctional gadget promised to make my life easier but made things more complicated with its confusing controls.")</f>
        <v>The multifunctional gadget promised to make my life easier but made things more complicated with its confusing controls.</v>
      </c>
    </row>
    <row r="8150" spans="1:3" ht="15.75" customHeight="1" x14ac:dyDescent="0.25">
      <c r="A8150" s="2" t="s">
        <v>8152</v>
      </c>
      <c r="B8150" s="3" t="s">
        <v>2</v>
      </c>
      <c r="C8150" s="2" t="str">
        <f ca="1">IFERROR(__xludf.DUMMYFUNCTION("GOOGLETRANSLATE(A8150,""bn"",""en"")"),"Origin: South America, probably Brazil")</f>
        <v>Origin: South America, probably Brazil</v>
      </c>
    </row>
    <row r="8151" spans="1:3" ht="15.75" customHeight="1" x14ac:dyDescent="0.25">
      <c r="A8151" s="2" t="s">
        <v>8153</v>
      </c>
      <c r="B8151" s="3" t="s">
        <v>4</v>
      </c>
      <c r="C8151" s="2" t="str">
        <f ca="1">IFERROR(__xludf.DUMMYFUNCTION("GOOGLETRANSLATE(A8151,""bn"",""en"")"),"I didn't expect such a good laptop for such a low price so happy I'm absolutely impressed")</f>
        <v>I didn't expect such a good laptop for such a low price so happy I'm absolutely impressed</v>
      </c>
    </row>
    <row r="8152" spans="1:3" ht="15.75" customHeight="1" x14ac:dyDescent="0.25">
      <c r="A8152" s="2" t="s">
        <v>8154</v>
      </c>
      <c r="B8152" s="3" t="s">
        <v>2</v>
      </c>
      <c r="C8152" s="2" t="str">
        <f ca="1">IFERROR(__xludf.DUMMYFUNCTION("GOOGLETRANSLATE(A8152,""bn"",""en"")"),"Dirt can accumulate gradually")</f>
        <v>Dirt can accumulate gradually</v>
      </c>
    </row>
    <row r="8153" spans="1:3" ht="15.75" customHeight="1" x14ac:dyDescent="0.25">
      <c r="A8153" s="2" t="s">
        <v>8155</v>
      </c>
      <c r="B8153" s="3" t="s">
        <v>4</v>
      </c>
      <c r="C8153" s="2" t="str">
        <f ca="1">IFERROR(__xludf.DUMMYFUNCTION("GOOGLETRANSLATE(A8153,""bn"",""en"")"),"The makeup kit's foundation gives a smooth finish to the skin")</f>
        <v>The makeup kit's foundation gives a smooth finish to the skin</v>
      </c>
    </row>
    <row r="8154" spans="1:3" ht="15.75" customHeight="1" x14ac:dyDescent="0.25">
      <c r="A8154" s="2" t="s">
        <v>8156</v>
      </c>
      <c r="B8154" s="3" t="s">
        <v>4</v>
      </c>
      <c r="C8154" s="2" t="str">
        <f ca="1">IFERROR(__xludf.DUMMYFUNCTION("GOOGLETRANSLATE(A8154,""bn"",""en"")"),"The size fits perfectly on the bed and the sheet does not bunch up anywhere")</f>
        <v>The size fits perfectly on the bed and the sheet does not bunch up anywhere</v>
      </c>
    </row>
    <row r="8155" spans="1:3" ht="15.75" customHeight="1" x14ac:dyDescent="0.25">
      <c r="A8155" s="2" t="s">
        <v>8157</v>
      </c>
      <c r="B8155" s="3" t="s">
        <v>4</v>
      </c>
      <c r="C8155" s="2" t="str">
        <f ca="1">IFERROR(__xludf.DUMMYFUNCTION("GOOGLETRANSLATE(A8155,""bn"",""en"")"),"The size of the makeup kit is very compact")</f>
        <v>The size of the makeup kit is very compact</v>
      </c>
    </row>
    <row r="8156" spans="1:3" ht="15.75" customHeight="1" x14ac:dyDescent="0.25">
      <c r="A8156" s="2" t="s">
        <v>8158</v>
      </c>
      <c r="B8156" s="3" t="s">
        <v>4</v>
      </c>
      <c r="C8156" s="2" t="str">
        <f ca="1">IFERROR(__xludf.DUMMYFUNCTION("GOOGLETRANSLATE(A8156,""bn"",""en"")"),"Its taste reminds me of sunrise in the morning")</f>
        <v>Its taste reminds me of sunrise in the morning</v>
      </c>
    </row>
    <row r="8157" spans="1:3" ht="15.75" customHeight="1" x14ac:dyDescent="0.25">
      <c r="A8157" s="2" t="s">
        <v>8159</v>
      </c>
      <c r="B8157" s="3" t="s">
        <v>2</v>
      </c>
      <c r="C8157" s="2" t="str">
        <f ca="1">IFERROR(__xludf.DUMMYFUNCTION("GOOGLETRANSLATE(A8157,""bn"",""en"")"),"Cleaning is relatively easy")</f>
        <v>Cleaning is relatively easy</v>
      </c>
    </row>
    <row r="8158" spans="1:3" ht="15.75" customHeight="1" x14ac:dyDescent="0.25">
      <c r="A8158" s="2" t="s">
        <v>8160</v>
      </c>
      <c r="B8158" s="3" t="s">
        <v>4</v>
      </c>
      <c r="C8158" s="2" t="str">
        <f ca="1">IFERROR(__xludf.DUMMYFUNCTION("GOOGLETRANSLATE(A8158,""bn"",""en"")"),"The glasses frame is very strong and lightweight")</f>
        <v>The glasses frame is very strong and lightweight</v>
      </c>
    </row>
    <row r="8159" spans="1:3" ht="15.75" customHeight="1" x14ac:dyDescent="0.25">
      <c r="A8159" s="2" t="s">
        <v>8161</v>
      </c>
      <c r="B8159" s="3" t="s">
        <v>4</v>
      </c>
      <c r="C8159" s="2" t="str">
        <f ca="1">IFERROR(__xludf.DUMMYFUNCTION("GOOGLETRANSLATE(A8159,""bn"",""en"")"),"You can speak in a beautiful and clear sound")</f>
        <v>You can speak in a beautiful and clear sound</v>
      </c>
    </row>
    <row r="8160" spans="1:3" ht="15.75" customHeight="1" x14ac:dyDescent="0.25">
      <c r="A8160" s="2" t="s">
        <v>8162</v>
      </c>
      <c r="B8160" s="3" t="s">
        <v>2</v>
      </c>
      <c r="C8160" s="2" t="str">
        <f ca="1">IFERROR(__xludf.DUMMYFUNCTION("GOOGLETRANSLATE(A8160,""bn"",""en"")"),"Less sweet but could have been a bit more intense")</f>
        <v>Less sweet but could have been a bit more intense</v>
      </c>
    </row>
    <row r="8161" spans="1:3" ht="15.75" customHeight="1" x14ac:dyDescent="0.25">
      <c r="A8161" s="2" t="s">
        <v>8163</v>
      </c>
      <c r="B8161" s="3" t="s">
        <v>2</v>
      </c>
      <c r="C8161" s="2" t="str">
        <f ca="1">IFERROR(__xludf.DUMMYFUNCTION("GOOGLETRANSLATE(A8161,""bn"",""en"")"),"The fabric is very thin and stiff")</f>
        <v>The fabric is very thin and stiff</v>
      </c>
    </row>
    <row r="8162" spans="1:3" ht="15.75" customHeight="1" x14ac:dyDescent="0.25">
      <c r="A8162" s="2" t="s">
        <v>8164</v>
      </c>
      <c r="B8162" s="3" t="s">
        <v>6</v>
      </c>
      <c r="C8162" s="2" t="str">
        <f ca="1">IFERROR(__xludf.DUMMYFUNCTION("GOOGLETRANSLATE(A8162,""bn"",""en"")"),"Cones in the formula leave a greasy residue on the hair that makes the hair look untidy and heavy")</f>
        <v>Cones in the formula leave a greasy residue on the hair that makes the hair look untidy and heavy</v>
      </c>
    </row>
    <row r="8163" spans="1:3" ht="15.75" customHeight="1" x14ac:dyDescent="0.25">
      <c r="A8163" s="2" t="s">
        <v>8165</v>
      </c>
      <c r="B8163" s="3" t="s">
        <v>6</v>
      </c>
      <c r="C8163" s="2" t="str">
        <f ca="1">IFERROR(__xludf.DUMMYFUNCTION("GOOGLETRANSLATE(A8163,""bn"",""en"")"),"The contour powder is very warm toned it looks orange on the skin")</f>
        <v>The contour powder is very warm toned it looks orange on the skin</v>
      </c>
    </row>
    <row r="8164" spans="1:3" ht="15.75" customHeight="1" x14ac:dyDescent="0.25">
      <c r="A8164" s="2" t="s">
        <v>8166</v>
      </c>
      <c r="B8164" s="3" t="s">
        <v>4</v>
      </c>
      <c r="C8164" s="2" t="str">
        <f ca="1">IFERROR(__xludf.DUMMYFUNCTION("GOOGLETRANSLATE(A8164,""bn"",""en"")"),"Beauty soap reduces oiliness of the skin")</f>
        <v>Beauty soap reduces oiliness of the skin</v>
      </c>
    </row>
    <row r="8165" spans="1:3" ht="15.75" customHeight="1" x14ac:dyDescent="0.25">
      <c r="A8165" s="2" t="s">
        <v>8167</v>
      </c>
      <c r="B8165" s="3" t="s">
        <v>4</v>
      </c>
      <c r="C8165" s="2" t="str">
        <f ca="1">IFERROR(__xludf.DUMMYFUNCTION("GOOGLETRANSLATE(A8165,""bn"",""en"")"),"Good little camera slow app")</f>
        <v>Good little camera slow app</v>
      </c>
    </row>
    <row r="8166" spans="1:3" ht="15.75" customHeight="1" x14ac:dyDescent="0.25">
      <c r="A8166" s="2" t="s">
        <v>8168</v>
      </c>
      <c r="B8166" s="3" t="s">
        <v>2</v>
      </c>
      <c r="C8166" s="2" t="str">
        <f ca="1">IFERROR(__xludf.DUMMYFUNCTION("GOOGLETRANSLATE(A8166,""bn"",""en"")"),"Enhances the beauty of the room but not dramatically")</f>
        <v>Enhances the beauty of the room but not dramatically</v>
      </c>
    </row>
    <row r="8167" spans="1:3" ht="15.75" customHeight="1" x14ac:dyDescent="0.25">
      <c r="A8167" s="2" t="s">
        <v>8169</v>
      </c>
      <c r="B8167" s="3" t="s">
        <v>6</v>
      </c>
      <c r="C8167" s="2" t="str">
        <f ca="1">IFERROR(__xludf.DUMMYFUNCTION("GOOGLETRANSLATE(A8167,""bn"",""en"")"),"The boxed stuffing mix had a bland texture and artificial flavor, a far cry from homemade stuffing")</f>
        <v>The boxed stuffing mix had a bland texture and artificial flavor, a far cry from homemade stuffing</v>
      </c>
    </row>
    <row r="8168" spans="1:3" ht="15.75" customHeight="1" x14ac:dyDescent="0.25">
      <c r="A8168" s="2" t="s">
        <v>8170</v>
      </c>
      <c r="B8168" s="3" t="s">
        <v>6</v>
      </c>
      <c r="C8168" s="2" t="str">
        <f ca="1">IFERROR(__xludf.DUMMYFUNCTION("GOOGLETRANSLATE(A8168,""bn"",""en"")"),"Safety of product received without seal is uncertain")</f>
        <v>Safety of product received without seal is uncertain</v>
      </c>
    </row>
    <row r="8169" spans="1:3" ht="15.75" customHeight="1" x14ac:dyDescent="0.25">
      <c r="A8169" s="2" t="s">
        <v>8171</v>
      </c>
      <c r="B8169" s="3" t="s">
        <v>6</v>
      </c>
      <c r="C8169" s="2" t="str">
        <f ca="1">IFERROR(__xludf.DUMMYFUNCTION("GOOGLETRANSLATE(A8169,""bn"",""en"")"),"Limited battery capacity requires carrying multiple accessories for extended shooting sessions")</f>
        <v>Limited battery capacity requires carrying multiple accessories for extended shooting sessions</v>
      </c>
    </row>
    <row r="8170" spans="1:3" ht="15.75" customHeight="1" x14ac:dyDescent="0.25">
      <c r="A8170" s="2" t="s">
        <v>8172</v>
      </c>
      <c r="B8170" s="3" t="s">
        <v>2</v>
      </c>
      <c r="C8170" s="2" t="str">
        <f ca="1">IFERROR(__xludf.DUMMYFUNCTION("GOOGLETRANSLATE(A8170,""bn"",""en"")"),"It may lack durability")</f>
        <v>It may lack durability</v>
      </c>
    </row>
    <row r="8171" spans="1:3" ht="15.75" customHeight="1" x14ac:dyDescent="0.25">
      <c r="A8171" s="2" t="s">
        <v>8173</v>
      </c>
      <c r="B8171" s="3" t="s">
        <v>4</v>
      </c>
      <c r="C8171" s="2" t="str">
        <f ca="1">IFERROR(__xludf.DUMMYFUNCTION("GOOGLETRANSLATE(A8171,""bn"",""en"")"),"It is still working well after many uses")</f>
        <v>It is still working well after many uses</v>
      </c>
    </row>
    <row r="8172" spans="1:3" ht="15.75" customHeight="1" x14ac:dyDescent="0.25">
      <c r="A8172" s="2" t="s">
        <v>8174</v>
      </c>
      <c r="B8172" s="3" t="s">
        <v>4</v>
      </c>
      <c r="C8172" s="2" t="str">
        <f ca="1">IFERROR(__xludf.DUMMYFUNCTION("GOOGLETRANSLATE(A8172,""bn"",""en"")"),"Heating capacity is sufficient")</f>
        <v>Heating capacity is sufficient</v>
      </c>
    </row>
    <row r="8173" spans="1:3" ht="15.75" customHeight="1" x14ac:dyDescent="0.25">
      <c r="A8173" s="2" t="s">
        <v>8175</v>
      </c>
      <c r="B8173" s="3" t="s">
        <v>2</v>
      </c>
      <c r="C8173" s="2" t="str">
        <f ca="1">IFERROR(__xludf.DUMMYFUNCTION("GOOGLETRANSLATE(A8173,""bn"",""en"")"),"Can be used for food storage but not completely airtight")</f>
        <v>Can be used for food storage but not completely airtight</v>
      </c>
    </row>
    <row r="8174" spans="1:3" ht="15.75" customHeight="1" x14ac:dyDescent="0.25">
      <c r="A8174" s="2" t="s">
        <v>8176</v>
      </c>
      <c r="B8174" s="3" t="s">
        <v>2</v>
      </c>
      <c r="C8174" s="2" t="str">
        <f ca="1">IFERROR(__xludf.DUMMYFUNCTION("GOOGLETRANSLATE(A8174,""bn"",""en"")"),"Can be used but doubt if it will last long")</f>
        <v>Can be used but doubt if it will last long</v>
      </c>
    </row>
    <row r="8175" spans="1:3" ht="15.75" customHeight="1" x14ac:dyDescent="0.25">
      <c r="A8175" s="2" t="s">
        <v>8177</v>
      </c>
      <c r="B8175" s="3" t="s">
        <v>2</v>
      </c>
      <c r="C8175" s="2" t="str">
        <f ca="1">IFERROR(__xludf.DUMMYFUNCTION("GOOGLETRANSLATE(A8175,""bn"",""en"")"),"A bit noisy but not bad for lowering the temperature ")</f>
        <v xml:space="preserve">A bit noisy but not bad for lowering the temperature </v>
      </c>
    </row>
    <row r="8176" spans="1:3" ht="15.75" customHeight="1" x14ac:dyDescent="0.25">
      <c r="A8176" s="2" t="s">
        <v>8178</v>
      </c>
      <c r="B8176" s="3" t="s">
        <v>4</v>
      </c>
      <c r="C8176" s="2" t="str">
        <f ca="1">IFERROR(__xludf.DUMMYFUNCTION("GOOGLETRANSLATE(A8176,""bn"",""en"")"),"Biscuits are perfect for the right sized bite")</f>
        <v>Biscuits are perfect for the right sized bite</v>
      </c>
    </row>
    <row r="8177" spans="1:3" ht="15.75" customHeight="1" x14ac:dyDescent="0.25">
      <c r="A8177" s="2" t="s">
        <v>8179</v>
      </c>
      <c r="B8177" s="3" t="s">
        <v>2</v>
      </c>
      <c r="C8177" s="2" t="str">
        <f ca="1">IFERROR(__xludf.DUMMYFUNCTION("GOOGLETRANSLATE(A8177,""bn"",""en"")"),"The drink is very sweet but the sugar content is a little high")</f>
        <v>The drink is very sweet but the sugar content is a little high</v>
      </c>
    </row>
    <row r="8178" spans="1:3" ht="15.75" customHeight="1" x14ac:dyDescent="0.25">
      <c r="A8178" s="2" t="s">
        <v>8180</v>
      </c>
      <c r="B8178" s="3" t="s">
        <v>4</v>
      </c>
      <c r="C8178" s="2" t="str">
        <f ca="1">IFERROR(__xludf.DUMMYFUNCTION("GOOGLETRANSLATE(A8178,""bn"",""en"")"),"Perfect quality")</f>
        <v>Perfect quality</v>
      </c>
    </row>
    <row r="8179" spans="1:3" ht="15.75" customHeight="1" x14ac:dyDescent="0.25">
      <c r="A8179" s="2" t="s">
        <v>8181</v>
      </c>
      <c r="B8179" s="3" t="s">
        <v>4</v>
      </c>
      <c r="C8179" s="2" t="str">
        <f ca="1">IFERROR(__xludf.DUMMYFUNCTION("GOOGLETRANSLATE(A8179,""bn"",""en"")"),"Not affected by ambient temperature changes")</f>
        <v>Not affected by ambient temperature changes</v>
      </c>
    </row>
    <row r="8180" spans="1:3" ht="15.75" customHeight="1" x14ac:dyDescent="0.25">
      <c r="A8180" s="2" t="s">
        <v>8182</v>
      </c>
      <c r="B8180" s="3" t="s">
        <v>4</v>
      </c>
      <c r="C8180" s="2" t="str">
        <f ca="1">IFERROR(__xludf.DUMMYFUNCTION("GOOGLETRANSLATE(A8180,""bn"",""en"")"),"It feels like watching a live scene")</f>
        <v>It feels like watching a live scene</v>
      </c>
    </row>
    <row r="8181" spans="1:3" ht="15.75" customHeight="1" x14ac:dyDescent="0.25">
      <c r="A8181" s="2" t="s">
        <v>8183</v>
      </c>
      <c r="B8181" s="3" t="s">
        <v>6</v>
      </c>
      <c r="C8181" s="2" t="str">
        <f ca="1">IFERROR(__xludf.DUMMYFUNCTION("GOOGLETRANSLATE(A8181,""bn"",""en"")")," The power cord is frayed and damaged creating a safety hazard")</f>
        <v xml:space="preserve"> The power cord is frayed and damaged creating a safety hazard</v>
      </c>
    </row>
    <row r="8182" spans="1:3" ht="15.75" customHeight="1" x14ac:dyDescent="0.25">
      <c r="A8182" s="2" t="s">
        <v>8184</v>
      </c>
      <c r="B8182" s="3" t="s">
        <v>2</v>
      </c>
      <c r="C8182" s="2" t="str">
        <f ca="1">IFERROR(__xludf.DUMMYFUNCTION("GOOGLETRANSLATE(A8182,""bn"",""en"")"),"It may not always stop spills and the iPad can be challenging to use")</f>
        <v>It may not always stop spills and the iPad can be challenging to use</v>
      </c>
    </row>
    <row r="8183" spans="1:3" ht="15.75" customHeight="1" x14ac:dyDescent="0.25">
      <c r="A8183" s="2" t="s">
        <v>8185</v>
      </c>
      <c r="B8183" s="3" t="s">
        <v>6</v>
      </c>
      <c r="C8183" s="2" t="str">
        <f ca="1">IFERROR(__xludf.DUMMYFUNCTION("GOOGLETRANSLATE(A8183,""bn"",""en"")"),"Thin walls make containers prone to cracking")</f>
        <v>Thin walls make containers prone to cracking</v>
      </c>
    </row>
    <row r="8184" spans="1:3" ht="15.75" customHeight="1" x14ac:dyDescent="0.25">
      <c r="A8184" s="2" t="s">
        <v>8186</v>
      </c>
      <c r="B8184" s="3" t="s">
        <v>2</v>
      </c>
      <c r="C8184" s="2" t="str">
        <f ca="1">IFERROR(__xludf.DUMMYFUNCTION("GOOGLETRANSLATE(A8184,""bn"",""en"")"),"The drink is plain but tastes good")</f>
        <v>The drink is plain but tastes good</v>
      </c>
    </row>
    <row r="8185" spans="1:3" ht="15.75" customHeight="1" x14ac:dyDescent="0.25">
      <c r="A8185" s="2" t="s">
        <v>8187</v>
      </c>
      <c r="B8185" s="3" t="s">
        <v>6</v>
      </c>
      <c r="C8185" s="2" t="str">
        <f ca="1">IFERROR(__xludf.DUMMYFUNCTION("GOOGLETRANSLATE(A8185,""bn"",""en"")"),"The material of the teething toy is very hard which poses a choking hazard")</f>
        <v>The material of the teething toy is very hard which poses a choking hazard</v>
      </c>
    </row>
    <row r="8186" spans="1:3" ht="15.75" customHeight="1" x14ac:dyDescent="0.25">
      <c r="A8186" s="2" t="s">
        <v>8188</v>
      </c>
      <c r="B8186" s="3" t="s">
        <v>4</v>
      </c>
      <c r="C8186" s="2" t="str">
        <f ca="1">IFERROR(__xludf.DUMMYFUNCTION("GOOGLETRANSLATE(A8186,""bn"",""en"")"),"Exceptional performance and power Great product Very nice")</f>
        <v>Exceptional performance and power Great product Very nice</v>
      </c>
    </row>
    <row r="8187" spans="1:3" ht="15.75" customHeight="1" x14ac:dyDescent="0.25">
      <c r="A8187" s="2" t="s">
        <v>8189</v>
      </c>
      <c r="B8187" s="3" t="s">
        <v>6</v>
      </c>
      <c r="C8187" s="2" t="str">
        <f ca="1">IFERROR(__xludf.DUMMYFUNCTION("GOOGLETRANSLATE(A8187,""bn"",""en"")"),"  There was a strange design that looked nothing like the photos online which led to disappointment")</f>
        <v xml:space="preserve">  There was a strange design that looked nothing like the photos online which led to disappointment</v>
      </c>
    </row>
    <row r="8188" spans="1:3" ht="15.75" customHeight="1" x14ac:dyDescent="0.25">
      <c r="A8188" s="2" t="s">
        <v>8190</v>
      </c>
      <c r="B8188" s="3" t="s">
        <v>2</v>
      </c>
      <c r="C8188" s="2" t="str">
        <f ca="1">IFERROR(__xludf.DUMMYFUNCTION("GOOGLETRANSLATE(A8188,""bn"",""en"")"),"The fabric is somewhat average")</f>
        <v>The fabric is somewhat average</v>
      </c>
    </row>
    <row r="8189" spans="1:3" ht="15.75" customHeight="1" x14ac:dyDescent="0.25">
      <c r="A8189" s="2" t="s">
        <v>8191</v>
      </c>
      <c r="B8189" s="3" t="s">
        <v>6</v>
      </c>
      <c r="C8189" s="2" t="str">
        <f ca="1">IFERROR(__xludf.DUMMYFUNCTION("GOOGLETRANSLATE(A8189,""bn"",""en"")"),"Hair masks weigh hair down and leave it feeling greasy and greasy instead of nourishing and revitalizing it.")</f>
        <v>Hair masks weigh hair down and leave it feeling greasy and greasy instead of nourishing and revitalizing it.</v>
      </c>
    </row>
    <row r="8190" spans="1:3" ht="15.75" customHeight="1" x14ac:dyDescent="0.25">
      <c r="A8190" s="2" t="s">
        <v>8192</v>
      </c>
      <c r="B8190" s="3" t="s">
        <v>2</v>
      </c>
      <c r="C8190" s="2" t="str">
        <f ca="1">IFERROR(__xludf.DUMMYFUNCTION("GOOGLETRANSLATE(A8190,""bn"",""en"")"),"The sweetness is ok but the sugar content seems a bit high")</f>
        <v>The sweetness is ok but the sugar content seems a bit high</v>
      </c>
    </row>
    <row r="8191" spans="1:3" ht="15.75" customHeight="1" x14ac:dyDescent="0.25">
      <c r="A8191" s="2" t="s">
        <v>8193</v>
      </c>
      <c r="B8191" s="3" t="s">
        <v>2</v>
      </c>
      <c r="C8191" s="2" t="str">
        <f ca="1">IFERROR(__xludf.DUMMYFUNCTION("GOOGLETRANSLATE(A8191,""bn"",""en"")"),"Improves the mood of the room but not excessively")</f>
        <v>Improves the mood of the room but not excessively</v>
      </c>
    </row>
    <row r="8192" spans="1:3" ht="15.75" customHeight="1" x14ac:dyDescent="0.25">
      <c r="A8192" s="2" t="s">
        <v>8194</v>
      </c>
      <c r="B8192" s="3" t="s">
        <v>4</v>
      </c>
      <c r="C8192" s="2" t="str">
        <f ca="1">IFERROR(__xludf.DUMMYFUNCTION("GOOGLETRANSLATE(A8192,""bn"",""en"")"),"You will feel complacent using this body wash")</f>
        <v>You will feel complacent using this body wash</v>
      </c>
    </row>
    <row r="8193" spans="1:3" ht="15.75" customHeight="1" x14ac:dyDescent="0.25">
      <c r="A8193" s="2" t="s">
        <v>8195</v>
      </c>
      <c r="B8193" s="3" t="s">
        <v>2</v>
      </c>
      <c r="C8193" s="2" t="str">
        <f ca="1">IFERROR(__xludf.DUMMYFUNCTION("GOOGLETRANSLATE(A8193,""bn"",""en"")"),"A review of outdoor wired security cameras may have limited reliability")</f>
        <v>A review of outdoor wired security cameras may have limited reliability</v>
      </c>
    </row>
    <row r="8194" spans="1:3" ht="15.75" customHeight="1" x14ac:dyDescent="0.25">
      <c r="A8194" s="2" t="s">
        <v>8196</v>
      </c>
      <c r="B8194" s="3" t="s">
        <v>4</v>
      </c>
      <c r="C8194" s="2" t="str">
        <f ca="1">IFERROR(__xludf.DUMMYFUNCTION("GOOGLETRANSLATE(A8194,""bn"",""en"")"),"This set has completely changed the look of my room")</f>
        <v>This set has completely changed the look of my room</v>
      </c>
    </row>
    <row r="8195" spans="1:3" ht="15.75" customHeight="1" x14ac:dyDescent="0.25">
      <c r="A8195" s="2" t="s">
        <v>8197</v>
      </c>
      <c r="B8195" s="3" t="s">
        <v>6</v>
      </c>
      <c r="C8195" s="2" t="str">
        <f ca="1">IFERROR(__xludf.DUMMYFUNCTION("GOOGLETRANSLATE(A8195,""bn"",""en"")"),"Packaging was difficult to open, adult assistance required")</f>
        <v>Packaging was difficult to open, adult assistance required</v>
      </c>
    </row>
    <row r="8196" spans="1:3" ht="15.75" customHeight="1" x14ac:dyDescent="0.25">
      <c r="A8196" s="2" t="s">
        <v>8198</v>
      </c>
      <c r="B8196" s="3" t="s">
        <v>4</v>
      </c>
      <c r="C8196" s="2" t="str">
        <f ca="1">IFERROR(__xludf.DUMMYFUNCTION("GOOGLETRANSLATE(A8196,""bn"",""en"")"),"Looks like expensive clothes")</f>
        <v>Looks like expensive clothes</v>
      </c>
    </row>
    <row r="8197" spans="1:3" ht="15.75" customHeight="1" x14ac:dyDescent="0.25">
      <c r="A8197" s="2" t="s">
        <v>8199</v>
      </c>
      <c r="B8197" s="3" t="s">
        <v>2</v>
      </c>
      <c r="C8197" s="2" t="str">
        <f ca="1">IFERROR(__xludf.DUMMYFUNCTION("GOOGLETRANSLATE(A8197,""bn"",""en"")"),"The wireless ear cleaner cleans the ears but the camera quality is poor")</f>
        <v>The wireless ear cleaner cleans the ears but the camera quality is poor</v>
      </c>
    </row>
    <row r="8198" spans="1:3" ht="15.75" customHeight="1" x14ac:dyDescent="0.25">
      <c r="A8198" s="2" t="s">
        <v>8200</v>
      </c>
      <c r="B8198" s="3" t="s">
        <v>4</v>
      </c>
      <c r="C8198" s="2" t="str">
        <f ca="1">IFERROR(__xludf.DUMMYFUNCTION("GOOGLETRANSLATE(A8198,""bn"",""en"")"),"Oraimo always gives best product quality great box had only one seal on bottom better to have one on top too")</f>
        <v>Oraimo always gives best product quality great box had only one seal on bottom better to have one on top too</v>
      </c>
    </row>
    <row r="8199" spans="1:3" ht="15.75" customHeight="1" x14ac:dyDescent="0.25">
      <c r="A8199" s="2" t="s">
        <v>8201</v>
      </c>
      <c r="B8199" s="3" t="s">
        <v>6</v>
      </c>
      <c r="C8199" s="2" t="str">
        <f ca="1">IFERROR(__xludf.DUMMYFUNCTION("GOOGLETRANSLATE(A8199,""bn"",""en"")"),"Exfoliating scrubs contain large abrasive particles that scratch and damage the skin's surface")</f>
        <v>Exfoliating scrubs contain large abrasive particles that scratch and damage the skin's surface</v>
      </c>
    </row>
    <row r="8200" spans="1:3" ht="15.75" customHeight="1" x14ac:dyDescent="0.25">
      <c r="A8200" s="2" t="s">
        <v>8202</v>
      </c>
      <c r="B8200" s="3" t="s">
        <v>6</v>
      </c>
      <c r="C8200" s="2" t="str">
        <f ca="1">IFERROR(__xludf.DUMMYFUNCTION("GOOGLETRANSLATE(A8200,""bn"",""en"")"),"The mattress sags in the middle creating an uncomfortable dip that affects sleep quality")</f>
        <v>The mattress sags in the middle creating an uncomfortable dip that affects sleep quality</v>
      </c>
    </row>
    <row r="8201" spans="1:3" ht="15.75" customHeight="1" x14ac:dyDescent="0.25">
      <c r="A8201" s="2" t="s">
        <v>8203</v>
      </c>
      <c r="B8201" s="3" t="s">
        <v>4</v>
      </c>
      <c r="C8201" s="2" t="str">
        <f ca="1">IFERROR(__xludf.DUMMYFUNCTION("GOOGLETRANSLATE(A8201,""bn"",""en"")"),"The design is modern and attractive")</f>
        <v>The design is modern and attractive</v>
      </c>
    </row>
    <row r="8202" spans="1:3" ht="15.75" customHeight="1" x14ac:dyDescent="0.25">
      <c r="A8202" s="2" t="s">
        <v>8204</v>
      </c>
      <c r="B8202" s="3" t="s">
        <v>4</v>
      </c>
      <c r="C8202" s="2" t="str">
        <f ca="1">IFERROR(__xludf.DUMMYFUNCTION("GOOGLETRANSLATE(A8202,""bn"",""en"")"),"Being energy efficient, the electricity bill does not increase much")</f>
        <v>Being energy efficient, the electricity bill does not increase much</v>
      </c>
    </row>
    <row r="8203" spans="1:3" ht="15.75" customHeight="1" x14ac:dyDescent="0.25">
      <c r="A8203" s="2" t="s">
        <v>8205</v>
      </c>
      <c r="B8203" s="3" t="s">
        <v>6</v>
      </c>
      <c r="C8203" s="2" t="str">
        <f ca="1">IFERROR(__xludf.DUMMYFUNCTION("GOOGLETRANSLATE(A8203,""bn"",""en"")"),"The power bank's charging cable connector is poorly designed and breaks easily after repeated use")</f>
        <v>The power bank's charging cable connector is poorly designed and breaks easily after repeated use</v>
      </c>
    </row>
    <row r="8204" spans="1:3" ht="15.75" customHeight="1" x14ac:dyDescent="0.25">
      <c r="A8204" s="2" t="s">
        <v>8206</v>
      </c>
      <c r="B8204" s="3" t="s">
        <v>6</v>
      </c>
      <c r="C8204" s="2" t="str">
        <f ca="1">IFERROR(__xludf.DUMMYFUNCTION("GOOGLETRANSLATE(A8204,""bn"",""en"")"),"Electric toothbrush stopped working after a week not replaced")</f>
        <v>Electric toothbrush stopped working after a week not replaced</v>
      </c>
    </row>
    <row r="8205" spans="1:3" ht="15.75" customHeight="1" x14ac:dyDescent="0.25">
      <c r="A8205" s="2" t="s">
        <v>8207</v>
      </c>
      <c r="B8205" s="3" t="s">
        <v>6</v>
      </c>
      <c r="C8205" s="2" t="str">
        <f ca="1">IFERROR(__xludf.DUMMYFUNCTION("GOOGLETRANSLATE(A8205,""bn"",""en"")")," The cable length is too short which restricts movement and puts pressure on the ear when connecting to a device in a pocket or bag")</f>
        <v xml:space="preserve"> The cable length is too short which restricts movement and puts pressure on the ear when connecting to a device in a pocket or bag</v>
      </c>
    </row>
    <row r="8206" spans="1:3" ht="15.75" customHeight="1" x14ac:dyDescent="0.25">
      <c r="A8206" s="2" t="s">
        <v>8208</v>
      </c>
      <c r="B8206" s="3" t="s">
        <v>6</v>
      </c>
      <c r="C8206" s="2" t="str">
        <f ca="1">IFERROR(__xludf.DUMMYFUNCTION("GOOGLETRANSLATE(A8206,""bn"",""en"")"),"The surface of the baby changing pad is very slippery making it difficult to keep the baby in place")</f>
        <v>The surface of the baby changing pad is very slippery making it difficult to keep the baby in place</v>
      </c>
    </row>
    <row r="8207" spans="1:3" ht="15.75" customHeight="1" x14ac:dyDescent="0.25">
      <c r="A8207" s="2" t="s">
        <v>8209</v>
      </c>
      <c r="B8207" s="3" t="s">
        <v>4</v>
      </c>
      <c r="C8207" s="2" t="str">
        <f ca="1">IFERROR(__xludf.DUMMYFUNCTION("GOOGLETRANSLATE(A8207,""bn"",""en"")"),"Can be easily hung on any wall")</f>
        <v>Can be easily hung on any wall</v>
      </c>
    </row>
    <row r="8208" spans="1:3" ht="15.75" customHeight="1" x14ac:dyDescent="0.25">
      <c r="A8208" s="2" t="s">
        <v>8210</v>
      </c>
      <c r="B8208" s="3" t="s">
        <v>2</v>
      </c>
      <c r="C8208" s="2" t="str">
        <f ca="1">IFERROR(__xludf.DUMMYFUNCTION("GOOGLETRANSLATE(A8208,""bn"",""en"")"),"The smart posture corrector corrects posture but is uncomfortable to wear")</f>
        <v>The smart posture corrector corrects posture but is uncomfortable to wear</v>
      </c>
    </row>
    <row r="8209" spans="1:3" ht="15.75" customHeight="1" x14ac:dyDescent="0.25">
      <c r="A8209" s="2" t="s">
        <v>8211</v>
      </c>
      <c r="B8209" s="3" t="s">
        <v>6</v>
      </c>
      <c r="C8209" s="2" t="str">
        <f ca="1">IFERROR(__xludf.DUMMYFUNCTION("GOOGLETRANSLATE(A8209,""bn"",""en"")"),"The boxed mac and cheese had a powdery texture and lacked the cheese flavor")</f>
        <v>The boxed mac and cheese had a powdery texture and lacked the cheese flavor</v>
      </c>
    </row>
    <row r="8210" spans="1:3" ht="15.75" customHeight="1" x14ac:dyDescent="0.25">
      <c r="A8210" s="2" t="s">
        <v>8212</v>
      </c>
      <c r="B8210" s="3" t="s">
        <v>6</v>
      </c>
      <c r="C8210" s="2" t="str">
        <f ca="1">IFERROR(__xludf.DUMMYFUNCTION("GOOGLETRANSLATE(A8210,""bn"",""en"")")," The control panel frequently displays error codes interrupting the cooking session")</f>
        <v xml:space="preserve"> The control panel frequently displays error codes interrupting the cooking session</v>
      </c>
    </row>
    <row r="8211" spans="1:3" ht="15.75" customHeight="1" x14ac:dyDescent="0.25">
      <c r="A8211" s="2" t="s">
        <v>8213</v>
      </c>
      <c r="B8211" s="3" t="s">
        <v>4</v>
      </c>
      <c r="C8211" s="2" t="str">
        <f ca="1">IFERROR(__xludf.DUMMYFUNCTION("GOOGLETRANSLATE(A8211,""bn"",""en"")"),"Smart charging technology keeps my device safe")</f>
        <v>Smart charging technology keeps my device safe</v>
      </c>
    </row>
    <row r="8212" spans="1:3" ht="15.75" customHeight="1" x14ac:dyDescent="0.25">
      <c r="A8212" s="2" t="s">
        <v>8214</v>
      </c>
      <c r="B8212" s="3" t="s">
        <v>2</v>
      </c>
      <c r="C8212" s="2" t="str">
        <f ca="1">IFERROR(__xludf.DUMMYFUNCTION("GOOGLETRANSLATE(A8212,""bn"",""en"")"),"Ok for what you pay but not the best quality")</f>
        <v>Ok for what you pay but not the best quality</v>
      </c>
    </row>
    <row r="8213" spans="1:3" ht="15.75" customHeight="1" x14ac:dyDescent="0.25">
      <c r="A8213" s="2" t="s">
        <v>8215</v>
      </c>
      <c r="B8213" s="3" t="s">
        <v>2</v>
      </c>
      <c r="C8213" s="2" t="str">
        <f ca="1">IFERROR(__xludf.DUMMYFUNCTION("GOOGLETRANSLATE(A8213,""bn"",""en"")"),"Should be shaken after each use")</f>
        <v>Should be shaken after each use</v>
      </c>
    </row>
    <row r="8214" spans="1:3" ht="15.75" customHeight="1" x14ac:dyDescent="0.25">
      <c r="A8214" s="2" t="s">
        <v>8216</v>
      </c>
      <c r="B8214" s="3" t="s">
        <v>4</v>
      </c>
      <c r="C8214" s="2" t="str">
        <f ca="1">IFERROR(__xludf.DUMMYFUNCTION("GOOGLETRANSLATE(A8214,""bn"",""en"")"),"Can be placed in different corners of the room to give a new look")</f>
        <v>Can be placed in different corners of the room to give a new look</v>
      </c>
    </row>
    <row r="8215" spans="1:3" ht="15.75" customHeight="1" x14ac:dyDescent="0.25">
      <c r="A8215" s="2" t="s">
        <v>8217</v>
      </c>
      <c r="B8215" s="3" t="s">
        <v>2</v>
      </c>
      <c r="C8215" s="2" t="str">
        <f ca="1">IFERROR(__xludf.DUMMYFUNCTION("GOOGLETRANSLATE(A8215,""bn"",""en"")"),"Ok, looks like nothing special")</f>
        <v>Ok, looks like nothing special</v>
      </c>
    </row>
    <row r="8216" spans="1:3" ht="15.75" customHeight="1" x14ac:dyDescent="0.25">
      <c r="A8216" s="2" t="s">
        <v>8218</v>
      </c>
      <c r="B8216" s="3" t="s">
        <v>2</v>
      </c>
      <c r="C8216" s="2" t="str">
        <f ca="1">IFERROR(__xludf.DUMMYFUNCTION("GOOGLETRANSLATE(A8216,""bn"",""en"")"),"Functionality may be somewhat limited")</f>
        <v>Functionality may be somewhat limited</v>
      </c>
    </row>
    <row r="8217" spans="1:3" ht="15.75" customHeight="1" x14ac:dyDescent="0.25">
      <c r="A8217" s="2" t="s">
        <v>8219</v>
      </c>
      <c r="B8217" s="3" t="s">
        <v>6</v>
      </c>
      <c r="C8217" s="2" t="str">
        <f ca="1">IFERROR(__xludf.DUMMYFUNCTION("GOOGLETRANSLATE(A8217,""bn"",""en"")"),"Liquid eyeliner tends to flake throughout the day and leave dark spots on the cheeks")</f>
        <v>Liquid eyeliner tends to flake throughout the day and leave dark spots on the cheeks</v>
      </c>
    </row>
    <row r="8218" spans="1:3" ht="15.75" customHeight="1" x14ac:dyDescent="0.25">
      <c r="A8218" s="2" t="s">
        <v>8220</v>
      </c>
      <c r="B8218" s="3" t="s">
        <v>2</v>
      </c>
      <c r="C8218" s="2" t="str">
        <f ca="1">IFERROR(__xludf.DUMMYFUNCTION("GOOGLETRANSLATE(A8218,""bn"",""en"")"),"A bit cheap feeling but works well")</f>
        <v>A bit cheap feeling but works well</v>
      </c>
    </row>
    <row r="8219" spans="1:3" ht="15.75" customHeight="1" x14ac:dyDescent="0.25">
      <c r="A8219" s="2" t="s">
        <v>8221</v>
      </c>
      <c r="B8219" s="3" t="s">
        <v>4</v>
      </c>
      <c r="C8219" s="2" t="str">
        <f ca="1">IFERROR(__xludf.DUMMYFUNCTION("GOOGLETRANSLATE(A8219,""bn"",""en"")"),"The boy learned to swim very quickly")</f>
        <v>The boy learned to swim very quickly</v>
      </c>
    </row>
    <row r="8220" spans="1:3" ht="15.75" customHeight="1" x14ac:dyDescent="0.25">
      <c r="A8220" s="2" t="s">
        <v>8222</v>
      </c>
      <c r="B8220" s="3" t="s">
        <v>4</v>
      </c>
      <c r="C8220" s="2" t="str">
        <f ca="1">IFERROR(__xludf.DUMMYFUNCTION("GOOGLETRANSLATE(A8220,""bn"",""en"")"),"A very reliable product")</f>
        <v>A very reliable product</v>
      </c>
    </row>
    <row r="8221" spans="1:3" ht="15.75" customHeight="1" x14ac:dyDescent="0.25">
      <c r="A8221" s="2" t="s">
        <v>8223</v>
      </c>
      <c r="B8221" s="3" t="s">
        <v>4</v>
      </c>
      <c r="C8221" s="2" t="str">
        <f ca="1">IFERROR(__xludf.DUMMYFUNCTION("GOOGLETRANSLATE(A8221,""bn"",""en"")")," I use it every day ")</f>
        <v xml:space="preserve"> I use it every day </v>
      </c>
    </row>
    <row r="8222" spans="1:3" ht="15.75" customHeight="1" x14ac:dyDescent="0.25">
      <c r="A8222" s="2" t="s">
        <v>8224</v>
      </c>
      <c r="B8222" s="3" t="s">
        <v>2</v>
      </c>
      <c r="C8222" s="2" t="str">
        <f ca="1">IFERROR(__xludf.DUMMYFUNCTION("GOOGLETRANSLATE(A8222,""bn"",""en"")"),"Light weight but feels fragile because of it")</f>
        <v>Light weight but feels fragile because of it</v>
      </c>
    </row>
    <row r="8223" spans="1:3" ht="15.75" customHeight="1" x14ac:dyDescent="0.25">
      <c r="A8223" s="2" t="s">
        <v>8225</v>
      </c>
      <c r="B8223" s="3" t="s">
        <v>4</v>
      </c>
      <c r="C8223" s="2" t="str">
        <f ca="1">IFERROR(__xludf.DUMMYFUNCTION("GOOGLETRANSLATE(A8223,""bn"",""en"")"),"The bristles of the brush are soft and safe for the teeth")</f>
        <v>The bristles of the brush are soft and safe for the teeth</v>
      </c>
    </row>
    <row r="8224" spans="1:3" ht="15.75" customHeight="1" x14ac:dyDescent="0.25">
      <c r="A8224" s="2" t="s">
        <v>8226</v>
      </c>
      <c r="B8224" s="3" t="s">
        <v>4</v>
      </c>
      <c r="C8224" s="2" t="str">
        <f ca="1">IFERROR(__xludf.DUMMYFUNCTION("GOOGLETRANSLATE(A8224,""bn"",""en"")"),"Perfect choice for the occasion")</f>
        <v>Perfect choice for the occasion</v>
      </c>
    </row>
    <row r="8225" spans="1:3" ht="15.75" customHeight="1" x14ac:dyDescent="0.25">
      <c r="A8225" s="2" t="s">
        <v>8227</v>
      </c>
      <c r="B8225" s="3" t="s">
        <v>2</v>
      </c>
      <c r="C8225" s="2" t="str">
        <f ca="1">IFERROR(__xludf.DUMMYFUNCTION("GOOGLETRANSLATE(A8225,""bn"",""en"")"),"Fascination is not so charming")</f>
        <v>Fascination is not so charming</v>
      </c>
    </row>
    <row r="8226" spans="1:3" ht="15.75" customHeight="1" x14ac:dyDescent="0.25">
      <c r="A8226" s="2" t="s">
        <v>8228</v>
      </c>
      <c r="B8226" s="3" t="s">
        <v>6</v>
      </c>
      <c r="C8226" s="2" t="str">
        <f ca="1">IFERROR(__xludf.DUMMYFUNCTION("GOOGLETRANSLATE(A8226,""bn"",""en"")"),"The stiffness of the fabric makes it difficult to move, restricting normal movement and causing discomfort")</f>
        <v>The stiffness of the fabric makes it difficult to move, restricting normal movement and causing discomfort</v>
      </c>
    </row>
    <row r="8227" spans="1:3" ht="15.75" customHeight="1" x14ac:dyDescent="0.25">
      <c r="A8227" s="2" t="s">
        <v>8229</v>
      </c>
      <c r="B8227" s="3" t="s">
        <v>6</v>
      </c>
      <c r="C8227" s="2" t="str">
        <f ca="1">IFERROR(__xludf.DUMMYFUNCTION("GOOGLETRANSLATE(A8227,""bn"",""en"")"),"The hair mask did not live up to its claims of repairing damaged hair")</f>
        <v>The hair mask did not live up to its claims of repairing damaged hair</v>
      </c>
    </row>
    <row r="8228" spans="1:3" ht="15.75" customHeight="1" x14ac:dyDescent="0.25">
      <c r="A8228" s="2" t="s">
        <v>8230</v>
      </c>
      <c r="B8228" s="3" t="s">
        <v>6</v>
      </c>
      <c r="C8228" s="2" t="str">
        <f ca="1">IFERROR(__xludf.DUMMYFUNCTION("GOOGLETRANSLATE(A8228,""bn"",""en"")"),"The painting set did not include enough mixing palettes")</f>
        <v>The painting set did not include enough mixing palettes</v>
      </c>
    </row>
    <row r="8229" spans="1:3" ht="15.75" customHeight="1" x14ac:dyDescent="0.25">
      <c r="A8229" s="2" t="s">
        <v>8231</v>
      </c>
      <c r="B8229" s="3" t="s">
        <v>6</v>
      </c>
      <c r="C8229" s="2" t="str">
        <f ca="1">IFERROR(__xludf.DUMMYFUNCTION("GOOGLETRANSLATE(A8229,""bn"",""en"")"),"The handle of the mug broke after a few uses making it impossible to hold")</f>
        <v>The handle of the mug broke after a few uses making it impossible to hold</v>
      </c>
    </row>
    <row r="8230" spans="1:3" ht="15.75" customHeight="1" x14ac:dyDescent="0.25">
      <c r="A8230" s="2" t="s">
        <v>8232</v>
      </c>
      <c r="B8230" s="3" t="s">
        <v>4</v>
      </c>
      <c r="C8230" s="2" t="str">
        <f ca="1">IFERROR(__xludf.DUMMYFUNCTION("GOOGLETRANSLATE(A8230,""bn"",""en"")"),"The cooling capacity of the refrigerator is excellent")</f>
        <v>The cooling capacity of the refrigerator is excellent</v>
      </c>
    </row>
    <row r="8231" spans="1:3" ht="15.75" customHeight="1" x14ac:dyDescent="0.25">
      <c r="A8231" s="2" t="s">
        <v>8233</v>
      </c>
      <c r="B8231" s="3" t="s">
        <v>2</v>
      </c>
      <c r="C8231" s="2" t="str">
        <f ca="1">IFERROR(__xludf.DUMMYFUNCTION("GOOGLETRANSLATE(A8231,""bn"",""en"")"),"Please bring back the pink glitter fabric")</f>
        <v>Please bring back the pink glitter fabric</v>
      </c>
    </row>
    <row r="8232" spans="1:3" ht="15.75" customHeight="1" x14ac:dyDescent="0.25">
      <c r="A8232" s="2" t="s">
        <v>8234</v>
      </c>
      <c r="B8232" s="3" t="s">
        <v>4</v>
      </c>
      <c r="C8232" s="2" t="str">
        <f ca="1">IFERROR(__xludf.DUMMYFUNCTION("GOOGLETRANSLATE(A8232,""bn"",""en"")"),"The bass is very strong but never feels overdone, maintaining a nice balance")</f>
        <v>The bass is very strong but never feels overdone, maintaining a nice balance</v>
      </c>
    </row>
    <row r="8233" spans="1:3" ht="15.75" customHeight="1" x14ac:dyDescent="0.25">
      <c r="A8233" s="2" t="s">
        <v>8235</v>
      </c>
      <c r="B8233" s="3" t="s">
        <v>2</v>
      </c>
      <c r="C8233" s="2" t="str">
        <f ca="1">IFERROR(__xludf.DUMMYFUNCTION("GOOGLETRANSLATE(A8233,""bn"",""en"")"),"The edges of the top are slightly folded")</f>
        <v>The edges of the top are slightly folded</v>
      </c>
    </row>
    <row r="8234" spans="1:3" ht="15.75" customHeight="1" x14ac:dyDescent="0.25">
      <c r="A8234" s="2" t="s">
        <v>8236</v>
      </c>
      <c r="B8234" s="3" t="s">
        <v>6</v>
      </c>
      <c r="C8234" s="2" t="str">
        <f ca="1">IFERROR(__xludf.DUMMYFUNCTION("GOOGLETRANSLATE(A8234,""bn"",""en"")"),"Sound quality was poor with muffled dialogue and no bass")</f>
        <v>Sound quality was poor with muffled dialogue and no bass</v>
      </c>
    </row>
    <row r="8235" spans="1:3" ht="15.75" customHeight="1" x14ac:dyDescent="0.25">
      <c r="A8235" s="2" t="s">
        <v>8237</v>
      </c>
      <c r="B8235" s="3" t="s">
        <v>6</v>
      </c>
      <c r="C8235" s="2" t="str">
        <f ca="1">IFERROR(__xludf.DUMMYFUNCTION("GOOGLETRANSLATE(A8235,""bn"",""en"")"),"The fragrance was faint with a slight hint of the advertised flavor")</f>
        <v>The fragrance was faint with a slight hint of the advertised flavor</v>
      </c>
    </row>
    <row r="8236" spans="1:3" ht="15.75" customHeight="1" x14ac:dyDescent="0.25">
      <c r="A8236" s="2" t="s">
        <v>8238</v>
      </c>
      <c r="B8236" s="3" t="s">
        <v>6</v>
      </c>
      <c r="C8236" s="2" t="str">
        <f ca="1">IFERROR(__xludf.DUMMYFUNCTION("GOOGLETRANSLATE(A8236,""bn"",""en"")"),"The camera body does not have an ergonomic grip")</f>
        <v>The camera body does not have an ergonomic grip</v>
      </c>
    </row>
    <row r="8237" spans="1:3" ht="15.75" customHeight="1" x14ac:dyDescent="0.25">
      <c r="A8237" s="2" t="s">
        <v>8239</v>
      </c>
      <c r="B8237" s="3" t="s">
        <v>2</v>
      </c>
      <c r="C8237" s="2" t="str">
        <f ca="1">IFERROR(__xludf.DUMMYFUNCTION("GOOGLETRANSLATE(A8237,""bn"",""en"")"),"Soil health has improved slightly after using this fertilizer but it will take more time to get lasting results")</f>
        <v>Soil health has improved slightly after using this fertilizer but it will take more time to get lasting results</v>
      </c>
    </row>
    <row r="8238" spans="1:3" ht="15.75" customHeight="1" x14ac:dyDescent="0.25">
      <c r="A8238" s="2" t="s">
        <v>8240</v>
      </c>
      <c r="B8238" s="3" t="s">
        <v>2</v>
      </c>
      <c r="C8238" s="2" t="str">
        <f ca="1">IFERROR(__xludf.DUMMYFUNCTION("GOOGLETRANSLATE(A8238,""bn"",""en"")"),"The packaging is nice but it doesn't taste good")</f>
        <v>The packaging is nice but it doesn't taste good</v>
      </c>
    </row>
    <row r="8239" spans="1:3" ht="15.75" customHeight="1" x14ac:dyDescent="0.25">
      <c r="A8239" s="2" t="s">
        <v>8241</v>
      </c>
      <c r="B8239" s="3" t="s">
        <v>2</v>
      </c>
      <c r="C8239" s="2" t="str">
        <f ca="1">IFERROR(__xludf.DUMMYFUNCTION("GOOGLETRANSLATE(A8239,""bn"",""en"")"),"Can also be used in other electronics")</f>
        <v>Can also be used in other electronics</v>
      </c>
    </row>
    <row r="8240" spans="1:3" ht="15.75" customHeight="1" x14ac:dyDescent="0.25">
      <c r="A8240" s="2" t="s">
        <v>8242</v>
      </c>
      <c r="B8240" s="3" t="s">
        <v>4</v>
      </c>
      <c r="C8240" s="2" t="str">
        <f ca="1">IFERROR(__xludf.DUMMYFUNCTION("GOOGLETRANSLATE(A8240,""bn"",""en"")"),"This body wash improves skin health and beauty")</f>
        <v>This body wash improves skin health and beauty</v>
      </c>
    </row>
    <row r="8241" spans="1:3" ht="15.75" customHeight="1" x14ac:dyDescent="0.25">
      <c r="A8241" s="2" t="s">
        <v>8243</v>
      </c>
      <c r="B8241" s="3" t="s">
        <v>2</v>
      </c>
      <c r="C8241" s="2" t="str">
        <f ca="1">IFERROR(__xludf.DUMMYFUNCTION("GOOGLETRANSLATE(A8241,""bn"",""en"")"),"Pretty good for crafting but room for improvement")</f>
        <v>Pretty good for crafting but room for improvement</v>
      </c>
    </row>
    <row r="8242" spans="1:3" ht="15.75" customHeight="1" x14ac:dyDescent="0.25">
      <c r="A8242" s="2" t="s">
        <v>8244</v>
      </c>
      <c r="B8242" s="3" t="s">
        <v>4</v>
      </c>
      <c r="C8242" s="2" t="str">
        <f ca="1">IFERROR(__xludf.DUMMYFUNCTION("GOOGLETRANSLATE(A8242,""bn"",""en"")"),"This shampoo strengthens the hair roots")</f>
        <v>This shampoo strengthens the hair roots</v>
      </c>
    </row>
    <row r="8243" spans="1:3" ht="15.75" customHeight="1" x14ac:dyDescent="0.25">
      <c r="A8243" s="2" t="s">
        <v>8245</v>
      </c>
      <c r="B8243" s="3" t="s">
        <v>6</v>
      </c>
      <c r="C8243" s="2" t="str">
        <f ca="1">IFERROR(__xludf.DUMMYFUNCTION("GOOGLETRANSLATE(A8243,""bn"",""en"")"),"
Color mismatch looks cheap")</f>
        <v xml:space="preserve">
Color mismatch looks cheap</v>
      </c>
    </row>
    <row r="8244" spans="1:3" ht="15.75" customHeight="1" x14ac:dyDescent="0.25">
      <c r="A8244" s="2" t="s">
        <v>8246</v>
      </c>
      <c r="B8244" s="3" t="s">
        <v>2</v>
      </c>
      <c r="C8244" s="2" t="str">
        <f ca="1">IFERROR(__xludf.DUMMYFUNCTION("GOOGLETRANSLATE(A8244,""bn"",""en"")"),"Be careful while cleaning")</f>
        <v>Be careful while cleaning</v>
      </c>
    </row>
    <row r="8245" spans="1:3" ht="15.75" customHeight="1" x14ac:dyDescent="0.25">
      <c r="A8245" s="2" t="s">
        <v>8247</v>
      </c>
      <c r="B8245" s="3" t="s">
        <v>6</v>
      </c>
      <c r="C8245" s="2" t="str">
        <f ca="1">IFERROR(__xludf.DUMMYFUNCTION("GOOGLETRANSLATE(A8245,""bn"",""en"")"),"Quality falls short and cost is not worth it")</f>
        <v>Quality falls short and cost is not worth it</v>
      </c>
    </row>
    <row r="8246" spans="1:3" ht="15.75" customHeight="1" x14ac:dyDescent="0.25">
      <c r="A8246" s="2" t="s">
        <v>8248</v>
      </c>
      <c r="B8246" s="3" t="s">
        <v>2</v>
      </c>
      <c r="C8246" s="2" t="str">
        <f ca="1">IFERROR(__xludf.DUMMYFUNCTION("GOOGLETRANSLATE(A8246,""bn"",""en"")"),"There are different textures but all feel the same")</f>
        <v>There are different textures but all feel the same</v>
      </c>
    </row>
    <row r="8247" spans="1:3" ht="15.75" customHeight="1" x14ac:dyDescent="0.25">
      <c r="A8247" s="2" t="s">
        <v>8249</v>
      </c>
      <c r="B8247" s="3" t="s">
        <v>2</v>
      </c>
      <c r="C8247" s="2" t="str">
        <f ca="1">IFERROR(__xludf.DUMMYFUNCTION("GOOGLETRANSLATE(A8247,""bn"",""en"")"),"A packet contains a specified number of pads")</f>
        <v>A packet contains a specified number of pads</v>
      </c>
    </row>
    <row r="8248" spans="1:3" ht="15.75" customHeight="1" x14ac:dyDescent="0.25">
      <c r="A8248" s="2" t="s">
        <v>8250</v>
      </c>
      <c r="B8248" s="3" t="s">
        <v>2</v>
      </c>
      <c r="C8248" s="2" t="str">
        <f ca="1">IFERROR(__xludf.DUMMYFUNCTION("GOOGLETRANSLATE(A8248,""bn"",""en"")"),"This is an average outfit")</f>
        <v>This is an average outfit</v>
      </c>
    </row>
    <row r="8249" spans="1:3" ht="15.75" customHeight="1" x14ac:dyDescent="0.25">
      <c r="A8249" s="2" t="s">
        <v>8251</v>
      </c>
      <c r="B8249" s="3" t="s">
        <v>2</v>
      </c>
      <c r="C8249" s="2" t="str">
        <f ca="1">IFERROR(__xludf.DUMMYFUNCTION("GOOGLETRANSLATE(A8249,""bn"",""en"")"),"The dress looks nice but the size is not right")</f>
        <v>The dress looks nice but the size is not right</v>
      </c>
    </row>
    <row r="8250" spans="1:3" ht="15.75" customHeight="1" x14ac:dyDescent="0.25">
      <c r="A8250" s="2" t="s">
        <v>8252</v>
      </c>
      <c r="B8250" s="3" t="s">
        <v>6</v>
      </c>
      <c r="C8250" s="2" t="str">
        <f ca="1">IFERROR(__xludf.DUMMYFUNCTION("GOOGLETRANSLATE(A8250,""bn"",""en"")"),"The quilter is not made of cotton which is quite disappointing")</f>
        <v>The quilter is not made of cotton which is quite disappointing</v>
      </c>
    </row>
    <row r="8251" spans="1:3" ht="15.75" customHeight="1" x14ac:dyDescent="0.25">
      <c r="A8251" s="2" t="s">
        <v>8253</v>
      </c>
      <c r="B8251" s="3" t="s">
        <v>6</v>
      </c>
      <c r="C8251" s="2" t="str">
        <f ca="1">IFERROR(__xludf.DUMMYFUNCTION("GOOGLETRANSLATE(A8251,""bn"",""en"")"),"Robotic vacuums miss spots and clean imperfections")</f>
        <v>Robotic vacuums miss spots and clean imperfections</v>
      </c>
    </row>
    <row r="8252" spans="1:3" ht="15.75" customHeight="1" x14ac:dyDescent="0.25">
      <c r="A8252" s="2" t="s">
        <v>8254</v>
      </c>
      <c r="B8252" s="3" t="s">
        <v>6</v>
      </c>
      <c r="C8252" s="2" t="str">
        <f ca="1">IFERROR(__xludf.DUMMYFUNCTION("GOOGLETRANSLATE(A8252,""bn"",""en"")"),"A number of defects are present when the garment is received which indicates quality control")</f>
        <v>A number of defects are present when the garment is received which indicates quality control</v>
      </c>
    </row>
    <row r="8253" spans="1:3" ht="15.75" customHeight="1" x14ac:dyDescent="0.25">
      <c r="A8253" s="2" t="s">
        <v>8255</v>
      </c>
      <c r="B8253" s="3" t="s">
        <v>2</v>
      </c>
      <c r="C8253" s="2" t="str">
        <f ca="1">IFERROR(__xludf.DUMMYFUNCTION("GOOGLETRANSLATE(A8253,""bn"",""en"")"),"Sound levels seem acceptable")</f>
        <v>Sound levels seem acceptable</v>
      </c>
    </row>
    <row r="8254" spans="1:3" ht="15.75" customHeight="1" x14ac:dyDescent="0.25">
      <c r="A8254" s="2" t="s">
        <v>8256</v>
      </c>
      <c r="B8254" s="3" t="s">
        <v>4</v>
      </c>
      <c r="C8254" s="2" t="str">
        <f ca="1">IFERROR(__xludf.DUMMYFUNCTION("GOOGLETRANSLATE(A8254,""bn"",""en"")"),"The fragrance of the shampoo is quite tempting")</f>
        <v>The fragrance of the shampoo is quite tempting</v>
      </c>
    </row>
    <row r="8255" spans="1:3" ht="15.75" customHeight="1" x14ac:dyDescent="0.25">
      <c r="A8255" s="2" t="s">
        <v>8257</v>
      </c>
      <c r="B8255" s="3" t="s">
        <v>2</v>
      </c>
      <c r="C8255" s="2" t="str">
        <f ca="1">IFERROR(__xludf.DUMMYFUNCTION("GOOGLETRANSLATE(A8255,""bn"",""en"")"),"The color stays the same for a long time")</f>
        <v>The color stays the same for a long time</v>
      </c>
    </row>
    <row r="8256" spans="1:3" ht="15.75" customHeight="1" x14ac:dyDescent="0.25">
      <c r="A8256" s="2" t="s">
        <v>8258</v>
      </c>
      <c r="B8256" s="3" t="s">
        <v>2</v>
      </c>
      <c r="C8256" s="2" t="str">
        <f ca="1">IFERROR(__xludf.DUMMYFUNCTION("GOOGLETRANSLATE(A8256,""bn"",""en"")"),"Doesn't work well but looks nice")</f>
        <v>Doesn't work well but looks nice</v>
      </c>
    </row>
    <row r="8257" spans="1:3" ht="15.75" customHeight="1" x14ac:dyDescent="0.25">
      <c r="A8257" s="2" t="s">
        <v>8259</v>
      </c>
      <c r="B8257" s="3" t="s">
        <v>4</v>
      </c>
      <c r="C8257" s="2" t="str">
        <f ca="1">IFERROR(__xludf.DUMMYFUNCTION("GOOGLETRANSLATE(A8257,""bn"",""en"")"),"The color of the bookcase will become more beautiful with time")</f>
        <v>The color of the bookcase will become more beautiful with time</v>
      </c>
    </row>
    <row r="8258" spans="1:3" ht="15.75" customHeight="1" x14ac:dyDescent="0.25">
      <c r="A8258" s="2" t="s">
        <v>8260</v>
      </c>
      <c r="B8258" s="3" t="s">
        <v>6</v>
      </c>
      <c r="C8258" s="2" t="str">
        <f ca="1">IFERROR(__xludf.DUMMYFUNCTION("GOOGLETRANSLATE(A8258,""bn"",""en"")"),"  The scrub was very rough and irritated my skin")</f>
        <v xml:space="preserve">  The scrub was very rough and irritated my skin</v>
      </c>
    </row>
    <row r="8259" spans="1:3" ht="15.75" customHeight="1" x14ac:dyDescent="0.25">
      <c r="A8259" s="2" t="s">
        <v>8261</v>
      </c>
      <c r="B8259" s="3" t="s">
        <v>4</v>
      </c>
      <c r="C8259" s="2" t="str">
        <f ca="1">IFERROR(__xludf.DUMMYFUNCTION("GOOGLETRANSLATE(A8259,""bn"",""en"")"),"Great firewood bag  ")</f>
        <v xml:space="preserve">Great firewood bag  </v>
      </c>
    </row>
    <row r="8260" spans="1:3" ht="15.75" customHeight="1" x14ac:dyDescent="0.25">
      <c r="A8260" s="2" t="s">
        <v>8262</v>
      </c>
      <c r="B8260" s="3" t="s">
        <v>2</v>
      </c>
      <c r="C8260" s="2" t="str">
        <f ca="1">IFERROR(__xludf.DUMMYFUNCTION("GOOGLETRANSLATE(A8260,""bn"",""en"")"),"Design must be preferred")</f>
        <v>Design must be preferred</v>
      </c>
    </row>
    <row r="8261" spans="1:3" ht="15.75" customHeight="1" x14ac:dyDescent="0.25">
      <c r="A8261" s="2" t="s">
        <v>8263</v>
      </c>
      <c r="B8261" s="3" t="s">
        <v>6</v>
      </c>
      <c r="C8261" s="2" t="str">
        <f ca="1">IFERROR(__xludf.DUMMYFUNCTION("GOOGLETRANSLATE(A8261,""bn"",""en"")"),"Damaged bottle leaks make receiving product a messy and wasteful experience")</f>
        <v>Damaged bottle leaks make receiving product a messy and wasteful experience</v>
      </c>
    </row>
    <row r="8262" spans="1:3" ht="15.75" customHeight="1" x14ac:dyDescent="0.25">
      <c r="A8262" s="2" t="s">
        <v>8264</v>
      </c>
      <c r="B8262" s="3" t="s">
        <v>2</v>
      </c>
      <c r="C8262" s="2" t="str">
        <f ca="1">IFERROR(__xludf.DUMMYFUNCTION("GOOGLETRANSLATE(A8262,""bn"",""en"")"),"Product quality is satisfactory but recent deliveries arrived without protective seals")</f>
        <v>Product quality is satisfactory but recent deliveries arrived without protective seals</v>
      </c>
    </row>
    <row r="8263" spans="1:3" ht="15.75" customHeight="1" x14ac:dyDescent="0.25">
      <c r="A8263" s="2" t="s">
        <v>8265</v>
      </c>
      <c r="B8263" s="3" t="s">
        <v>4</v>
      </c>
      <c r="C8263" s="2" t="str">
        <f ca="1">IFERROR(__xludf.DUMMYFUNCTION("GOOGLETRANSLATE(A8263,""bn"",""en"")"),"Battery life is pretty good and holds charge for a long time")</f>
        <v>Battery life is pretty good and holds charge for a long time</v>
      </c>
    </row>
    <row r="8264" spans="1:3" ht="15.75" customHeight="1" x14ac:dyDescent="0.25">
      <c r="A8264" s="2" t="s">
        <v>8266</v>
      </c>
      <c r="B8264" s="3" t="s">
        <v>4</v>
      </c>
      <c r="C8264" s="2" t="str">
        <f ca="1">IFERROR(__xludf.DUMMYFUNCTION("GOOGLETRANSLATE(A8264,""bn"",""en"")"),"Great little camera for the price that works great")</f>
        <v>Great little camera for the price that works great</v>
      </c>
    </row>
    <row r="8265" spans="1:3" ht="15.75" customHeight="1" x14ac:dyDescent="0.25">
      <c r="A8265" s="2" t="s">
        <v>8267</v>
      </c>
      <c r="B8265" s="3" t="s">
        <v>4</v>
      </c>
      <c r="C8265" s="2" t="str">
        <f ca="1">IFERROR(__xludf.DUMMYFUNCTION("GOOGLETRANSLATE(A8265,""bn"",""en"")"),"Installing the watch is very easy")</f>
        <v>Installing the watch is very easy</v>
      </c>
    </row>
    <row r="8266" spans="1:3" ht="15.75" customHeight="1" x14ac:dyDescent="0.25">
      <c r="A8266" s="2" t="s">
        <v>8268</v>
      </c>
      <c r="B8266" s="3" t="s">
        <v>4</v>
      </c>
      <c r="C8266" s="2" t="str">
        <f ca="1">IFERROR(__xludf.DUMMYFUNCTION("GOOGLETRANSLATE(A8266,""bn"",""en"")"),"It seems that the materials used in it are quite standard")</f>
        <v>It seems that the materials used in it are quite standard</v>
      </c>
    </row>
    <row r="8267" spans="1:3" ht="15.75" customHeight="1" x14ac:dyDescent="0.25">
      <c r="A8267" s="2" t="s">
        <v>8269</v>
      </c>
      <c r="B8267" s="3" t="s">
        <v>2</v>
      </c>
      <c r="C8267" s="2" t="str">
        <f ca="1">IFERROR(__xludf.DUMMYFUNCTION("GOOGLETRANSLATE(A8267,""bn"",""en"")"),"The picnic basket can be used but is relatively heavy")</f>
        <v>The picnic basket can be used but is relatively heavy</v>
      </c>
    </row>
    <row r="8268" spans="1:3" ht="15.75" customHeight="1" x14ac:dyDescent="0.25">
      <c r="A8268" s="2" t="s">
        <v>8270</v>
      </c>
      <c r="B8268" s="3" t="s">
        <v>2</v>
      </c>
      <c r="C8268" s="2" t="str">
        <f ca="1">IFERROR(__xludf.DUMMYFUNCTION("GOOGLETRANSLATE(A8268,""bn"",""en"")"),"The packaging is designed in such a way that it is easy to open")</f>
        <v>The packaging is designed in such a way that it is easy to open</v>
      </c>
    </row>
    <row r="8269" spans="1:3" ht="15.75" customHeight="1" x14ac:dyDescent="0.25">
      <c r="A8269" s="2" t="s">
        <v>8271</v>
      </c>
      <c r="B8269" s="3" t="s">
        <v>6</v>
      </c>
      <c r="C8269" s="2" t="str">
        <f ca="1">IFERROR(__xludf.DUMMYFUNCTION("GOOGLETRANSLATE(A8269,""bn"",""en"")"),"Finger puppets do not have enough elegance")</f>
        <v>Finger puppets do not have enough elegance</v>
      </c>
    </row>
    <row r="8270" spans="1:3" ht="15.75" customHeight="1" x14ac:dyDescent="0.25">
      <c r="A8270" s="2" t="s">
        <v>8272</v>
      </c>
      <c r="B8270" s="3" t="s">
        <v>2</v>
      </c>
      <c r="C8270" s="2" t="str">
        <f ca="1">IFERROR(__xludf.DUMMYFUNCTION("GOOGLETRANSLATE(A8270,""bn"",""en"")"),"Notepad drawing is rough")</f>
        <v>Notepad drawing is rough</v>
      </c>
    </row>
    <row r="8271" spans="1:3" ht="15.75" customHeight="1" x14ac:dyDescent="0.25">
      <c r="A8271" s="2" t="s">
        <v>8273</v>
      </c>
      <c r="B8271" s="3" t="s">
        <v>4</v>
      </c>
      <c r="C8271" s="2" t="str">
        <f ca="1">IFERROR(__xludf.DUMMYFUNCTION("GOOGLETRANSLATE(A8271,""bn"",""en"")"),"The fragrance of the shampoo is very pleasant")</f>
        <v>The fragrance of the shampoo is very pleasant</v>
      </c>
    </row>
    <row r="8272" spans="1:3" ht="15.75" customHeight="1" x14ac:dyDescent="0.25">
      <c r="A8272" s="2" t="s">
        <v>8274</v>
      </c>
      <c r="B8272" s="3" t="s">
        <v>2</v>
      </c>
      <c r="C8272" s="2" t="str">
        <f ca="1">IFERROR(__xludf.DUMMYFUNCTION("GOOGLETRANSLATE(A8272,""bn"",""en"")"),"Its absorbency is moderate")</f>
        <v>Its absorbency is moderate</v>
      </c>
    </row>
    <row r="8273" spans="1:3" ht="15.75" customHeight="1" x14ac:dyDescent="0.25">
      <c r="A8273" s="2" t="s">
        <v>8275</v>
      </c>
      <c r="B8273" s="3" t="s">
        <v>4</v>
      </c>
      <c r="C8273" s="2" t="str">
        <f ca="1">IFERROR(__xludf.DUMMYFUNCTION("GOOGLETRANSLATE(A8273,""bn"",""en"")")," Connected very fast thanks to great audio cord battery last time is very good")</f>
        <v xml:space="preserve"> Connected very fast thanks to great audio cord battery last time is very good</v>
      </c>
    </row>
    <row r="8274" spans="1:3" ht="15.75" customHeight="1" x14ac:dyDescent="0.25">
      <c r="A8274" s="2" t="s">
        <v>8276</v>
      </c>
      <c r="B8274" s="3" t="s">
        <v>2</v>
      </c>
      <c r="C8274" s="2" t="str">
        <f ca="1">IFERROR(__xludf.DUMMYFUNCTION("GOOGLETRANSLATE(A8274,""bn"",""en"")"),"Can be used but does not give special experience")</f>
        <v>Can be used but does not give special experience</v>
      </c>
    </row>
    <row r="8275" spans="1:3" ht="15.75" customHeight="1" x14ac:dyDescent="0.25">
      <c r="A8275" s="2" t="s">
        <v>8277</v>
      </c>
      <c r="B8275" s="3" t="s">
        <v>4</v>
      </c>
      <c r="C8275" s="2" t="str">
        <f ca="1">IFERROR(__xludf.DUMMYFUNCTION("GOOGLETRANSLATE(A8275,""bn"",""en"")"),"The formula dries quickly with no smearing")</f>
        <v>The formula dries quickly with no smearing</v>
      </c>
    </row>
    <row r="8276" spans="1:3" ht="15.75" customHeight="1" x14ac:dyDescent="0.25">
      <c r="A8276" s="2" t="s">
        <v>8278</v>
      </c>
      <c r="B8276" s="3" t="s">
        <v>2</v>
      </c>
      <c r="C8276" s="2" t="str">
        <f ca="1">IFERROR(__xludf.DUMMYFUNCTION("GOOGLETRANSLATE(A8276,""bn"",""en"")"),"The toothpaste tube can be easily opened")</f>
        <v>The toothpaste tube can be easily opened</v>
      </c>
    </row>
    <row r="8277" spans="1:3" ht="15.75" customHeight="1" x14ac:dyDescent="0.25">
      <c r="A8277" s="2" t="s">
        <v>8279</v>
      </c>
      <c r="B8277" s="3" t="s">
        <v>6</v>
      </c>
      <c r="C8277" s="2" t="str">
        <f ca="1">IFERROR(__xludf.DUMMYFUNCTION("GOOGLETRANSLATE(A8277,""bn"",""en"")"),"Portable bluetooth speakers have low volume barely audible")</f>
        <v>Portable bluetooth speakers have low volume barely audible</v>
      </c>
    </row>
    <row r="8278" spans="1:3" ht="15.75" customHeight="1" x14ac:dyDescent="0.25">
      <c r="A8278" s="2" t="s">
        <v>8280</v>
      </c>
      <c r="B8278" s="3" t="s">
        <v>4</v>
      </c>
      <c r="C8278" s="2" t="str">
        <f ca="1">IFERROR(__xludf.DUMMYFUNCTION("GOOGLETRANSLATE(A8278,""bn"",""en"")"),"The child is very happy with the new toy")</f>
        <v>The child is very happy with the new toy</v>
      </c>
    </row>
    <row r="8279" spans="1:3" ht="15.75" customHeight="1" x14ac:dyDescent="0.25">
      <c r="A8279" s="2" t="s">
        <v>8281</v>
      </c>
      <c r="B8279" s="3" t="s">
        <v>2</v>
      </c>
      <c r="C8279" s="2" t="str">
        <f ca="1">IFERROR(__xludf.DUMMYFUNCTION("GOOGLETRANSLATE(A8279,""bn"",""en"")"),"The taste is not bad but it has a slightly artificial smell")</f>
        <v>The taste is not bad but it has a slightly artificial smell</v>
      </c>
    </row>
    <row r="8280" spans="1:3" ht="15.75" customHeight="1" x14ac:dyDescent="0.25">
      <c r="A8280" s="2" t="s">
        <v>8282</v>
      </c>
      <c r="B8280" s="3" t="s">
        <v>4</v>
      </c>
      <c r="C8280" s="2" t="str">
        <f ca="1">IFERROR(__xludf.DUMMYFUNCTION("GOOGLETRANSLATE(A8280,""bn"",""en"")"),"The resolution of the laptop screen is quite clear")</f>
        <v>The resolution of the laptop screen is quite clear</v>
      </c>
    </row>
    <row r="8281" spans="1:3" ht="15.75" customHeight="1" x14ac:dyDescent="0.25">
      <c r="A8281" s="2" t="s">
        <v>8283</v>
      </c>
      <c r="B8281" s="3" t="s">
        <v>6</v>
      </c>
      <c r="C8281" s="2" t="str">
        <f ca="1">IFERROR(__xludf.DUMMYFUNCTION("GOOGLETRANSLATE(A8281,""bn"",""en"")"),"Lack of overwhelming visual vibrancy")</f>
        <v>Lack of overwhelming visual vibrancy</v>
      </c>
    </row>
    <row r="8282" spans="1:3" ht="15.75" customHeight="1" x14ac:dyDescent="0.25">
      <c r="A8282" s="2" t="s">
        <v>8284</v>
      </c>
      <c r="B8282" s="3" t="s">
        <v>2</v>
      </c>
      <c r="C8282" s="2" t="str">
        <f ca="1">IFERROR(__xludf.DUMMYFUNCTION("GOOGLETRANSLATE(A8282,""bn"",""en"")"),"Definitely not soft as advertised")</f>
        <v>Definitely not soft as advertised</v>
      </c>
    </row>
    <row r="8283" spans="1:3" ht="15.75" customHeight="1" x14ac:dyDescent="0.25">
      <c r="A8283" s="2" t="s">
        <v>8285</v>
      </c>
      <c r="B8283" s="3" t="s">
        <v>4</v>
      </c>
      <c r="C8283" s="2" t="str">
        <f ca="1">IFERROR(__xludf.DUMMYFUNCTION("GOOGLETRANSLATE(A8283,""bn"",""en"")"),"The fabric is soft and smooth")</f>
        <v>The fabric is soft and smooth</v>
      </c>
    </row>
    <row r="8284" spans="1:3" ht="15.75" customHeight="1" x14ac:dyDescent="0.25">
      <c r="A8284" s="2" t="s">
        <v>8286</v>
      </c>
      <c r="B8284" s="3" t="s">
        <v>6</v>
      </c>
      <c r="C8284" s="2" t="str">
        <f ca="1">IFERROR(__xludf.DUMMYFUNCTION("GOOGLETRANSLATE(A8284,""bn"",""en"")"),"Produced ice cubes melt faster in drinks that are smaller than the standard size")</f>
        <v>Produced ice cubes melt faster in drinks that are smaller than the standard size</v>
      </c>
    </row>
    <row r="8285" spans="1:3" ht="15.75" customHeight="1" x14ac:dyDescent="0.25">
      <c r="A8285" s="2" t="s">
        <v>8287</v>
      </c>
      <c r="B8285" s="3" t="s">
        <v>6</v>
      </c>
      <c r="C8285" s="2" t="str">
        <f ca="1">IFERROR(__xludf.DUMMYFUNCTION("GOOGLETRANSLATE(A8285,""bn"",""en"")"),"The product description may not fully represent its features")</f>
        <v>The product description may not fully represent its features</v>
      </c>
    </row>
    <row r="8286" spans="1:3" ht="15.75" customHeight="1" x14ac:dyDescent="0.25">
      <c r="A8286" s="2" t="s">
        <v>8288</v>
      </c>
      <c r="B8286" s="3" t="s">
        <v>4</v>
      </c>
      <c r="C8286" s="2" t="str">
        <f ca="1">IFERROR(__xludf.DUMMYFUNCTION("GOOGLETRANSLATE(A8286,""bn"",""en"")"),"Using this body wash will leave you feeling complete")</f>
        <v>Using this body wash will leave you feeling complete</v>
      </c>
    </row>
    <row r="8287" spans="1:3" ht="15.75" customHeight="1" x14ac:dyDescent="0.25">
      <c r="A8287" s="2" t="s">
        <v>8289</v>
      </c>
      <c r="B8287" s="3" t="s">
        <v>2</v>
      </c>
      <c r="C8287" s="2" t="str">
        <f ca="1">IFERROR(__xludf.DUMMYFUNCTION("GOOGLETRANSLATE(A8287,""bn"",""en"")"),"There is potential for some improvement")</f>
        <v>There is potential for some improvement</v>
      </c>
    </row>
    <row r="8288" spans="1:3" ht="15.75" customHeight="1" x14ac:dyDescent="0.25">
      <c r="A8288" s="2" t="s">
        <v>8290</v>
      </c>
      <c r="B8288" s="3" t="s">
        <v>6</v>
      </c>
      <c r="C8288" s="2" t="str">
        <f ca="1">IFERROR(__xludf.DUMMYFUNCTION("GOOGLETRANSLATE(A8288,""bn"",""en"")"),"The temperature control is overly sensitive resulting in accidental adjustments")</f>
        <v>The temperature control is overly sensitive resulting in accidental adjustments</v>
      </c>
    </row>
    <row r="8289" spans="1:3" ht="15.75" customHeight="1" x14ac:dyDescent="0.25">
      <c r="A8289" s="2" t="s">
        <v>8291</v>
      </c>
      <c r="B8289" s="3" t="s">
        <v>2</v>
      </c>
      <c r="C8289" s="2" t="str">
        <f ca="1">IFERROR(__xludf.DUMMYFUNCTION("GOOGLETRANSLATE(A8289,""bn"",""en"")"),"Nail shape doesn't mean anything")</f>
        <v>Nail shape doesn't mean anything</v>
      </c>
    </row>
    <row r="8290" spans="1:3" ht="15.75" customHeight="1" x14ac:dyDescent="0.25">
      <c r="A8290" s="2" t="s">
        <v>8292</v>
      </c>
      <c r="B8290" s="3" t="s">
        <v>2</v>
      </c>
      <c r="C8290" s="2" t="str">
        <f ca="1">IFERROR(__xludf.DUMMYFUNCTION("GOOGLETRANSLATE(A8290,""bn"",""en"")"),"The dress is durable but the color is not liked")</f>
        <v>The dress is durable but the color is not liked</v>
      </c>
    </row>
    <row r="8291" spans="1:3" ht="15.75" customHeight="1" x14ac:dyDescent="0.25">
      <c r="A8291" s="2" t="s">
        <v>8293</v>
      </c>
      <c r="B8291" s="3" t="s">
        <v>4</v>
      </c>
      <c r="C8291" s="2" t="str">
        <f ca="1">IFERROR(__xludf.DUMMYFUNCTION("GOOGLETRANSLATE(A8291,""bn"",""en"")"),"The new bike is very easy and comfortable to ride")</f>
        <v>The new bike is very easy and comfortable to ride</v>
      </c>
    </row>
    <row r="8292" spans="1:3" ht="15.75" customHeight="1" x14ac:dyDescent="0.25">
      <c r="A8292" s="2" t="s">
        <v>8294</v>
      </c>
      <c r="B8292" s="3" t="s">
        <v>2</v>
      </c>
      <c r="C8292" s="2" t="str">
        <f ca="1">IFERROR(__xludf.DUMMYFUNCTION("GOOGLETRANSLATE(A8292,""bn"",""en"")"),"It is important information required for management")</f>
        <v>It is important information required for management</v>
      </c>
    </row>
    <row r="8293" spans="1:3" ht="15.75" customHeight="1" x14ac:dyDescent="0.25">
      <c r="A8293" s="2" t="s">
        <v>8295</v>
      </c>
      <c r="B8293" s="3" t="s">
        <v>6</v>
      </c>
      <c r="C8293" s="2" t="str">
        <f ca="1">IFERROR(__xludf.DUMMYFUNCTION("GOOGLETRANSLATE(A8293,""bn"",""en"")"),"The shadows in the contour palette are muddy and difficult to blend seamlessly")</f>
        <v>The shadows in the contour palette are muddy and difficult to blend seamlessly</v>
      </c>
    </row>
    <row r="8294" spans="1:3" ht="15.75" customHeight="1" x14ac:dyDescent="0.25">
      <c r="A8294" s="2" t="s">
        <v>8296</v>
      </c>
      <c r="B8294" s="3" t="s">
        <v>6</v>
      </c>
      <c r="C8294" s="2" t="str">
        <f ca="1">IFERROR(__xludf.DUMMYFUNCTION("GOOGLETRANSLATE(A8294,""bn"",""en"")"),"The tea had a burnt taste that indicated over-roasting or improper preparation")</f>
        <v>The tea had a burnt taste that indicated over-roasting or improper preparation</v>
      </c>
    </row>
    <row r="8295" spans="1:3" ht="15.75" customHeight="1" x14ac:dyDescent="0.25">
      <c r="A8295" s="2" t="s">
        <v>8297</v>
      </c>
      <c r="B8295" s="3" t="s">
        <v>2</v>
      </c>
      <c r="C8295" s="2" t="str">
        <f ca="1">IFERROR(__xludf.DUMMYFUNCTION("GOOGLETRANSLATE(A8295,""bn"",""en"")"),"There are maps of different continents but very simplified")</f>
        <v>There are maps of different continents but very simplified</v>
      </c>
    </row>
    <row r="8296" spans="1:3" ht="15.75" customHeight="1" x14ac:dyDescent="0.25">
      <c r="A8296" s="2" t="s">
        <v>8298</v>
      </c>
      <c r="B8296" s="3" t="s">
        <v>2</v>
      </c>
      <c r="C8296" s="2" t="str">
        <f ca="1">IFERROR(__xludf.DUMMYFUNCTION("GOOGLETRANSLATE(A8296,""bn"",""en"")"),"Helps teach children science but in general subjects")</f>
        <v>Helps teach children science but in general subjects</v>
      </c>
    </row>
    <row r="8297" spans="1:3" ht="15.75" customHeight="1" x14ac:dyDescent="0.25">
      <c r="A8297" s="2" t="s">
        <v>8299</v>
      </c>
      <c r="B8297" s="3" t="s">
        <v>4</v>
      </c>
      <c r="C8297" s="2" t="str">
        <f ca="1">IFERROR(__xludf.DUMMYFUNCTION("GOOGLETRANSLATE(A8297,""bn"",""en"")"),"Honey is best mixed with hot water")</f>
        <v>Honey is best mixed with hot water</v>
      </c>
    </row>
    <row r="8298" spans="1:3" ht="15.75" customHeight="1" x14ac:dyDescent="0.25">
      <c r="A8298" s="2" t="s">
        <v>8300</v>
      </c>
      <c r="B8298" s="3" t="s">
        <v>4</v>
      </c>
      <c r="C8298" s="2" t="str">
        <f ca="1">IFERROR(__xludf.DUMMYFUNCTION("GOOGLETRANSLATE(A8298,""bn"",""en"")"),"The child has a lot of fun during his play")</f>
        <v>The child has a lot of fun during his play</v>
      </c>
    </row>
    <row r="8299" spans="1:3" ht="15.75" customHeight="1" x14ac:dyDescent="0.25">
      <c r="A8299" s="2" t="s">
        <v>8301</v>
      </c>
      <c r="B8299" s="3" t="s">
        <v>4</v>
      </c>
      <c r="C8299" s="2" t="str">
        <f ca="1">IFERROR(__xludf.DUMMYFUNCTION("GOOGLETRANSLATE(A8299,""bn"",""en"")"),"ok great ")</f>
        <v xml:space="preserve">ok great </v>
      </c>
    </row>
    <row r="8300" spans="1:3" ht="15.75" customHeight="1" x14ac:dyDescent="0.25">
      <c r="A8300" s="2" t="s">
        <v>8302</v>
      </c>
      <c r="B8300" s="3" t="s">
        <v>2</v>
      </c>
      <c r="C8300" s="2" t="str">
        <f ca="1">IFERROR(__xludf.DUMMYFUNCTION("GOOGLETRANSLATE(A8300,""bn"",""en"")"),"The dish rack is useful but takes up a lot of space")</f>
        <v>The dish rack is useful but takes up a lot of space</v>
      </c>
    </row>
    <row r="8301" spans="1:3" ht="15.75" customHeight="1" x14ac:dyDescent="0.25">
      <c r="A8301" s="2" t="s">
        <v>8303</v>
      </c>
      <c r="B8301" s="3" t="s">
        <v>2</v>
      </c>
      <c r="C8301" s="2" t="str">
        <f ca="1">IFERROR(__xludf.DUMMYFUNCTION("GOOGLETRANSLATE(A8301,""bn"",""en"")"),"Heat retention capacity is normal")</f>
        <v>Heat retention capacity is normal</v>
      </c>
    </row>
    <row r="8302" spans="1:3" ht="15.75" customHeight="1" x14ac:dyDescent="0.25">
      <c r="A8302" s="2" t="s">
        <v>8304</v>
      </c>
      <c r="B8302" s="3" t="s">
        <v>6</v>
      </c>
      <c r="C8302" s="2" t="str">
        <f ca="1">IFERROR(__xludf.DUMMYFUNCTION("GOOGLETRANSLATE(A8302,""bn"",""en"")"),"Interior shelves are not adjustable limiting customization options for storage")</f>
        <v>Interior shelves are not adjustable limiting customization options for storage</v>
      </c>
    </row>
    <row r="8303" spans="1:3" ht="15.75" customHeight="1" x14ac:dyDescent="0.25">
      <c r="A8303" s="2" t="s">
        <v>8305</v>
      </c>
      <c r="B8303" s="3" t="s">
        <v>2</v>
      </c>
      <c r="C8303" s="2" t="str">
        <f ca="1">IFERROR(__xludf.DUMMYFUNCTION("GOOGLETRANSLATE(A8303,""bn"",""en"")"),"The taste is good but it has saccharin which is a bit unusual")</f>
        <v>The taste is good but it has saccharin which is a bit unusual</v>
      </c>
    </row>
    <row r="8304" spans="1:3" ht="15.75" customHeight="1" x14ac:dyDescent="0.25">
      <c r="A8304" s="2" t="s">
        <v>8306</v>
      </c>
      <c r="B8304" s="3" t="s">
        <v>4</v>
      </c>
      <c r="C8304" s="2" t="str">
        <f ca="1">IFERROR(__xludf.DUMMYFUNCTION("GOOGLETRANSLATE(A8304,""bn"",""en"")"),"Fragrant body wash will enchant your skin")</f>
        <v>Fragrant body wash will enchant your skin</v>
      </c>
    </row>
    <row r="8305" spans="1:3" ht="15.75" customHeight="1" x14ac:dyDescent="0.25">
      <c r="A8305" s="2" t="s">
        <v>8307</v>
      </c>
      <c r="B8305" s="3" t="s">
        <v>2</v>
      </c>
      <c r="C8305" s="2" t="str">
        <f ca="1">IFERROR(__xludf.DUMMYFUNCTION("GOOGLETRANSLATE(A8305,""bn"",""en"")"),"Easily stackable but unstable in height")</f>
        <v>Easily stackable but unstable in height</v>
      </c>
    </row>
    <row r="8306" spans="1:3" ht="15.75" customHeight="1" x14ac:dyDescent="0.25">
      <c r="A8306" s="2" t="s">
        <v>8308</v>
      </c>
      <c r="B8306" s="3" t="s">
        <v>6</v>
      </c>
      <c r="C8306" s="2" t="str">
        <f ca="1">IFERROR(__xludf.DUMMYFUNCTION("GOOGLETRANSLATE(A8306,""bn"",""en"")"),"Despite claims of durability, the smartphone's screen cracks from the slightest drop")</f>
        <v>Despite claims of durability, the smartphone's screen cracks from the slightest drop</v>
      </c>
    </row>
    <row r="8307" spans="1:3" ht="15.75" customHeight="1" x14ac:dyDescent="0.25">
      <c r="A8307" s="2" t="s">
        <v>8309</v>
      </c>
      <c r="B8307" s="3" t="s">
        <v>2</v>
      </c>
      <c r="C8307" s="2" t="str">
        <f ca="1">IFERROR(__xludf.DUMMYFUNCTION("GOOGLETRANSLATE(A8307,""bn"",""en"")"),"Suitable for latte art but performance may vary")</f>
        <v>Suitable for latte art but performance may vary</v>
      </c>
    </row>
    <row r="8308" spans="1:3" ht="15.75" customHeight="1" x14ac:dyDescent="0.25">
      <c r="A8308" s="2" t="s">
        <v>8310</v>
      </c>
      <c r="B8308" s="3" t="s">
        <v>2</v>
      </c>
      <c r="C8308" s="2" t="str">
        <f ca="1">IFERROR(__xludf.DUMMYFUNCTION("GOOGLETRANSLATE(A8308,""bn"",""en"")"),"Keeps warm but not overly so")</f>
        <v>Keeps warm but not overly so</v>
      </c>
    </row>
    <row r="8309" spans="1:3" ht="15.75" customHeight="1" x14ac:dyDescent="0.25">
      <c r="A8309" s="2" t="s">
        <v>8311</v>
      </c>
      <c r="B8309" s="3" t="s">
        <v>4</v>
      </c>
      <c r="C8309" s="2" t="str">
        <f ca="1">IFERROR(__xludf.DUMMYFUNCTION("GOOGLETRANSLATE(A8309,""bn"",""en"")"),"The bottom of the furniture has adjustable fit")</f>
        <v>The bottom of the furniture has adjustable fit</v>
      </c>
    </row>
    <row r="8310" spans="1:3" ht="15.75" customHeight="1" x14ac:dyDescent="0.25">
      <c r="A8310" s="2" t="s">
        <v>8312</v>
      </c>
      <c r="B8310" s="3" t="s">
        <v>4</v>
      </c>
      <c r="C8310" s="2" t="str">
        <f ca="1">IFERROR(__xludf.DUMMYFUNCTION("GOOGLETRANSLATE(A8310,""bn"",""en"")"),"You will feel comfortable using this body wash")</f>
        <v>You will feel comfortable using this body wash</v>
      </c>
    </row>
    <row r="8311" spans="1:3" ht="15.75" customHeight="1" x14ac:dyDescent="0.25">
      <c r="A8311" s="2" t="s">
        <v>8313</v>
      </c>
      <c r="B8311" s="3" t="s">
        <v>6</v>
      </c>
      <c r="C8311" s="2" t="str">
        <f ca="1">IFERROR(__xludf.DUMMYFUNCTION("GOOGLETRANSLATE(A8311,""bn"",""en"")"),"Viruses slow down the total protection system annoying popups")</f>
        <v>Viruses slow down the total protection system annoying popups</v>
      </c>
    </row>
    <row r="8312" spans="1:3" ht="15.75" customHeight="1" x14ac:dyDescent="0.25">
      <c r="A8312" s="2" t="s">
        <v>8314</v>
      </c>
      <c r="B8312" s="3" t="s">
        <v>6</v>
      </c>
      <c r="C8312" s="2" t="str">
        <f ca="1">IFERROR(__xludf.DUMMYFUNCTION("GOOGLETRANSLATE(A8312,""bn"",""en"")"),"No international warranty")</f>
        <v>No international warranty</v>
      </c>
    </row>
    <row r="8313" spans="1:3" ht="15.75" customHeight="1" x14ac:dyDescent="0.25">
      <c r="A8313" s="2" t="s">
        <v>8315</v>
      </c>
      <c r="B8313" s="3" t="s">
        <v>6</v>
      </c>
      <c r="C8313" s="2" t="str">
        <f ca="1">IFERROR(__xludf.DUMMYFUNCTION("GOOGLETRANSLATE(A8313,""bn"",""en"")")," Control panel buttons wear out quickly and labels fade over time")</f>
        <v xml:space="preserve"> Control panel buttons wear out quickly and labels fade over time</v>
      </c>
    </row>
    <row r="8314" spans="1:3" ht="15.75" customHeight="1" x14ac:dyDescent="0.25">
      <c r="A8314" s="2" t="s">
        <v>8316</v>
      </c>
      <c r="B8314" s="3" t="s">
        <v>6</v>
      </c>
      <c r="C8314" s="2" t="str">
        <f ca="1">IFERROR(__xludf.DUMMYFUNCTION("GOOGLETRANSLATE(A8314,""bn"",""en"")"),"The impractical design limits versatility and is not suitable for a variety of occasions")</f>
        <v>The impractical design limits versatility and is not suitable for a variety of occasions</v>
      </c>
    </row>
    <row r="8315" spans="1:3" ht="15.75" customHeight="1" x14ac:dyDescent="0.25">
      <c r="A8315" s="2" t="s">
        <v>8317</v>
      </c>
      <c r="B8315" s="3" t="s">
        <v>6</v>
      </c>
      <c r="C8315" s="2" t="str">
        <f ca="1">IFERROR(__xludf.DUMMYFUNCTION("GOOGLETRANSLATE(A8315,""bn"",""en"")"),"The tea leaves were very coarse resulting in a gritty texture in the cup")</f>
        <v>The tea leaves were very coarse resulting in a gritty texture in the cup</v>
      </c>
    </row>
    <row r="8316" spans="1:3" ht="15.75" customHeight="1" x14ac:dyDescent="0.25">
      <c r="A8316" s="2" t="s">
        <v>8318</v>
      </c>
      <c r="B8316" s="3" t="s">
        <v>2</v>
      </c>
      <c r="C8316" s="2" t="str">
        <f ca="1">IFERROR(__xludf.DUMMYFUNCTION("GOOGLETRANSLATE(A8316,""bn"",""en"")"),"The bottle can be kept in the pocket")</f>
        <v>The bottle can be kept in the pocket</v>
      </c>
    </row>
    <row r="8317" spans="1:3" ht="15.75" customHeight="1" x14ac:dyDescent="0.25">
      <c r="A8317" s="2" t="s">
        <v>8319</v>
      </c>
      <c r="B8317" s="3" t="s">
        <v>2</v>
      </c>
      <c r="C8317" s="2" t="str">
        <f ca="1">IFERROR(__xludf.DUMMYFUNCTION("GOOGLETRANSLATE(A8317,""bn"",""en"")"),"The brush package has the recycle logo")</f>
        <v>The brush package has the recycle logo</v>
      </c>
    </row>
    <row r="8318" spans="1:3" ht="15.75" customHeight="1" x14ac:dyDescent="0.25">
      <c r="A8318" s="2" t="s">
        <v>8320</v>
      </c>
      <c r="B8318" s="3" t="s">
        <v>6</v>
      </c>
      <c r="C8318" s="2" t="str">
        <f ca="1">IFERROR(__xludf.DUMMYFUNCTION("GOOGLETRANSLATE(A8318,""bn"",""en"")"),"Inconsistent hair dryer heat settings damage hair over time")</f>
        <v>Inconsistent hair dryer heat settings damage hair over time</v>
      </c>
    </row>
    <row r="8319" spans="1:3" ht="15.75" customHeight="1" x14ac:dyDescent="0.25">
      <c r="A8319" s="2" t="s">
        <v>8321</v>
      </c>
      <c r="B8319" s="3" t="s">
        <v>4</v>
      </c>
      <c r="C8319" s="2" t="str">
        <f ca="1">IFERROR(__xludf.DUMMYFUNCTION("GOOGLETRANSLATE(A8319,""bn"",""en"")"),"Perfect for airport bags and car keys")</f>
        <v>Perfect for airport bags and car keys</v>
      </c>
    </row>
    <row r="8320" spans="1:3" ht="15.75" customHeight="1" x14ac:dyDescent="0.25">
      <c r="A8320" s="2" t="s">
        <v>8322</v>
      </c>
      <c r="B8320" s="3" t="s">
        <v>2</v>
      </c>
      <c r="C8320" s="2" t="str">
        <f ca="1">IFERROR(__xludf.DUMMYFUNCTION("GOOGLETRANSLATE(A8320,""bn"",""en"")"),"Several types of beans are used in the blend")</f>
        <v>Several types of beans are used in the blend</v>
      </c>
    </row>
    <row r="8321" spans="1:3" ht="15.75" customHeight="1" x14ac:dyDescent="0.25">
      <c r="A8321" s="2" t="s">
        <v>8323</v>
      </c>
      <c r="B8321" s="3" t="s">
        <v>6</v>
      </c>
      <c r="C8321" s="2" t="str">
        <f ca="1">IFERROR(__xludf.DUMMYFUNCTION("GOOGLETRANSLATE(A8321,""bn"",""en"")"),"Butter is thick and takes a long time to absorb into oily skin and stains clothes")</f>
        <v>Butter is thick and takes a long time to absorb into oily skin and stains clothes</v>
      </c>
    </row>
    <row r="8322" spans="1:3" ht="15.75" customHeight="1" x14ac:dyDescent="0.25">
      <c r="A8322" s="2" t="s">
        <v>8324</v>
      </c>
      <c r="B8322" s="3" t="s">
        <v>2</v>
      </c>
      <c r="C8322" s="2" t="str">
        <f ca="1">IFERROR(__xludf.DUMMYFUNCTION("GOOGLETRANSLATE(A8322,""bn"",""en"")"),"Attracts the child's attention but does not hold it for long")</f>
        <v>Attracts the child's attention but does not hold it for long</v>
      </c>
    </row>
    <row r="8323" spans="1:3" ht="15.75" customHeight="1" x14ac:dyDescent="0.25">
      <c r="A8323" s="2" t="s">
        <v>8325</v>
      </c>
      <c r="B8323" s="3" t="s">
        <v>2</v>
      </c>
      <c r="C8323" s="2" t="str">
        <f ca="1">IFERROR(__xludf.DUMMYFUNCTION("GOOGLETRANSLATE(A8323,""bn"",""en"")"),"Does not crack easily")</f>
        <v>Does not crack easily</v>
      </c>
    </row>
    <row r="8324" spans="1:3" ht="15.75" customHeight="1" x14ac:dyDescent="0.25">
      <c r="A8324" s="2" t="s">
        <v>8326</v>
      </c>
      <c r="B8324" s="3" t="s">
        <v>2</v>
      </c>
      <c r="C8324" s="2" t="str">
        <f ca="1">IFERROR(__xludf.DUMMYFUNCTION("GOOGLETRANSLATE(A8324,""bn"",""en"")"),"Battery life is fairly good")</f>
        <v>Battery life is fairly good</v>
      </c>
    </row>
    <row r="8325" spans="1:3" ht="15.75" customHeight="1" x14ac:dyDescent="0.25">
      <c r="A8325" s="2" t="s">
        <v>8327</v>
      </c>
      <c r="B8325" s="3" t="s">
        <v>4</v>
      </c>
      <c r="C8325" s="2" t="str">
        <f ca="1">IFERROR(__xludf.DUMMYFUNCTION("GOOGLETRANSLATE(A8325,""bn"",""en"")"),"Its soft and supple feel is unmatched")</f>
        <v>Its soft and supple feel is unmatched</v>
      </c>
    </row>
    <row r="8326" spans="1:3" ht="15.75" customHeight="1" x14ac:dyDescent="0.25">
      <c r="A8326" s="2" t="s">
        <v>8328</v>
      </c>
      <c r="B8326" s="3" t="s">
        <v>4</v>
      </c>
      <c r="C8326" s="2" t="str">
        <f ca="1">IFERROR(__xludf.DUMMYFUNCTION("GOOGLETRANSLATE(A8326,""bn"",""en"")"),"Enhances any room")</f>
        <v>Enhances any room</v>
      </c>
    </row>
    <row r="8327" spans="1:3" ht="15.75" customHeight="1" x14ac:dyDescent="0.25">
      <c r="A8327" s="2" t="s">
        <v>8329</v>
      </c>
      <c r="B8327" s="3" t="s">
        <v>6</v>
      </c>
      <c r="C8327" s="2" t="str">
        <f ca="1">IFERROR(__xludf.DUMMYFUNCTION("GOOGLETRANSLATE(A8327,""bn"",""en"")"),"The brushes had a strong chemical smell")</f>
        <v>The brushes had a strong chemical smell</v>
      </c>
    </row>
    <row r="8328" spans="1:3" ht="15.75" customHeight="1" x14ac:dyDescent="0.25">
      <c r="A8328" s="2" t="s">
        <v>8330</v>
      </c>
      <c r="B8328" s="3" t="s">
        <v>4</v>
      </c>
      <c r="C8328" s="2" t="str">
        <f ca="1">IFERROR(__xludf.DUMMYFUNCTION("GOOGLETRANSLATE(A8328,""bn"",""en"")"),"I recently bought a doll for my daughter and we are both very happy with it this doll is really awesome")</f>
        <v>I recently bought a doll for my daughter and we are both very happy with it this doll is really awesome</v>
      </c>
    </row>
    <row r="8329" spans="1:3" ht="15.75" customHeight="1" x14ac:dyDescent="0.25">
      <c r="A8329" s="2" t="s">
        <v>8331</v>
      </c>
      <c r="B8329" s="3" t="s">
        <v>4</v>
      </c>
      <c r="C8329" s="2" t="str">
        <f ca="1">IFERROR(__xludf.DUMMYFUNCTION("GOOGLETRANSLATE(A8329,""bn"",""en"")"),"This body wash will make your skin beautiful and healthy")</f>
        <v>This body wash will make your skin beautiful and healthy</v>
      </c>
    </row>
    <row r="8330" spans="1:3" ht="15.75" customHeight="1" x14ac:dyDescent="0.25">
      <c r="A8330" s="2" t="s">
        <v>8332</v>
      </c>
      <c r="B8330" s="3" t="s">
        <v>2</v>
      </c>
      <c r="C8330" s="2" t="str">
        <f ca="1">IFERROR(__xludf.DUMMYFUNCTION("GOOGLETRANSLATE(A8330,""bn"",""en"")"),"Fertilizers are of some benefit but the cost is high")</f>
        <v>Fertilizers are of some benefit but the cost is high</v>
      </c>
    </row>
    <row r="8331" spans="1:3" ht="15.75" customHeight="1" x14ac:dyDescent="0.25">
      <c r="A8331" s="2" t="s">
        <v>8333</v>
      </c>
      <c r="B8331" s="3" t="s">
        <v>6</v>
      </c>
      <c r="C8331" s="2" t="str">
        <f ca="1">IFERROR(__xludf.DUMMYFUNCTION("GOOGLETRANSLATE(A8331,""bn"",""en"")"),"No protective seal No product integrity")</f>
        <v>No protective seal No product integrity</v>
      </c>
    </row>
    <row r="8332" spans="1:3" ht="15.75" customHeight="1" x14ac:dyDescent="0.25">
      <c r="A8332" s="2" t="s">
        <v>8334</v>
      </c>
      <c r="B8332" s="3" t="s">
        <v>4</v>
      </c>
      <c r="C8332" s="2" t="str">
        <f ca="1">IFERROR(__xludf.DUMMYFUNCTION("GOOGLETRANSLATE(A8332,""bn"",""en"")"),"The cloth is made of high quality materials")</f>
        <v>The cloth is made of high quality materials</v>
      </c>
    </row>
    <row r="8333" spans="1:3" ht="15.75" customHeight="1" x14ac:dyDescent="0.25">
      <c r="A8333" s="2" t="s">
        <v>8335</v>
      </c>
      <c r="B8333" s="3" t="s">
        <v>2</v>
      </c>
      <c r="C8333" s="2" t="str">
        <f ca="1">IFERROR(__xludf.DUMMYFUNCTION("GOOGLETRANSLATE(A8333,""bn"",""en"")"),"Offers flexible protection but may not meet all needs")</f>
        <v>Offers flexible protection but may not meet all needs</v>
      </c>
    </row>
    <row r="8334" spans="1:3" ht="15.75" customHeight="1" x14ac:dyDescent="0.25">
      <c r="A8334" s="2" t="s">
        <v>8336</v>
      </c>
      <c r="B8334" s="3" t="s">
        <v>6</v>
      </c>
      <c r="C8334" s="2" t="str">
        <f ca="1">IFERROR(__xludf.DUMMYFUNCTION("GOOGLETRANSLATE(A8334,""bn"",""en"")"),"The construction of the item was prone to rust or corrosion")</f>
        <v>The construction of the item was prone to rust or corrosion</v>
      </c>
    </row>
    <row r="8335" spans="1:3" ht="15.75" customHeight="1" x14ac:dyDescent="0.25">
      <c r="A8335" s="2" t="s">
        <v>8337</v>
      </c>
      <c r="B8335" s="3" t="s">
        <v>4</v>
      </c>
      <c r="C8335" s="2" t="str">
        <f ca="1">IFERROR(__xludf.DUMMYFUNCTION("GOOGLETRANSLATE(A8335,""bn"",""en"")"),"This medicine acts quickly to help reduce symptoms and improves long-term health.It has fewer side effects and is easy to swallow")</f>
        <v>This medicine acts quickly to help reduce symptoms and improves long-term health.It has fewer side effects and is easy to swallow</v>
      </c>
    </row>
    <row r="8336" spans="1:3" ht="15.75" customHeight="1" x14ac:dyDescent="0.25">
      <c r="A8336" s="2" t="s">
        <v>8338</v>
      </c>
      <c r="B8336" s="3" t="s">
        <v>2</v>
      </c>
      <c r="C8336" s="2" t="str">
        <f ca="1">IFERROR(__xludf.DUMMYFUNCTION("GOOGLETRANSLATE(A8336,""bn"",""en"")"),"Usable but did not meet expectations")</f>
        <v>Usable but did not meet expectations</v>
      </c>
    </row>
    <row r="8337" spans="1:3" ht="15.75" customHeight="1" x14ac:dyDescent="0.25">
      <c r="A8337" s="2" t="s">
        <v>8339</v>
      </c>
      <c r="B8337" s="3" t="s">
        <v>6</v>
      </c>
      <c r="C8337" s="2" t="str">
        <f ca="1">IFERROR(__xludf.DUMMYFUNCTION("GOOGLETRANSLATE(A8337,""bn"",""en"")"),"Unsatisfied returns due to instability")</f>
        <v>Unsatisfied returns due to instability</v>
      </c>
    </row>
    <row r="8338" spans="1:3" ht="15.75" customHeight="1" x14ac:dyDescent="0.25">
      <c r="A8338" s="2" t="s">
        <v>8340</v>
      </c>
      <c r="B8338" s="3" t="s">
        <v>6</v>
      </c>
      <c r="C8338" s="2" t="str">
        <f ca="1">IFERROR(__xludf.DUMMYFUNCTION("GOOGLETRANSLATE(A8338,""bn"",""en"")"),"The paint on the tea set was chipped and peeling and looked worn")</f>
        <v>The paint on the tea set was chipped and peeling and looked worn</v>
      </c>
    </row>
    <row r="8339" spans="1:3" ht="15.75" customHeight="1" x14ac:dyDescent="0.25">
      <c r="A8339" s="2" t="s">
        <v>8341</v>
      </c>
      <c r="B8339" s="3" t="s">
        <v>2</v>
      </c>
      <c r="C8339" s="2" t="str">
        <f ca="1">IFERROR(__xludf.DUMMYFUNCTION("GOOGLETRANSLATE(A8339,""bn"",""en"")"),"The nail size looks bigger")</f>
        <v>The nail size looks bigger</v>
      </c>
    </row>
    <row r="8340" spans="1:3" ht="15.75" customHeight="1" x14ac:dyDescent="0.25">
      <c r="A8340" s="2" t="s">
        <v>8342</v>
      </c>
      <c r="B8340" s="3" t="s">
        <v>2</v>
      </c>
      <c r="C8340" s="2" t="str">
        <f ca="1">IFERROR(__xludf.DUMMYFUNCTION("GOOGLETRANSLATE(A8340,""bn"",""en"")"),"Bathroom scales measure weight, although the numbers can be difficult to read")</f>
        <v>Bathroom scales measure weight, although the numbers can be difficult to read</v>
      </c>
    </row>
    <row r="8341" spans="1:3" ht="15.75" customHeight="1" x14ac:dyDescent="0.25">
      <c r="A8341" s="2" t="s">
        <v>8343</v>
      </c>
      <c r="B8341" s="3" t="s">
        <v>4</v>
      </c>
      <c r="C8341" s="2" t="str">
        <f ca="1">IFERROR(__xludf.DUMMYFUNCTION("GOOGLETRANSLATE(A8341,""bn"",""en"")"),"Makeup brushes are a pleasure to use")</f>
        <v>Makeup brushes are a pleasure to use</v>
      </c>
    </row>
    <row r="8342" spans="1:3" ht="15.75" customHeight="1" x14ac:dyDescent="0.25">
      <c r="A8342" s="2" t="s">
        <v>8344</v>
      </c>
      <c r="B8342" s="3" t="s">
        <v>4</v>
      </c>
      <c r="C8342" s="2" t="str">
        <f ca="1">IFERROR(__xludf.DUMMYFUNCTION("GOOGLETRANSLATE(A8342,""bn"",""en"")"),"The taste of this tea draws me back again and again")</f>
        <v>The taste of this tea draws me back again and again</v>
      </c>
    </row>
    <row r="8343" spans="1:3" ht="15.75" customHeight="1" x14ac:dyDescent="0.25">
      <c r="A8343" s="2" t="s">
        <v>8345</v>
      </c>
      <c r="B8343" s="3" t="s">
        <v>4</v>
      </c>
      <c r="C8343" s="2" t="str">
        <f ca="1">IFERROR(__xludf.DUMMYFUNCTION("GOOGLETRANSLATE(A8343,""bn"",""en"")"),"The brushes in the makeup kit are very soft")</f>
        <v>The brushes in the makeup kit are very soft</v>
      </c>
    </row>
    <row r="8344" spans="1:3" ht="15.75" customHeight="1" x14ac:dyDescent="0.25">
      <c r="A8344" s="2" t="s">
        <v>8346</v>
      </c>
      <c r="B8344" s="3" t="s">
        <v>4</v>
      </c>
      <c r="C8344" s="2" t="str">
        <f ca="1">IFERROR(__xludf.DUMMYFUNCTION("GOOGLETRANSLATE(A8344,""bn"",""en"")"),"The design and color of the new shoes are very nice")</f>
        <v>The design and color of the new shoes are very nice</v>
      </c>
    </row>
    <row r="8345" spans="1:3" ht="15.75" customHeight="1" x14ac:dyDescent="0.25">
      <c r="A8345" s="2" t="s">
        <v>8347</v>
      </c>
      <c r="B8345" s="3" t="s">
        <v>2</v>
      </c>
      <c r="C8345" s="2" t="str">
        <f ca="1">IFERROR(__xludf.DUMMYFUNCTION("GOOGLETRANSLATE(A8345,""bn"",""en"")"),"Can be easily moved if needed")</f>
        <v>Can be easily moved if needed</v>
      </c>
    </row>
    <row r="8346" spans="1:3" ht="15.75" customHeight="1" x14ac:dyDescent="0.25">
      <c r="A8346" s="2" t="s">
        <v>8348</v>
      </c>
      <c r="B8346" s="3" t="s">
        <v>4</v>
      </c>
      <c r="C8346" s="2" t="str">
        <f ca="1">IFERROR(__xludf.DUMMYFUNCTION("GOOGLETRANSLATE(A8346,""bn"",""en"")"),"The best radar detector")</f>
        <v>The best radar detector</v>
      </c>
    </row>
    <row r="8347" spans="1:3" ht="15.75" customHeight="1" x14ac:dyDescent="0.25">
      <c r="A8347" s="2" t="s">
        <v>8349</v>
      </c>
      <c r="B8347" s="3" t="s">
        <v>4</v>
      </c>
      <c r="C8347" s="2" t="str">
        <f ca="1">IFERROR(__xludf.DUMMYFUNCTION("GOOGLETRANSLATE(A8347,""bn"",""en"")"),"Mop cloth is easy to clean")</f>
        <v>Mop cloth is easy to clean</v>
      </c>
    </row>
    <row r="8348" spans="1:3" ht="15.75" customHeight="1" x14ac:dyDescent="0.25">
      <c r="A8348" s="2" t="s">
        <v>8350</v>
      </c>
      <c r="B8348" s="3" t="s">
        <v>2</v>
      </c>
      <c r="C8348" s="2" t="str">
        <f ca="1">IFERROR(__xludf.DUMMYFUNCTION("GOOGLETRANSLATE(A8348,""bn"",""en"")"),"Just what I wanted but wasn't thrilled with")</f>
        <v>Just what I wanted but wasn't thrilled with</v>
      </c>
    </row>
    <row r="8349" spans="1:3" ht="15.75" customHeight="1" x14ac:dyDescent="0.25">
      <c r="A8349" s="2" t="s">
        <v>8351</v>
      </c>
      <c r="B8349" s="3" t="s">
        <v>4</v>
      </c>
      <c r="C8349" s="2" t="str">
        <f ca="1">IFERROR(__xludf.DUMMYFUNCTION("GOOGLETRANSLATE(A8349,""bn"",""en"")"),"It works properly")</f>
        <v>It works properly</v>
      </c>
    </row>
    <row r="8350" spans="1:3" ht="15.75" customHeight="1" x14ac:dyDescent="0.25">
      <c r="A8350" s="2" t="s">
        <v>8352</v>
      </c>
      <c r="B8350" s="3" t="s">
        <v>4</v>
      </c>
      <c r="C8350" s="2" t="str">
        <f ca="1">IFERROR(__xludf.DUMMYFUNCTION("GOOGLETRANSLATE(A8350,""bn"",""en"")"),"Long lasting due to its strong cable")</f>
        <v>Long lasting due to its strong cable</v>
      </c>
    </row>
    <row r="8351" spans="1:3" ht="15.75" customHeight="1" x14ac:dyDescent="0.25">
      <c r="A8351" s="2" t="s">
        <v>8353</v>
      </c>
      <c r="B8351" s="3" t="s">
        <v>4</v>
      </c>
      <c r="C8351" s="2" t="str">
        <f ca="1">IFERROR(__xludf.DUMMYFUNCTION("GOOGLETRANSLATE(A8351,""bn"",""en"")"),"The pad is eco-friendly and made of high quality raw material which is really commendable")</f>
        <v>The pad is eco-friendly and made of high quality raw material which is really commendable</v>
      </c>
    </row>
    <row r="8352" spans="1:3" ht="15.75" customHeight="1" x14ac:dyDescent="0.25">
      <c r="A8352" s="2" t="s">
        <v>8354</v>
      </c>
      <c r="B8352" s="3" t="s">
        <v>6</v>
      </c>
      <c r="C8352" s="2" t="str">
        <f ca="1">IFERROR(__xludf.DUMMYFUNCTION("GOOGLETRANSLATE(A8352,""bn"",""en"")"),"The power button on the electric air pump is hard to jam")</f>
        <v>The power button on the electric air pump is hard to jam</v>
      </c>
    </row>
    <row r="8353" spans="1:3" ht="15.75" customHeight="1" x14ac:dyDescent="0.25">
      <c r="A8353" s="2" t="s">
        <v>8355</v>
      </c>
      <c r="B8353" s="3" t="s">
        <v>2</v>
      </c>
      <c r="C8353" s="2" t="str">
        <f ca="1">IFERROR(__xludf.DUMMYFUNCTION("GOOGLETRANSLATE(A8353,""bn"",""en"")"),"The color is neutral with no special attraction")</f>
        <v>The color is neutral with no special attraction</v>
      </c>
    </row>
    <row r="8354" spans="1:3" ht="15.75" customHeight="1" x14ac:dyDescent="0.25">
      <c r="A8354" s="2" t="s">
        <v>8356</v>
      </c>
      <c r="B8354" s="3" t="s">
        <v>4</v>
      </c>
      <c r="C8354" s="2" t="str">
        <f ca="1">IFERROR(__xludf.DUMMYFUNCTION("GOOGLETRANSLATE(A8354,""bn"",""en"")"),"The design of the fan is very attractive and agreeable")</f>
        <v>The design of the fan is very attractive and agreeable</v>
      </c>
    </row>
    <row r="8355" spans="1:3" ht="15.75" customHeight="1" x14ac:dyDescent="0.25">
      <c r="A8355" s="2" t="s">
        <v>8357</v>
      </c>
      <c r="B8355" s="3" t="s">
        <v>6</v>
      </c>
      <c r="C8355" s="2" t="str">
        <f ca="1">IFERROR(__xludf.DUMMYFUNCTION("GOOGLETRANSLATE(A8355,""bn"",""en"")"),"The mocha of the fabric resists movement and shows sensitivity")</f>
        <v>The mocha of the fabric resists movement and shows sensitivity</v>
      </c>
    </row>
    <row r="8356" spans="1:3" ht="15.75" customHeight="1" x14ac:dyDescent="0.25">
      <c r="A8356" s="2" t="s">
        <v>8358</v>
      </c>
      <c r="B8356" s="3" t="s">
        <v>6</v>
      </c>
      <c r="C8356" s="2" t="str">
        <f ca="1">IFERROR(__xludf.DUMMYFUNCTION("GOOGLETRANSLATE(A8356,""bn"",""en"")"),"Nasal aspirator suction is too weak making it ineffective for cleaning baby's nose")</f>
        <v>Nasal aspirator suction is too weak making it ineffective for cleaning baby's nose</v>
      </c>
    </row>
    <row r="8357" spans="1:3" ht="15.75" customHeight="1" x14ac:dyDescent="0.25">
      <c r="A8357" s="2" t="s">
        <v>8359</v>
      </c>
      <c r="B8357" s="3" t="s">
        <v>4</v>
      </c>
      <c r="C8357" s="2" t="str">
        <f ca="1">IFERROR(__xludf.DUMMYFUNCTION("GOOGLETRANSLATE(A8357,""bn"",""en"")"),"Very good quality")</f>
        <v>Very good quality</v>
      </c>
    </row>
    <row r="8358" spans="1:3" ht="15.75" customHeight="1" x14ac:dyDescent="0.25">
      <c r="A8358" s="2" t="s">
        <v>8360</v>
      </c>
      <c r="B8358" s="3" t="s">
        <v>2</v>
      </c>
      <c r="C8358" s="2" t="str">
        <f ca="1">IFERROR(__xludf.DUMMYFUNCTION("GOOGLETRANSLATE(A8358,""bn"",""en"")"),"Not sure about durability")</f>
        <v>Not sure about durability</v>
      </c>
    </row>
    <row r="8359" spans="1:3" ht="15.75" customHeight="1" x14ac:dyDescent="0.25">
      <c r="A8359" s="2" t="s">
        <v>8361</v>
      </c>
      <c r="B8359" s="3" t="s">
        <v>4</v>
      </c>
      <c r="C8359" s="2" t="str">
        <f ca="1">IFERROR(__xludf.DUMMYFUNCTION("GOOGLETRANSLATE(A8359,""bn"",""en"")"),"The travel pillow that comes with the set is very useful it makes my travels more comfortable")</f>
        <v>The travel pillow that comes with the set is very useful it makes my travels more comfortable</v>
      </c>
    </row>
    <row r="8360" spans="1:3" ht="15.75" customHeight="1" x14ac:dyDescent="0.25">
      <c r="A8360" s="2" t="s">
        <v>8362</v>
      </c>
      <c r="B8360" s="3" t="s">
        <v>6</v>
      </c>
      <c r="C8360" s="2" t="str">
        <f ca="1">IFERROR(__xludf.DUMMYFUNCTION("GOOGLETRANSLATE(A8360,""bn"",""en"")"),"Hairspray failed to hold my hair style leaving it limp and unruly")</f>
        <v>Hairspray failed to hold my hair style leaving it limp and unruly</v>
      </c>
    </row>
    <row r="8361" spans="1:3" ht="15.75" customHeight="1" x14ac:dyDescent="0.25">
      <c r="A8361" s="2" t="s">
        <v>8363</v>
      </c>
      <c r="B8361" s="3" t="s">
        <v>4</v>
      </c>
      <c r="C8361" s="2" t="str">
        <f ca="1">IFERROR(__xludf.DUMMYFUNCTION("GOOGLETRANSLATE(A8361,""bn"",""en"")"),"The audio output of the mobile is very clear")</f>
        <v>The audio output of the mobile is very clear</v>
      </c>
    </row>
    <row r="8362" spans="1:3" ht="15.75" customHeight="1" x14ac:dyDescent="0.25">
      <c r="A8362" s="2" t="s">
        <v>8364</v>
      </c>
      <c r="B8362" s="3" t="s">
        <v>4</v>
      </c>
      <c r="C8362" s="2" t="str">
        <f ca="1">IFERROR(__xludf.DUMMYFUNCTION("GOOGLETRANSLATE(A8362,""bn"",""en"")"),"The cushions remain comfortable even after prolonged use")</f>
        <v>The cushions remain comfortable even after prolonged use</v>
      </c>
    </row>
    <row r="8363" spans="1:3" ht="15.75" customHeight="1" x14ac:dyDescent="0.25">
      <c r="A8363" s="2" t="s">
        <v>8365</v>
      </c>
      <c r="B8363" s="3" t="s">
        <v>2</v>
      </c>
      <c r="C8363" s="2" t="str">
        <f ca="1">IFERROR(__xludf.DUMMYFUNCTION("GOOGLETRANSLATE(A8363,""bn"",""en"")"),"Alhamdulillah everything is fine but after eating you will understand how the medicine works
")</f>
        <v xml:space="preserve">Alhamdulillah everything is fine but after eating you will understand how the medicine works
</v>
      </c>
    </row>
    <row r="8364" spans="1:3" ht="15.75" customHeight="1" x14ac:dyDescent="0.25">
      <c r="A8364" s="2" t="s">
        <v>8366</v>
      </c>
      <c r="B8364" s="3" t="s">
        <v>4</v>
      </c>
      <c r="C8364" s="2" t="str">
        <f ca="1">IFERROR(__xludf.DUMMYFUNCTION("GOOGLETRANSLATE(A8364,""bn"",""en"")"),"Controlling the speed of the fan is very easy and effective")</f>
        <v>Controlling the speed of the fan is very easy and effective</v>
      </c>
    </row>
    <row r="8365" spans="1:3" ht="15.75" customHeight="1" x14ac:dyDescent="0.25">
      <c r="A8365" s="2" t="s">
        <v>8367</v>
      </c>
      <c r="B8365" s="3" t="s">
        <v>4</v>
      </c>
      <c r="C8365" s="2" t="str">
        <f ca="1">IFERROR(__xludf.DUMMYFUNCTION("GOOGLETRANSLATE(A8365,""bn"",""en"")"),"Desk drawers have organizers that help keep things organized")</f>
        <v>Desk drawers have organizers that help keep things organized</v>
      </c>
    </row>
    <row r="8366" spans="1:3" ht="15.75" customHeight="1" x14ac:dyDescent="0.25">
      <c r="A8366" s="2" t="s">
        <v>8368</v>
      </c>
      <c r="B8366" s="3" t="s">
        <v>4</v>
      </c>
      <c r="C8366" s="2" t="str">
        <f ca="1">IFERROR(__xludf.DUMMYFUNCTION("GOOGLETRANSLATE(A8366,""bn"",""en"")"),"Works great on my Subaru")</f>
        <v>Works great on my Subaru</v>
      </c>
    </row>
    <row r="8367" spans="1:3" ht="15.75" customHeight="1" x14ac:dyDescent="0.25">
      <c r="A8367" s="2" t="s">
        <v>8369</v>
      </c>
      <c r="B8367" s="3" t="s">
        <v>6</v>
      </c>
      <c r="C8367" s="2" t="str">
        <f ca="1">IFERROR(__xludf.DUMMYFUNCTION("GOOGLETRANSLATE(A8367,""bn"",""en"")"),"  The polish was too harsh and left my skin red")</f>
        <v xml:space="preserve">  The polish was too harsh and left my skin red</v>
      </c>
    </row>
    <row r="8368" spans="1:3" ht="15.75" customHeight="1" x14ac:dyDescent="0.25">
      <c r="A8368" s="2" t="s">
        <v>8370</v>
      </c>
      <c r="B8368" s="3" t="s">
        <v>6</v>
      </c>
      <c r="C8368" s="2" t="str">
        <f ca="1">IFERROR(__xludf.DUMMYFUNCTION("GOOGLETRANSLATE(A8368,""bn"",""en"")"),"Adjusting temperature gauge settings is complicated by being difficult to read")</f>
        <v>Adjusting temperature gauge settings is complicated by being difficult to read</v>
      </c>
    </row>
    <row r="8369" spans="1:3" ht="15.75" customHeight="1" x14ac:dyDescent="0.25">
      <c r="A8369" s="2" t="s">
        <v>8371</v>
      </c>
      <c r="B8369" s="3" t="s">
        <v>2</v>
      </c>
      <c r="C8369" s="2" t="str">
        <f ca="1">IFERROR(__xludf.DUMMYFUNCTION("GOOGLETRANSLATE(A8369,""bn"",""en"")"),"Simple and may have limited functionality")</f>
        <v>Simple and may have limited functionality</v>
      </c>
    </row>
    <row r="8370" spans="1:3" ht="15.75" customHeight="1" x14ac:dyDescent="0.25">
      <c r="A8370" s="2" t="s">
        <v>8372</v>
      </c>
      <c r="B8370" s="3" t="s">
        <v>6</v>
      </c>
      <c r="C8370" s="2" t="str">
        <f ca="1">IFERROR(__xludf.DUMMYFUNCTION("GOOGLETRANSLATE(A8370,""bn"",""en"")"),"The display suffers from screen burn-in which affects the viewing experience")</f>
        <v>The display suffers from screen burn-in which affects the viewing experience</v>
      </c>
    </row>
    <row r="8371" spans="1:3" ht="15.75" customHeight="1" x14ac:dyDescent="0.25">
      <c r="A8371" s="2" t="s">
        <v>8373</v>
      </c>
      <c r="B8371" s="3" t="s">
        <v>2</v>
      </c>
      <c r="C8371" s="2" t="str">
        <f ca="1">IFERROR(__xludf.DUMMYFUNCTION("GOOGLETRANSLATE(A8371,""bn"",""en"")"),"Great camera at great price but doesn't meet all needs")</f>
        <v>Great camera at great price but doesn't meet all needs</v>
      </c>
    </row>
    <row r="8372" spans="1:3" ht="15.75" customHeight="1" x14ac:dyDescent="0.25">
      <c r="A8372" s="2" t="s">
        <v>8374</v>
      </c>
      <c r="B8372" s="3" t="s">
        <v>6</v>
      </c>
      <c r="C8372" s="2" t="str">
        <f ca="1">IFERROR(__xludf.DUMMYFUNCTION("GOOGLETRANSLATE(A8372,""bn"",""en"")"),"The thinness of the fabric makes it prone to wrinkling and tearing")</f>
        <v>The thinness of the fabric makes it prone to wrinkling and tearing</v>
      </c>
    </row>
    <row r="8373" spans="1:3" ht="15.75" customHeight="1" x14ac:dyDescent="0.25">
      <c r="A8373" s="2" t="s">
        <v>8375</v>
      </c>
      <c r="B8373" s="3" t="s">
        <v>4</v>
      </c>
      <c r="C8373" s="2" t="str">
        <f ca="1">IFERROR(__xludf.DUMMYFUNCTION("GOOGLETRANSLATE(A8373,""bn"",""en"")"),"Using makeup brushes is hygienic")</f>
        <v>Using makeup brushes is hygienic</v>
      </c>
    </row>
    <row r="8374" spans="1:3" ht="15.75" customHeight="1" x14ac:dyDescent="0.25">
      <c r="A8374" s="2" t="s">
        <v>8376</v>
      </c>
      <c r="B8374" s="3" t="s">
        <v>6</v>
      </c>
      <c r="C8374" s="2" t="str">
        <f ca="1">IFERROR(__xludf.DUMMYFUNCTION("GOOGLETRANSLATE(A8374,""bn"",""en"")"),"The canvas is stained and faded")</f>
        <v>The canvas is stained and faded</v>
      </c>
    </row>
    <row r="8375" spans="1:3" ht="15.75" customHeight="1" x14ac:dyDescent="0.25">
      <c r="A8375" s="2" t="s">
        <v>8377</v>
      </c>
      <c r="B8375" s="3" t="s">
        <v>6</v>
      </c>
      <c r="C8375" s="2" t="str">
        <f ca="1">IFERROR(__xludf.DUMMYFUNCTION("GOOGLETRANSLATE(A8375,""bn"",""en"")"),"Some of the camera's connectivity options are limited which does not facilitate wireless file transfer")</f>
        <v>Some of the camera's connectivity options are limited which does not facilitate wireless file transfer</v>
      </c>
    </row>
    <row r="8376" spans="1:3" ht="15.75" customHeight="1" x14ac:dyDescent="0.25">
      <c r="A8376" s="2" t="s">
        <v>8378</v>
      </c>
      <c r="B8376" s="3" t="s">
        <v>2</v>
      </c>
      <c r="C8376" s="2" t="str">
        <f ca="1">IFERROR(__xludf.DUMMYFUNCTION("GOOGLETRANSLATE(A8376,""bn"",""en"")"),"Easy to clean but can collect dirt in gaps")</f>
        <v>Easy to clean but can collect dirt in gaps</v>
      </c>
    </row>
    <row r="8377" spans="1:3" ht="15.75" customHeight="1" x14ac:dyDescent="0.25">
      <c r="A8377" s="2" t="s">
        <v>8379</v>
      </c>
      <c r="B8377" s="3" t="s">
        <v>4</v>
      </c>
      <c r="C8377" s="2" t="str">
        <f ca="1">IFERROR(__xludf.DUMMYFUNCTION("GOOGLETRANSLATE(A8377,""bn"",""en"")"),"This shampoo keeps the hair healthy and beautiful")</f>
        <v>This shampoo keeps the hair healthy and beautiful</v>
      </c>
    </row>
    <row r="8378" spans="1:3" ht="15.75" customHeight="1" x14ac:dyDescent="0.25">
      <c r="A8378" s="2" t="s">
        <v>8380</v>
      </c>
      <c r="B8378" s="3" t="s">
        <v>4</v>
      </c>
      <c r="C8378" s="2" t="str">
        <f ca="1">IFERROR(__xludf.DUMMYFUNCTION("GOOGLETRANSLATE(A8378,""bn"",""en"")"),"Its graphite runs very smoothly when writing on paper")</f>
        <v>Its graphite runs very smoothly when writing on paper</v>
      </c>
    </row>
    <row r="8379" spans="1:3" ht="15.75" customHeight="1" x14ac:dyDescent="0.25">
      <c r="A8379" s="2" t="s">
        <v>8381</v>
      </c>
      <c r="B8379" s="3" t="s">
        <v>6</v>
      </c>
      <c r="C8379" s="2" t="str">
        <f ca="1">IFERROR(__xludf.DUMMYFUNCTION("GOOGLETRANSLATE(A8379,""bn"",""en"")"),"Concealer coverage simply fails to hide dark circles or blemishes effectively")</f>
        <v>Concealer coverage simply fails to hide dark circles or blemishes effectively</v>
      </c>
    </row>
    <row r="8380" spans="1:3" ht="15.75" customHeight="1" x14ac:dyDescent="0.25">
      <c r="A8380" s="2" t="s">
        <v>8382</v>
      </c>
      <c r="B8380" s="3" t="s">
        <v>2</v>
      </c>
      <c r="C8380" s="2" t="str">
        <f ca="1">IFERROR(__xludf.DUMMYFUNCTION("GOOGLETRANSLATE(A8380,""bn"",""en"")"),"It is possible to keep the floor clean using the product")</f>
        <v>It is possible to keep the floor clean using the product</v>
      </c>
    </row>
    <row r="8381" spans="1:3" ht="15.75" customHeight="1" x14ac:dyDescent="0.25">
      <c r="A8381" s="2" t="s">
        <v>8383</v>
      </c>
      <c r="B8381" s="3" t="s">
        <v>6</v>
      </c>
      <c r="C8381" s="2" t="str">
        <f ca="1">IFERROR(__xludf.DUMMYFUNCTION("GOOGLETRANSLATE(A8381,""bn"",""en"")"),"Concerns about product integrity and longevity")</f>
        <v>Concerns about product integrity and longevity</v>
      </c>
    </row>
    <row r="8382" spans="1:3" ht="15.75" customHeight="1" x14ac:dyDescent="0.25">
      <c r="A8382" s="2" t="s">
        <v>8384</v>
      </c>
      <c r="B8382" s="3" t="s">
        <v>4</v>
      </c>
      <c r="C8382" s="2" t="str">
        <f ca="1">IFERROR(__xludf.DUMMYFUNCTION("GOOGLETRANSLATE(A8382,""bn"",""en"")"),"The child is very happy with the new toy")</f>
        <v>The child is very happy with the new toy</v>
      </c>
    </row>
    <row r="8383" spans="1:3" ht="15.75" customHeight="1" x14ac:dyDescent="0.25">
      <c r="A8383" s="2" t="s">
        <v>8385</v>
      </c>
      <c r="B8383" s="3" t="s">
        <v>6</v>
      </c>
      <c r="C8383" s="2" t="str">
        <f ca="1">IFERROR(__xludf.DUMMYFUNCTION("GOOGLETRANSLATE(A8383,""bn"",""en"")"),"The highlighter contains chunky glitter particles that emphasize skin texture")</f>
        <v>The highlighter contains chunky glitter particles that emphasize skin texture</v>
      </c>
    </row>
    <row r="8384" spans="1:3" ht="15.75" customHeight="1" x14ac:dyDescent="0.25">
      <c r="A8384" s="2" t="s">
        <v>8386</v>
      </c>
      <c r="B8384" s="3" t="s">
        <v>6</v>
      </c>
      <c r="C8384" s="2" t="str">
        <f ca="1">IFERROR(__xludf.DUMMYFUNCTION("GOOGLETRANSLATE(A8384,""bn"",""en"")")," The design is uncomfortable and causes ear pain and irritation even after a short period of use")</f>
        <v xml:space="preserve"> The design is uncomfortable and causes ear pain and irritation even after a short period of use</v>
      </c>
    </row>
    <row r="8385" spans="1:3" ht="15.75" customHeight="1" x14ac:dyDescent="0.25">
      <c r="A8385" s="2" t="s">
        <v>8387</v>
      </c>
      <c r="B8385" s="3" t="s">
        <v>2</v>
      </c>
      <c r="C8385" s="2" t="str">
        <f ca="1">IFERROR(__xludf.DUMMYFUNCTION("GOOGLETRANSLATE(A8385,""bn"",""en"")"),"The product performed slightly different from the expected quality")</f>
        <v>The product performed slightly different from the expected quality</v>
      </c>
    </row>
    <row r="8386" spans="1:3" ht="15.75" customHeight="1" x14ac:dyDescent="0.25">
      <c r="A8386" s="2" t="s">
        <v>8388</v>
      </c>
      <c r="B8386" s="3" t="s">
        <v>4</v>
      </c>
      <c r="C8386" s="2" t="str">
        <f ca="1">IFERROR(__xludf.DUMMYFUNCTION("GOOGLETRANSLATE(A8386,""bn"",""en"")"),"Makeup brushes can be used in different seasons")</f>
        <v>Makeup brushes can be used in different seasons</v>
      </c>
    </row>
    <row r="8387" spans="1:3" ht="15.75" customHeight="1" x14ac:dyDescent="0.25">
      <c r="A8387" s="2" t="s">
        <v>8389</v>
      </c>
      <c r="B8387" s="3" t="s">
        <v>4</v>
      </c>
      <c r="C8387" s="2" t="str">
        <f ca="1">IFERROR(__xludf.DUMMYFUNCTION("GOOGLETRANSLATE(A8387,""bn"",""en"")"),"The sofa cover can be easily removed and washed")</f>
        <v>The sofa cover can be easily removed and washed</v>
      </c>
    </row>
    <row r="8388" spans="1:3" ht="15.75" customHeight="1" x14ac:dyDescent="0.25">
      <c r="A8388" s="2" t="s">
        <v>8390</v>
      </c>
      <c r="B8388" s="3" t="s">
        <v>4</v>
      </c>
      <c r="C8388" s="2" t="str">
        <f ca="1">IFERROR(__xludf.DUMMYFUNCTION("GOOGLETRANSLATE(A8388,""bn"",""en"")"),"I don't feel when it ends when I eat")</f>
        <v>I don't feel when it ends when I eat</v>
      </c>
    </row>
    <row r="8389" spans="1:3" ht="15.75" customHeight="1" x14ac:dyDescent="0.25">
      <c r="A8389" s="2" t="s">
        <v>8391</v>
      </c>
      <c r="B8389" s="3" t="s">
        <v>4</v>
      </c>
      <c r="C8389" s="2" t="str">
        <f ca="1">IFERROR(__xludf.DUMMYFUNCTION("GOOGLETRANSLATE(A8389,""bn"",""en"")"),"The quality of the tea seems to be of a premium brand")</f>
        <v>The quality of the tea seems to be of a premium brand</v>
      </c>
    </row>
    <row r="8390" spans="1:3" ht="15.75" customHeight="1" x14ac:dyDescent="0.25">
      <c r="A8390" s="2" t="s">
        <v>8392</v>
      </c>
      <c r="B8390" s="3" t="s">
        <v>4</v>
      </c>
      <c r="C8390" s="2" t="str">
        <f ca="1">IFERROR(__xludf.DUMMYFUNCTION("GOOGLETRANSLATE(A8390,""bn"",""en"")"),"Works silently")</f>
        <v>Works silently</v>
      </c>
    </row>
    <row r="8391" spans="1:3" ht="15.75" customHeight="1" x14ac:dyDescent="0.25">
      <c r="A8391" s="2" t="s">
        <v>8393</v>
      </c>
      <c r="B8391" s="3" t="s">
        <v>2</v>
      </c>
      <c r="C8391" s="2" t="str">
        <f ca="1">IFERROR(__xludf.DUMMYFUNCTION("GOOGLETRANSLATE(A8391,""bn"",""en"")"),"The deal is good but not great")</f>
        <v>The deal is good but not great</v>
      </c>
    </row>
    <row r="8392" spans="1:3" ht="15.75" customHeight="1" x14ac:dyDescent="0.25">
      <c r="A8392" s="2" t="s">
        <v>8394</v>
      </c>
      <c r="B8392" s="3" t="s">
        <v>2</v>
      </c>
      <c r="C8392" s="2" t="str">
        <f ca="1">IFERROR(__xludf.DUMMYFUNCTION("GOOGLETRANSLATE(A8392,""bn"",""en"")"),"The portable voice changer changes the voice but sounds artificial")</f>
        <v>The portable voice changer changes the voice but sounds artificial</v>
      </c>
    </row>
    <row r="8393" spans="1:3" ht="15.75" customHeight="1" x14ac:dyDescent="0.25">
      <c r="A8393" s="2" t="s">
        <v>8395</v>
      </c>
      <c r="B8393" s="3" t="s">
        <v>2</v>
      </c>
      <c r="C8393" s="2" t="str">
        <f ca="1">IFERROR(__xludf.DUMMYFUNCTION("GOOGLETRANSLATE(A8393,""bn"",""en"")"),"Can negatively affect nail health")</f>
        <v>Can negatively affect nail health</v>
      </c>
    </row>
    <row r="8394" spans="1:3" ht="15.75" customHeight="1" x14ac:dyDescent="0.25">
      <c r="A8394" s="2" t="s">
        <v>8396</v>
      </c>
      <c r="B8394" s="3" t="s">
        <v>4</v>
      </c>
      <c r="C8394" s="2" t="str">
        <f ca="1">IFERROR(__xludf.DUMMYFUNCTION("GOOGLETRANSLATE(A8394,""bn"",""en"")"),"The book changed my outlook on life")</f>
        <v>The book changed my outlook on life</v>
      </c>
    </row>
    <row r="8395" spans="1:3" ht="15.75" customHeight="1" x14ac:dyDescent="0.25">
      <c r="A8395" s="2" t="s">
        <v>8397</v>
      </c>
      <c r="B8395" s="3" t="s">
        <v>6</v>
      </c>
      <c r="C8395" s="2" t="str">
        <f ca="1">IFERROR(__xludf.DUMMYFUNCTION("GOOGLETRANSLATE(A8395,""bn"",""en"")"),"Screen colors are washed out and lack vibrancy and contrast")</f>
        <v>Screen colors are washed out and lack vibrancy and contrast</v>
      </c>
    </row>
    <row r="8396" spans="1:3" ht="15.75" customHeight="1" x14ac:dyDescent="0.25">
      <c r="A8396" s="2" t="s">
        <v>8398</v>
      </c>
      <c r="B8396" s="3" t="s">
        <v>4</v>
      </c>
      <c r="C8396" s="2" t="str">
        <f ca="1">IFERROR(__xludf.DUMMYFUNCTION("GOOGLETRANSLATE(A8396,""bn"",""en"")"),"The cream also softens the skin around the nails")</f>
        <v>The cream also softens the skin around the nails</v>
      </c>
    </row>
    <row r="8397" spans="1:3" ht="15.75" customHeight="1" x14ac:dyDescent="0.25">
      <c r="A8397" s="2" t="s">
        <v>8399</v>
      </c>
      <c r="B8397" s="3" t="s">
        <v>6</v>
      </c>
      <c r="C8397" s="2" t="str">
        <f ca="1">IFERROR(__xludf.DUMMYFUNCTION("GOOGLETRANSLATE(A8397,""bn"",""en"")"),"The flavor was very acidic leaving a harsh aftertaste")</f>
        <v>The flavor was very acidic leaving a harsh aftertaste</v>
      </c>
    </row>
    <row r="8398" spans="1:3" ht="15.75" customHeight="1" x14ac:dyDescent="0.25">
      <c r="A8398" s="2" t="s">
        <v>8400</v>
      </c>
      <c r="B8398" s="3" t="s">
        <v>4</v>
      </c>
      <c r="C8398" s="2" t="str">
        <f ca="1">IFERROR(__xludf.DUMMYFUNCTION("GOOGLETRANSLATE(A8398,""bn"",""en"")"),"The blanket is very soft and comforting in winter")</f>
        <v>The blanket is very soft and comforting in winter</v>
      </c>
    </row>
    <row r="8399" spans="1:3" ht="15.75" customHeight="1" x14ac:dyDescent="0.25">
      <c r="A8399" s="2" t="s">
        <v>8401</v>
      </c>
      <c r="B8399" s="3" t="s">
        <v>2</v>
      </c>
      <c r="C8399" s="2" t="str">
        <f ca="1">IFERROR(__xludf.DUMMYFUNCTION("GOOGLETRANSLATE(A8399,""bn"",""en"")"),"Even though the washing machine is functional, after some time the problem of water leakage occurs")</f>
        <v>Even though the washing machine is functional, after some time the problem of water leakage occurs</v>
      </c>
    </row>
    <row r="8400" spans="1:3" ht="15.75" customHeight="1" x14ac:dyDescent="0.25">
      <c r="A8400" s="2" t="s">
        <v>8402</v>
      </c>
      <c r="B8400" s="3" t="s">
        <v>4</v>
      </c>
      <c r="C8400" s="2" t="str">
        <f ca="1">IFERROR(__xludf.DUMMYFUNCTION("GOOGLETRANSLATE(A8400,""bn"",""en"")"),"Amazing monitor tv too")</f>
        <v>Amazing monitor tv too</v>
      </c>
    </row>
    <row r="8401" spans="1:3" ht="15.75" customHeight="1" x14ac:dyDescent="0.25">
      <c r="A8401" s="2" t="s">
        <v>8403</v>
      </c>
      <c r="B8401" s="3" t="s">
        <v>2</v>
      </c>
      <c r="C8401" s="2" t="str">
        <f ca="1">IFERROR(__xludf.DUMMYFUNCTION("GOOGLETRANSLATE(A8401,""bn"",""en"")"),"The price seems affordable")</f>
        <v>The price seems affordable</v>
      </c>
    </row>
    <row r="8402" spans="1:3" ht="15.75" customHeight="1" x14ac:dyDescent="0.25">
      <c r="A8402" s="2" t="s">
        <v>8404</v>
      </c>
      <c r="B8402" s="3" t="s">
        <v>4</v>
      </c>
      <c r="C8402" s="2" t="str">
        <f ca="1">IFERROR(__xludf.DUMMYFUNCTION("GOOGLETRANSLATE(A8402,""bn"",""en"")"),"Every time I drink this tea I feel a blissful pause")</f>
        <v>Every time I drink this tea I feel a blissful pause</v>
      </c>
    </row>
    <row r="8403" spans="1:3" ht="15.75" customHeight="1" x14ac:dyDescent="0.25">
      <c r="A8403" s="2" t="s">
        <v>8405</v>
      </c>
      <c r="B8403" s="3" t="s">
        <v>6</v>
      </c>
      <c r="C8403" s="2" t="str">
        <f ca="1">IFERROR(__xludf.DUMMYFUNCTION("GOOGLETRANSLATE(A8403,""bn"",""en"")"),"Inconsistent quality felt after product arrived")</f>
        <v>Inconsistent quality felt after product arrived</v>
      </c>
    </row>
    <row r="8404" spans="1:3" ht="15.75" customHeight="1" x14ac:dyDescent="0.25">
      <c r="A8404" s="2" t="s">
        <v>8406</v>
      </c>
      <c r="B8404" s="3" t="s">
        <v>2</v>
      </c>
      <c r="C8404" s="2" t="str">
        <f ca="1">IFERROR(__xludf.DUMMYFUNCTION("GOOGLETRANSLATE(A8404,""bn"",""en"")"),"The dress is ok but nothing special")</f>
        <v>The dress is ok but nothing special</v>
      </c>
    </row>
    <row r="8405" spans="1:3" ht="15.75" customHeight="1" x14ac:dyDescent="0.25">
      <c r="A8405" s="2" t="s">
        <v>8407</v>
      </c>
      <c r="B8405" s="3" t="s">
        <v>4</v>
      </c>
      <c r="C8405" s="2" t="str">
        <f ca="1">IFERROR(__xludf.DUMMYFUNCTION("GOOGLETRANSLATE(A8405,""bn"",""en"")"),"Every turn of the story was interesting")</f>
        <v>Every turn of the story was interesting</v>
      </c>
    </row>
    <row r="8406" spans="1:3" ht="15.75" customHeight="1" x14ac:dyDescent="0.25">
      <c r="A8406" s="2" t="s">
        <v>8408</v>
      </c>
      <c r="B8406" s="3" t="s">
        <v>2</v>
      </c>
      <c r="C8406" s="2" t="str">
        <f ca="1">IFERROR(__xludf.DUMMYFUNCTION("GOOGLETRANSLATE(A8406,""bn"",""en"")"),"The design is attractive but the stitching is not good")</f>
        <v>The design is attractive but the stitching is not good</v>
      </c>
    </row>
    <row r="8407" spans="1:3" ht="15.75" customHeight="1" x14ac:dyDescent="0.25">
      <c r="A8407" s="2" t="s">
        <v>8409</v>
      </c>
      <c r="B8407" s="3" t="s">
        <v>4</v>
      </c>
      <c r="C8407" s="2" t="str">
        <f ca="1">IFERROR(__xludf.DUMMYFUNCTION("GOOGLETRANSLATE(A8407,""bn"",""en"")"),"Each level of the shelf can be well arranged")</f>
        <v>Each level of the shelf can be well arranged</v>
      </c>
    </row>
    <row r="8408" spans="1:3" ht="15.75" customHeight="1" x14ac:dyDescent="0.25">
      <c r="A8408" s="2" t="s">
        <v>8410</v>
      </c>
      <c r="B8408" s="3" t="s">
        <v>6</v>
      </c>
      <c r="C8408" s="2" t="str">
        <f ca="1">IFERROR(__xludf.DUMMYFUNCTION("GOOGLETRANSLATE(A8408,""bn"",""en"")"),"The shoes lack adequate arch support which leads to foot fatigue and discomfort over time")</f>
        <v>The shoes lack adequate arch support which leads to foot fatigue and discomfort over time</v>
      </c>
    </row>
    <row r="8409" spans="1:3" ht="15.75" customHeight="1" x14ac:dyDescent="0.25">
      <c r="A8409" s="2" t="s">
        <v>8411</v>
      </c>
      <c r="B8409" s="3" t="s">
        <v>4</v>
      </c>
      <c r="C8409" s="2" t="str">
        <f ca="1">IFERROR(__xludf.DUMMYFUNCTION("GOOGLETRANSLATE(A8409,""bn"",""en"")"),"That works well ")</f>
        <v xml:space="preserve">That works well </v>
      </c>
    </row>
    <row r="8410" spans="1:3" ht="15.75" customHeight="1" x14ac:dyDescent="0.25">
      <c r="A8410" s="2" t="s">
        <v>8412</v>
      </c>
      <c r="B8410" s="3" t="s">
        <v>2</v>
      </c>
      <c r="C8410" s="2" t="str">
        <f ca="1">IFERROR(__xludf.DUMMYFUNCTION("GOOGLETRANSLATE(A8410,""bn"",""en"")"),"It is also average quality not exceptional from the rest of the product")</f>
        <v>It is also average quality not exceptional from the rest of the product</v>
      </c>
    </row>
    <row r="8411" spans="1:3" ht="15.75" customHeight="1" x14ac:dyDescent="0.25">
      <c r="A8411" s="2" t="s">
        <v>8413</v>
      </c>
      <c r="B8411" s="3" t="s">
        <v>2</v>
      </c>
      <c r="C8411" s="2" t="str">
        <f ca="1">IFERROR(__xludf.DUMMYFUNCTION("GOOGLETRANSLATE(A8411,""bn"",""en"")"),"Silver lapel pin holders may not fit all pins securely")</f>
        <v>Silver lapel pin holders may not fit all pins securely</v>
      </c>
    </row>
    <row r="8412" spans="1:3" ht="15.75" customHeight="1" x14ac:dyDescent="0.25">
      <c r="A8412" s="2" t="s">
        <v>8414</v>
      </c>
      <c r="B8412" s="3" t="s">
        <v>2</v>
      </c>
      <c r="C8412" s="2" t="str">
        <f ca="1">IFERROR(__xludf.DUMMYFUNCTION("GOOGLETRANSLATE(A8412,""bn"",""en"")"),"Flexible but not excessive")</f>
        <v>Flexible but not excessive</v>
      </c>
    </row>
    <row r="8413" spans="1:3" ht="15.75" customHeight="1" x14ac:dyDescent="0.25">
      <c r="A8413" s="2" t="s">
        <v>8415</v>
      </c>
      <c r="B8413" s="3" t="s">
        <v>6</v>
      </c>
      <c r="C8413" s="2" t="str">
        <f ca="1">IFERROR(__xludf.DUMMYFUNCTION("GOOGLETRANSLATE(A8413,""bn"",""en"")"),"The coffee had a burnt smell that indicated over-roasting")</f>
        <v>The coffee had a burnt smell that indicated over-roasting</v>
      </c>
    </row>
    <row r="8414" spans="1:3" ht="15.75" customHeight="1" x14ac:dyDescent="0.25">
      <c r="A8414" s="2" t="s">
        <v>8416</v>
      </c>
      <c r="B8414" s="3" t="s">
        <v>4</v>
      </c>
      <c r="C8414" s="2" t="str">
        <f ca="1">IFERROR(__xludf.DUMMYFUNCTION("GOOGLETRANSLATE(A8414,""bn"",""en"")"),"The design of the fan is very nice and modern")</f>
        <v>The design of the fan is very nice and modern</v>
      </c>
    </row>
    <row r="8415" spans="1:3" ht="15.75" customHeight="1" x14ac:dyDescent="0.25">
      <c r="A8415" s="2" t="s">
        <v>8417</v>
      </c>
      <c r="B8415" s="3" t="s">
        <v>4</v>
      </c>
      <c r="C8415" s="2" t="str">
        <f ca="1">IFERROR(__xludf.DUMMYFUNCTION("GOOGLETRANSLATE(A8415,""bn"",""en"")"),"The camera of the mobile improves the picture quality a lot")</f>
        <v>The camera of the mobile improves the picture quality a lot</v>
      </c>
    </row>
    <row r="8416" spans="1:3" ht="15.75" customHeight="1" x14ac:dyDescent="0.25">
      <c r="A8416" s="2" t="s">
        <v>8418</v>
      </c>
      <c r="B8416" s="3" t="s">
        <v>6</v>
      </c>
      <c r="C8416" s="2" t="str">
        <f ca="1">IFERROR(__xludf.DUMMYFUNCTION("GOOGLETRANSLATE(A8416,""bn"",""en"")"),"Eyeshadow primer dries quickly which makes it difficult to blend the eyeshadow smoothly")</f>
        <v>Eyeshadow primer dries quickly which makes it difficult to blend the eyeshadow smoothly</v>
      </c>
    </row>
    <row r="8417" spans="1:3" ht="15.75" customHeight="1" x14ac:dyDescent="0.25">
      <c r="A8417" s="2" t="s">
        <v>8419</v>
      </c>
      <c r="B8417" s="3" t="s">
        <v>6</v>
      </c>
      <c r="C8417" s="2" t="str">
        <f ca="1">IFERROR(__xludf.DUMMYFUNCTION("GOOGLETRANSLATE(A8417,""bn"",""en"")"),"Color fades quickly after washing")</f>
        <v>Color fades quickly after washing</v>
      </c>
    </row>
    <row r="8418" spans="1:3" ht="15.75" customHeight="1" x14ac:dyDescent="0.25">
      <c r="A8418" s="2" t="s">
        <v>8420</v>
      </c>
      <c r="B8418" s="3" t="s">
        <v>6</v>
      </c>
      <c r="C8418" s="2" t="str">
        <f ca="1">IFERROR(__xludf.DUMMYFUNCTION("GOOGLETRANSLATE(A8418,""bn"",""en"")"),"Portable blender motors burn out quickly making them unusable")</f>
        <v>Portable blender motors burn out quickly making them unusable</v>
      </c>
    </row>
    <row r="8419" spans="1:3" ht="15.75" customHeight="1" x14ac:dyDescent="0.25">
      <c r="A8419" s="2" t="s">
        <v>8421</v>
      </c>
      <c r="B8419" s="3" t="s">
        <v>2</v>
      </c>
      <c r="C8419" s="2" t="str">
        <f ca="1">IFERROR(__xludf.DUMMYFUNCTION("GOOGLETRANSLATE(A8419,""bn"",""en"")"),"Its benefits can be improved")</f>
        <v>Its benefits can be improved</v>
      </c>
    </row>
    <row r="8420" spans="1:3" ht="15.75" customHeight="1" x14ac:dyDescent="0.25">
      <c r="A8420" s="2" t="s">
        <v>8422</v>
      </c>
      <c r="B8420" s="3" t="s">
        <v>4</v>
      </c>
      <c r="C8420" s="2" t="str">
        <f ca="1">IFERROR(__xludf.DUMMYFUNCTION("GOOGLETRANSLATE(A8420,""bn"",""en"")"),"The subject of this painting is very interesting")</f>
        <v>The subject of this painting is very interesting</v>
      </c>
    </row>
    <row r="8421" spans="1:3" ht="15.75" customHeight="1" x14ac:dyDescent="0.25">
      <c r="A8421" s="2" t="s">
        <v>8423</v>
      </c>
      <c r="B8421" s="3" t="s">
        <v>4</v>
      </c>
      <c r="C8421" s="2" t="str">
        <f ca="1">IFERROR(__xludf.DUMMYFUNCTION("GOOGLETRANSLATE(A8421,""bn"",""en"")"),"Its smooth texture fascinates me")</f>
        <v>Its smooth texture fascinates me</v>
      </c>
    </row>
    <row r="8422" spans="1:3" ht="15.75" customHeight="1" x14ac:dyDescent="0.25">
      <c r="A8422" s="2" t="s">
        <v>8424</v>
      </c>
      <c r="B8422" s="3" t="s">
        <v>2</v>
      </c>
      <c r="C8422" s="2" t="str">
        <f ca="1">IFERROR(__xludf.DUMMYFUNCTION("GOOGLETRANSLATE(A8422,""bn"",""en"")"),"Hope the glass quality meets expectations")</f>
        <v>Hope the glass quality meets expectations</v>
      </c>
    </row>
    <row r="8423" spans="1:3" ht="15.75" customHeight="1" x14ac:dyDescent="0.25">
      <c r="A8423" s="2" t="s">
        <v>8425</v>
      </c>
      <c r="B8423" s="3" t="s">
        <v>4</v>
      </c>
      <c r="C8423" s="2" t="str">
        <f ca="1">IFERROR(__xludf.DUMMYFUNCTION("GOOGLETRANSLATE(A8423,""bn"",""en"")"),"The design of the mug is very attractive")</f>
        <v>The design of the mug is very attractive</v>
      </c>
    </row>
    <row r="8424" spans="1:3" ht="15.75" customHeight="1" x14ac:dyDescent="0.25">
      <c r="A8424" s="2" t="s">
        <v>8426</v>
      </c>
      <c r="B8424" s="3" t="s">
        <v>2</v>
      </c>
      <c r="C8424" s="2" t="str">
        <f ca="1">IFERROR(__xludf.DUMMYFUNCTION("GOOGLETRANSLATE(A8424,""bn"",""en"")"),"Additions had to be made but the process is not complicated")</f>
        <v>Additions had to be made but the process is not complicated</v>
      </c>
    </row>
    <row r="8425" spans="1:3" ht="15.75" customHeight="1" x14ac:dyDescent="0.25">
      <c r="A8425" s="2" t="s">
        <v>8427</v>
      </c>
      <c r="B8425" s="3" t="s">
        <v>4</v>
      </c>
      <c r="C8425" s="2" t="str">
        <f ca="1">IFERROR(__xludf.DUMMYFUNCTION("GOOGLETRANSLATE(A8425,""bn"",""en"")"),"The new glasses look very stylish")</f>
        <v>The new glasses look very stylish</v>
      </c>
    </row>
    <row r="8426" spans="1:3" ht="15.75" customHeight="1" x14ac:dyDescent="0.25">
      <c r="A8426" s="2" t="s">
        <v>8428</v>
      </c>
      <c r="B8426" s="3" t="s">
        <v>6</v>
      </c>
      <c r="C8426" s="2" t="str">
        <f ca="1">IFERROR(__xludf.DUMMYFUNCTION("GOOGLETRANSLATE(A8426,""bn"",""en"")"),"The camera's touchscreen interface is prone to accidental touches that lead to unintended changes to settings")</f>
        <v>The camera's touchscreen interface is prone to accidental touches that lead to unintended changes to settings</v>
      </c>
    </row>
    <row r="8427" spans="1:3" ht="15.75" customHeight="1" x14ac:dyDescent="0.25">
      <c r="A8427" s="2" t="s">
        <v>8429</v>
      </c>
      <c r="B8427" s="3" t="s">
        <v>4</v>
      </c>
      <c r="C8427" s="2" t="str">
        <f ca="1">IFERROR(__xludf.DUMMYFUNCTION("GOOGLETRANSLATE(A8427,""bn"",""en"")"),"In short, a great product that works very well")</f>
        <v>In short, a great product that works very well</v>
      </c>
    </row>
    <row r="8428" spans="1:3" ht="15.75" customHeight="1" x14ac:dyDescent="0.25">
      <c r="A8428" s="2" t="s">
        <v>8430</v>
      </c>
      <c r="B8428" s="3" t="s">
        <v>4</v>
      </c>
      <c r="C8428" s="2" t="str">
        <f ca="1">IFERROR(__xludf.DUMMYFUNCTION("GOOGLETRANSLATE(A8428,""bn"",""en"")"),"The combination of hardware and software is excellent, all kinds of software run well")</f>
        <v>The combination of hardware and software is excellent, all kinds of software run well</v>
      </c>
    </row>
    <row r="8429" spans="1:3" ht="15.75" customHeight="1" x14ac:dyDescent="0.25">
      <c r="A8429" s="2" t="s">
        <v>8431</v>
      </c>
      <c r="B8429" s="3" t="s">
        <v>6</v>
      </c>
      <c r="C8429" s="2" t="str">
        <f ca="1">IFERROR(__xludf.DUMMYFUNCTION("GOOGLETRANSLATE(A8429,""bn"",""en"")"),"Hand sanitizer's pump mechanism jams making it difficult to dispense")</f>
        <v>Hand sanitizer's pump mechanism jams making it difficult to dispense</v>
      </c>
    </row>
    <row r="8430" spans="1:3" ht="15.75" customHeight="1" x14ac:dyDescent="0.25">
      <c r="A8430" s="2" t="s">
        <v>8432</v>
      </c>
      <c r="B8430" s="3" t="s">
        <v>2</v>
      </c>
      <c r="C8430" s="2" t="str">
        <f ca="1">IFERROR(__xludf.DUMMYFUNCTION("GOOGLETRANSLATE(A8430,""bn"",""en"")"),"Ok for the price but doubt it will last long")</f>
        <v>Ok for the price but doubt it will last long</v>
      </c>
    </row>
    <row r="8431" spans="1:3" ht="15.75" customHeight="1" x14ac:dyDescent="0.25">
      <c r="A8431" s="2" t="s">
        <v>8433</v>
      </c>
      <c r="B8431" s="3" t="s">
        <v>4</v>
      </c>
      <c r="C8431" s="2" t="str">
        <f ca="1">IFERROR(__xludf.DUMMYFUNCTION("GOOGLETRANSLATE(A8431,""bn"",""en"")"),"The software optimization of the mobile is excellent")</f>
        <v>The software optimization of the mobile is excellent</v>
      </c>
    </row>
    <row r="8432" spans="1:3" ht="15.75" customHeight="1" x14ac:dyDescent="0.25">
      <c r="A8432" s="2" t="s">
        <v>8434</v>
      </c>
      <c r="B8432" s="3" t="s">
        <v>2</v>
      </c>
      <c r="C8432" s="2" t="str">
        <f ca="1">IFERROR(__xludf.DUMMYFUNCTION("GOOGLETRANSLATE(A8432,""bn"",""en"")"),"All items are the same with no variations")</f>
        <v>All items are the same with no variations</v>
      </c>
    </row>
    <row r="8433" spans="1:3" ht="15.75" customHeight="1" x14ac:dyDescent="0.25">
      <c r="A8433" s="2" t="s">
        <v>8435</v>
      </c>
      <c r="B8433" s="3" t="s">
        <v>6</v>
      </c>
      <c r="C8433" s="2" t="str">
        <f ca="1">IFERROR(__xludf.DUMMYFUNCTION("GOOGLETRANSLATE(A8433,""bn"",""en"")"),"The charger's USB ports are very tight making it difficult to plug in devices without excessive force")</f>
        <v>The charger's USB ports are very tight making it difficult to plug in devices without excessive force</v>
      </c>
    </row>
    <row r="8434" spans="1:3" ht="15.75" customHeight="1" x14ac:dyDescent="0.25">
      <c r="A8434" s="2" t="s">
        <v>8436</v>
      </c>
      <c r="B8434" s="3" t="s">
        <v>4</v>
      </c>
      <c r="C8434" s="2" t="str">
        <f ca="1">IFERROR(__xludf.DUMMYFUNCTION("GOOGLETRANSLATE(A8434,""bn"",""en"")"),"I have noticed that my daughter is using new words when talking to the doll which is increasing her language skills")</f>
        <v>I have noticed that my daughter is using new words when talking to the doll which is increasing her language skills</v>
      </c>
    </row>
    <row r="8435" spans="1:3" ht="15.75" customHeight="1" x14ac:dyDescent="0.25">
      <c r="A8435" s="2" t="s">
        <v>8437</v>
      </c>
      <c r="B8435" s="3" t="s">
        <v>6</v>
      </c>
      <c r="C8435" s="2" t="str">
        <f ca="1">IFERROR(__xludf.DUMMYFUNCTION("GOOGLETRANSLATE(A8435,""bn"",""en"")"),"The power bank's charging ports become loose resulting in disconnection")</f>
        <v>The power bank's charging ports become loose resulting in disconnection</v>
      </c>
    </row>
    <row r="8436" spans="1:3" ht="15.75" customHeight="1" x14ac:dyDescent="0.25">
      <c r="A8436" s="2" t="s">
        <v>8438</v>
      </c>
      <c r="B8436" s="3" t="s">
        <v>2</v>
      </c>
      <c r="C8436" s="2" t="str">
        <f ca="1">IFERROR(__xludf.DUMMYFUNCTION("GOOGLETRANSLATE(A8436,""bn"",""en"")"),"The earrings sometimes don't fit")</f>
        <v>The earrings sometimes don't fit</v>
      </c>
    </row>
    <row r="8437" spans="1:3" ht="15.75" customHeight="1" x14ac:dyDescent="0.25">
      <c r="A8437" s="2" t="s">
        <v>8439</v>
      </c>
      <c r="B8437" s="3" t="s">
        <v>6</v>
      </c>
      <c r="C8437" s="2" t="str">
        <f ca="1">IFERROR(__xludf.DUMMYFUNCTION("GOOGLETRANSLATE(A8437,""bn"",""en"")")," Timer function unreliable sometimes not warning when time is up")</f>
        <v xml:space="preserve"> Timer function unreliable sometimes not warning when time is up</v>
      </c>
    </row>
    <row r="8438" spans="1:3" ht="15.75" customHeight="1" x14ac:dyDescent="0.25">
      <c r="A8438" s="2" t="s">
        <v>8440</v>
      </c>
      <c r="B8438" s="3" t="s">
        <v>2</v>
      </c>
      <c r="C8438" s="2" t="str">
        <f ca="1">IFERROR(__xludf.DUMMYFUNCTION("GOOGLETRANSLATE(A8438,""bn"",""en"")"),"It is not safe for small children as it may pose a swallowing hazard")</f>
        <v>It is not safe for small children as it may pose a swallowing hazard</v>
      </c>
    </row>
    <row r="8439" spans="1:3" ht="15.75" customHeight="1" x14ac:dyDescent="0.25">
      <c r="A8439" s="2" t="s">
        <v>8441</v>
      </c>
      <c r="B8439" s="3" t="s">
        <v>6</v>
      </c>
      <c r="C8439" s="2" t="str">
        <f ca="1">IFERROR(__xludf.DUMMYFUNCTION("GOOGLETRANSLATE(A8439,""bn"",""en"")"),"The conditioner felt heavy and didn't rinse off properly leaving a greasy residue")</f>
        <v>The conditioner felt heavy and didn't rinse off properly leaving a greasy residue</v>
      </c>
    </row>
    <row r="8440" spans="1:3" ht="15.75" customHeight="1" x14ac:dyDescent="0.25">
      <c r="A8440" s="2" t="s">
        <v>8442</v>
      </c>
      <c r="B8440" s="3" t="s">
        <v>6</v>
      </c>
      <c r="C8440" s="2" t="str">
        <f ca="1">IFERROR(__xludf.DUMMYFUNCTION("GOOGLETRANSLATE(A8440,""bn"",""en"")"),"Painting sets do not include adequate information on proper cleaning procedures")</f>
        <v>Painting sets do not include adequate information on proper cleaning procedures</v>
      </c>
    </row>
    <row r="8441" spans="1:3" ht="15.75" customHeight="1" x14ac:dyDescent="0.25">
      <c r="A8441" s="2" t="s">
        <v>8443</v>
      </c>
      <c r="B8441" s="3" t="s">
        <v>4</v>
      </c>
      <c r="C8441" s="2" t="str">
        <f ca="1">IFERROR(__xludf.DUMMYFUNCTION("GOOGLETRANSLATE(A8441,""bn"",""en"")"),"Our team always loves to work together")</f>
        <v>Our team always loves to work together</v>
      </c>
    </row>
    <row r="8442" spans="1:3" ht="15.75" customHeight="1" x14ac:dyDescent="0.25">
      <c r="A8442" s="2" t="s">
        <v>8444</v>
      </c>
      <c r="B8442" s="3" t="s">
        <v>6</v>
      </c>
      <c r="C8442" s="2" t="str">
        <f ca="1">IFERROR(__xludf.DUMMYFUNCTION("GOOGLETRANSLATE(A8442,""bn"",""en"")"),"The edges of the plates are narrow which is inconvenient in some cases")</f>
        <v>The edges of the plates are narrow which is inconvenient in some cases</v>
      </c>
    </row>
    <row r="8443" spans="1:3" ht="15.75" customHeight="1" x14ac:dyDescent="0.25">
      <c r="A8443" s="2" t="s">
        <v>8445</v>
      </c>
      <c r="B8443" s="3" t="s">
        <v>2</v>
      </c>
      <c r="C8443" s="2" t="str">
        <f ca="1">IFERROR(__xludf.DUMMYFUNCTION("GOOGLETRANSLATE(A8443,""bn"",""en"")"),"It can be eaten with cold food")</f>
        <v>It can be eaten with cold food</v>
      </c>
    </row>
    <row r="8444" spans="1:3" ht="15.75" customHeight="1" x14ac:dyDescent="0.25">
      <c r="A8444" s="2" t="s">
        <v>8446</v>
      </c>
      <c r="B8444" s="3" t="s">
        <v>6</v>
      </c>
      <c r="C8444" s="2" t="str">
        <f ca="1">IFERROR(__xludf.DUMMYFUNCTION("GOOGLETRANSLATE(A8444,""bn"",""en"")"),"The fabric of the travel pillow rips, exposing the filling material")</f>
        <v>The fabric of the travel pillow rips, exposing the filling material</v>
      </c>
    </row>
    <row r="8445" spans="1:3" ht="15.75" customHeight="1" x14ac:dyDescent="0.25">
      <c r="A8445" s="2" t="s">
        <v>8447</v>
      </c>
      <c r="B8445" s="3" t="s">
        <v>6</v>
      </c>
      <c r="C8445" s="2" t="str">
        <f ca="1">IFERROR(__xludf.DUMMYFUNCTION("GOOGLETRANSLATE(A8445,""bn"",""en"")"),"The lid is difficult to handle due to constant spillage")</f>
        <v>The lid is difficult to handle due to constant spillage</v>
      </c>
    </row>
    <row r="8446" spans="1:3" ht="15.75" customHeight="1" x14ac:dyDescent="0.25">
      <c r="A8446" s="2" t="s">
        <v>8448</v>
      </c>
      <c r="B8446" s="3" t="s">
        <v>2</v>
      </c>
      <c r="C8446" s="2" t="str">
        <f ca="1">IFERROR(__xludf.DUMMYFUNCTION("GOOGLETRANSLATE(A8446,""bn"",""en"")"),"Frame color is normal")</f>
        <v>Frame color is normal</v>
      </c>
    </row>
    <row r="8447" spans="1:3" ht="15.75" customHeight="1" x14ac:dyDescent="0.25">
      <c r="A8447" s="2" t="s">
        <v>8449</v>
      </c>
      <c r="B8447" s="3" t="s">
        <v>6</v>
      </c>
      <c r="C8447" s="2" t="str">
        <f ca="1">IFERROR(__xludf.DUMMYFUNCTION("GOOGLETRANSLATE(A8447,""bn"",""en"")"),"The fridge door does not close properly unless pushed firmly, which raises concerns about energy efficiency")</f>
        <v>The fridge door does not close properly unless pushed firmly, which raises concerns about energy efficiency</v>
      </c>
    </row>
    <row r="8448" spans="1:3" ht="15.75" customHeight="1" x14ac:dyDescent="0.25">
      <c r="A8448" s="2" t="s">
        <v>8450</v>
      </c>
      <c r="B8448" s="3" t="s">
        <v>6</v>
      </c>
      <c r="C8448" s="2" t="str">
        <f ca="1">IFERROR(__xludf.DUMMYFUNCTION("GOOGLETRANSLATE(A8448,""bn"",""en"")"),"  The legs are uneven which makes the table wobbly and unstable for placing things on top of")</f>
        <v xml:space="preserve">  The legs are uneven which makes the table wobbly and unstable for placing things on top of</v>
      </c>
    </row>
    <row r="8449" spans="1:3" ht="15.75" customHeight="1" x14ac:dyDescent="0.25">
      <c r="A8449" s="2" t="s">
        <v>8451</v>
      </c>
      <c r="B8449" s="3" t="s">
        <v>4</v>
      </c>
      <c r="C8449" s="2" t="str">
        <f ca="1">IFERROR(__xludf.DUMMYFUNCTION("GOOGLETRANSLATE(A8449,""bn"",""en"")"),"Every character was alive")</f>
        <v>Every character was alive</v>
      </c>
    </row>
    <row r="8450" spans="1:3" ht="15.75" customHeight="1" x14ac:dyDescent="0.25">
      <c r="A8450" s="2" t="s">
        <v>8452</v>
      </c>
      <c r="B8450" s="3" t="s">
        <v>2</v>
      </c>
      <c r="C8450" s="2" t="str">
        <f ca="1">IFERROR(__xludf.DUMMYFUNCTION("GOOGLETRANSLATE(A8450,""bn"",""en"")"),"Teabags do not seem to be prone to tearing")</f>
        <v>Teabags do not seem to be prone to tearing</v>
      </c>
    </row>
    <row r="8451" spans="1:3" ht="15.75" customHeight="1" x14ac:dyDescent="0.25">
      <c r="A8451" s="2" t="s">
        <v>8453</v>
      </c>
      <c r="B8451" s="3" t="s">
        <v>6</v>
      </c>
      <c r="C8451" s="2" t="str">
        <f ca="1">IFERROR(__xludf.DUMMYFUNCTION("GOOGLETRANSLATE(A8451,""bn"",""en"")"),"The texture of the fabric is rough and causes unpleasant irritation")</f>
        <v>The texture of the fabric is rough and causes unpleasant irritation</v>
      </c>
    </row>
    <row r="8452" spans="1:3" ht="15.75" customHeight="1" x14ac:dyDescent="0.25">
      <c r="A8452" s="2" t="s">
        <v>8454</v>
      </c>
      <c r="B8452" s="3" t="s">
        <v>4</v>
      </c>
      <c r="C8452" s="2" t="str">
        <f ca="1">IFERROR(__xludf.DUMMYFUNCTION("GOOGLETRANSLATE(A8452,""bn"",""en"")"),"The shampoo makes the hair soft and silky")</f>
        <v>The shampoo makes the hair soft and silky</v>
      </c>
    </row>
    <row r="8453" spans="1:3" ht="15.75" customHeight="1" x14ac:dyDescent="0.25">
      <c r="A8453" s="2" t="s">
        <v>8455</v>
      </c>
      <c r="B8453" s="3" t="s">
        <v>2</v>
      </c>
      <c r="C8453" s="2" t="str">
        <f ca="1">IFERROR(__xludf.DUMMYFUNCTION("GOOGLETRANSLATE(A8453,""bn"",""en"")"),"Keeps food fresh but not for long")</f>
        <v>Keeps food fresh but not for long</v>
      </c>
    </row>
    <row r="8454" spans="1:3" ht="15.75" customHeight="1" x14ac:dyDescent="0.25">
      <c r="A8454" s="2" t="s">
        <v>8456</v>
      </c>
      <c r="B8454" s="3" t="s">
        <v>2</v>
      </c>
      <c r="C8454" s="2" t="str">
        <f ca="1">IFERROR(__xludf.DUMMYFUNCTION("GOOGLETRANSLATE(A8454,""bn"",""en"")"),"Price questionable firmness is moderate")</f>
        <v>Price questionable firmness is moderate</v>
      </c>
    </row>
    <row r="8455" spans="1:3" ht="15.75" customHeight="1" x14ac:dyDescent="0.25">
      <c r="A8455" s="2" t="s">
        <v>8457</v>
      </c>
      <c r="B8455" s="3" t="s">
        <v>6</v>
      </c>
      <c r="C8455" s="2" t="str">
        <f ca="1">IFERROR(__xludf.DUMMYFUNCTION("GOOGLETRANSLATE(A8455,""bn"",""en"")"),"Closing doors completely is difficult leaving them partially open and exposing contents to dust and damage")</f>
        <v>Closing doors completely is difficult leaving them partially open and exposing contents to dust and damage</v>
      </c>
    </row>
    <row r="8456" spans="1:3" ht="15.75" customHeight="1" x14ac:dyDescent="0.25">
      <c r="A8456" s="2" t="s">
        <v>8458</v>
      </c>
      <c r="B8456" s="3" t="s">
        <v>6</v>
      </c>
      <c r="C8456" s="2" t="str">
        <f ca="1">IFERROR(__xludf.DUMMYFUNCTION("GOOGLETRANSLATE(A8456,""bn"",""en"")"),"Foundation feels heavy on the skin, clogs pores and causes breakouts")</f>
        <v>Foundation feels heavy on the skin, clogs pores and causes breakouts</v>
      </c>
    </row>
    <row r="8457" spans="1:3" ht="15.75" customHeight="1" x14ac:dyDescent="0.25">
      <c r="A8457" s="2" t="s">
        <v>8459</v>
      </c>
      <c r="B8457" s="3" t="s">
        <v>2</v>
      </c>
      <c r="C8457" s="2" t="str">
        <f ca="1">IFERROR(__xludf.DUMMYFUNCTION("GOOGLETRANSLATE(A8457,""bn"",""en"")"),"The smell is quite good but the taste is nothing special")</f>
        <v>The smell is quite good but the taste is nothing special</v>
      </c>
    </row>
    <row r="8458" spans="1:3" ht="15.75" customHeight="1" x14ac:dyDescent="0.25">
      <c r="A8458" s="2" t="s">
        <v>8460</v>
      </c>
      <c r="B8458" s="3" t="s">
        <v>2</v>
      </c>
      <c r="C8458" s="2" t="str">
        <f ca="1">IFERROR(__xludf.DUMMYFUNCTION("GOOGLETRANSLATE(A8458,""bn"",""en"")"),"The illustrations of the book are great but the quality of the writing could have been improved")</f>
        <v>The illustrations of the book are great but the quality of the writing could have been improved</v>
      </c>
    </row>
    <row r="8459" spans="1:3" ht="15.75" customHeight="1" x14ac:dyDescent="0.25">
      <c r="A8459" s="2" t="s">
        <v>8461</v>
      </c>
      <c r="B8459" s="3" t="s">
        <v>4</v>
      </c>
      <c r="C8459" s="2" t="str">
        <f ca="1">IFERROR(__xludf.DUMMYFUNCTION("GOOGLETRANSLATE(A8459,""bn"",""en"")"),"The makeup kit brings out the natural beauty of the skin")</f>
        <v>The makeup kit brings out the natural beauty of the skin</v>
      </c>
    </row>
    <row r="8460" spans="1:3" ht="15.75" customHeight="1" x14ac:dyDescent="0.25">
      <c r="A8460" s="2" t="s">
        <v>8462</v>
      </c>
      <c r="B8460" s="3" t="s">
        <v>4</v>
      </c>
      <c r="C8460" s="2" t="str">
        <f ca="1">IFERROR(__xludf.DUMMYFUNCTION("GOOGLETRANSLATE(A8460,""bn"",""en"")"),"The experience since using this mobile is amazing")</f>
        <v>The experience since using this mobile is amazing</v>
      </c>
    </row>
    <row r="8461" spans="1:3" ht="15.75" customHeight="1" x14ac:dyDescent="0.25">
      <c r="A8461" s="2" t="s">
        <v>8463</v>
      </c>
      <c r="B8461" s="3" t="s">
        <v>4</v>
      </c>
      <c r="C8461" s="2" t="str">
        <f ca="1">IFERROR(__xludf.DUMMYFUNCTION("GOOGLETRANSLATE(A8461,""bn"",""en"")"),"Hair fall has reduced a lot after using this shampoo")</f>
        <v>Hair fall has reduced a lot after using this shampoo</v>
      </c>
    </row>
    <row r="8462" spans="1:3" ht="15.75" customHeight="1" x14ac:dyDescent="0.25">
      <c r="A8462" s="2" t="s">
        <v>8464</v>
      </c>
      <c r="B8462" s="3" t="s">
        <v>4</v>
      </c>
      <c r="C8462" s="2" t="str">
        <f ca="1">IFERROR(__xludf.DUMMYFUNCTION("GOOGLETRANSLATE(A8462,""bn"",""en"")"),"Comes in a nice looking case")</f>
        <v>Comes in a nice looking case</v>
      </c>
    </row>
    <row r="8463" spans="1:3" ht="15.75" customHeight="1" x14ac:dyDescent="0.25">
      <c r="A8463" s="2" t="s">
        <v>8465</v>
      </c>
      <c r="B8463" s="3" t="s">
        <v>2</v>
      </c>
      <c r="C8463" s="2" t="str">
        <f ca="1">IFERROR(__xludf.DUMMYFUNCTION("GOOGLETRANSLATE(A8463,""bn"",""en"")"),"Its appearance is simple")</f>
        <v>Its appearance is simple</v>
      </c>
    </row>
    <row r="8464" spans="1:3" ht="15.75" customHeight="1" x14ac:dyDescent="0.25">
      <c r="A8464" s="2" t="s">
        <v>8466</v>
      </c>
      <c r="B8464" s="3" t="s">
        <v>2</v>
      </c>
      <c r="C8464" s="2" t="str">
        <f ca="1">IFERROR(__xludf.DUMMYFUNCTION("GOOGLETRANSLATE(A8464,""bn"",""en"")"),"It is easily layered")</f>
        <v>It is easily layered</v>
      </c>
    </row>
    <row r="8465" spans="1:3" ht="15.75" customHeight="1" x14ac:dyDescent="0.25">
      <c r="A8465" s="2" t="s">
        <v>8467</v>
      </c>
      <c r="B8465" s="3" t="s">
        <v>2</v>
      </c>
      <c r="C8465" s="2" t="str">
        <f ca="1">IFERROR(__xludf.DUMMYFUNCTION("GOOGLETRANSLATE(A8465,""bn"",""en"")"),"Samsung is good but not perfect")</f>
        <v>Samsung is good but not perfect</v>
      </c>
    </row>
    <row r="8466" spans="1:3" ht="15.75" customHeight="1" x14ac:dyDescent="0.25">
      <c r="A8466" s="2" t="s">
        <v>8468</v>
      </c>
      <c r="B8466" s="3" t="s">
        <v>6</v>
      </c>
      <c r="C8466" s="2" t="str">
        <f ca="1">IFERROR(__xludf.DUMMYFUNCTION("GOOGLETRANSLATE(A8466,""bn"",""en"")"),"Laces tend to snap easily and require frequent replacement")</f>
        <v>Laces tend to snap easily and require frequent replacement</v>
      </c>
    </row>
    <row r="8467" spans="1:3" ht="15.75" customHeight="1" x14ac:dyDescent="0.25">
      <c r="A8467" s="2" t="s">
        <v>8469</v>
      </c>
      <c r="B8467" s="3" t="s">
        <v>2</v>
      </c>
      <c r="C8467" s="2" t="str">
        <f ca="1">IFERROR(__xludf.DUMMYFUNCTION("GOOGLETRANSLATE(A8467,""bn"",""en"")"),"Moves but very slowly")</f>
        <v>Moves but very slowly</v>
      </c>
    </row>
    <row r="8468" spans="1:3" ht="15.75" customHeight="1" x14ac:dyDescent="0.25">
      <c r="A8468" s="2" t="s">
        <v>8470</v>
      </c>
      <c r="B8468" s="3" t="s">
        <v>6</v>
      </c>
      <c r="C8468" s="2" t="str">
        <f ca="1">IFERROR(__xludf.DUMMYFUNCTION("GOOGLETRANSLATE(A8468,""bn"",""en"")"),"The cups were too thin making them prone to chipping")</f>
        <v>The cups were too thin making them prone to chipping</v>
      </c>
    </row>
    <row r="8469" spans="1:3" ht="15.75" customHeight="1" x14ac:dyDescent="0.25">
      <c r="A8469" s="2" t="s">
        <v>8471</v>
      </c>
      <c r="B8469" s="3" t="s">
        <v>6</v>
      </c>
      <c r="C8469" s="2" t="str">
        <f ca="1">IFERROR(__xludf.DUMMYFUNCTION("GOOGLETRANSLATE(A8469,""bn"",""en"")"),"Garments arrive with defects that do not have quality control comments")</f>
        <v>Garments arrive with defects that do not have quality control comments</v>
      </c>
    </row>
    <row r="8470" spans="1:3" ht="15.75" customHeight="1" x14ac:dyDescent="0.25">
      <c r="A8470" s="2" t="s">
        <v>8472</v>
      </c>
      <c r="B8470" s="3" t="s">
        <v>4</v>
      </c>
      <c r="C8470" s="2" t="str">
        <f ca="1">IFERROR(__xludf.DUMMYFUNCTION("GOOGLETRANSLATE(A8470,""bn"",""en"")"),"Use of soap reduces skin sensitivity")</f>
        <v>Use of soap reduces skin sensitivity</v>
      </c>
    </row>
    <row r="8471" spans="1:3" ht="15.75" customHeight="1" x14ac:dyDescent="0.25">
      <c r="A8471" s="2" t="s">
        <v>8473</v>
      </c>
      <c r="B8471" s="3" t="s">
        <v>6</v>
      </c>
      <c r="C8471" s="2" t="str">
        <f ca="1">IFERROR(__xludf.DUMMYFUNCTION("GOOGLETRANSLATE(A8471,""bn"",""en"")"),"The plates of the hair straightener tear and pull the hair causing damage")</f>
        <v>The plates of the hair straightener tear and pull the hair causing damage</v>
      </c>
    </row>
    <row r="8472" spans="1:3" ht="15.75" customHeight="1" x14ac:dyDescent="0.25">
      <c r="A8472" s="2" t="s">
        <v>8474</v>
      </c>
      <c r="B8472" s="3" t="s">
        <v>6</v>
      </c>
      <c r="C8472" s="2" t="str">
        <f ca="1">IFERROR(__xludf.DUMMYFUNCTION("GOOGLETRANSLATE(A8472,""bn"",""en"")"),"Far from soft and barely felt")</f>
        <v>Far from soft and barely felt</v>
      </c>
    </row>
    <row r="8473" spans="1:3" ht="15.75" customHeight="1" x14ac:dyDescent="0.25">
      <c r="A8473" s="2" t="s">
        <v>8475</v>
      </c>
      <c r="B8473" s="3" t="s">
        <v>6</v>
      </c>
      <c r="C8473" s="2" t="str">
        <f ca="1">IFERROR(__xludf.DUMMYFUNCTION("GOOGLETRANSLATE(A8473,""bn"",""en"")"),"Inspired artwork failed to impress")</f>
        <v>Inspired artwork failed to impress</v>
      </c>
    </row>
    <row r="8474" spans="1:3" ht="15.75" customHeight="1" x14ac:dyDescent="0.25">
      <c r="A8474" s="2" t="s">
        <v>8476</v>
      </c>
      <c r="B8474" s="3" t="s">
        <v>6</v>
      </c>
      <c r="C8474" s="2" t="str">
        <f ca="1">IFERROR(__xludf.DUMMYFUNCTION("GOOGLETRANSLATE(A8474,""bn"",""en"")"),"The bristles of electric toothbrushes fall off and clean ineffectively")</f>
        <v>The bristles of electric toothbrushes fall off and clean ineffectively</v>
      </c>
    </row>
    <row r="8475" spans="1:3" ht="15.75" customHeight="1" x14ac:dyDescent="0.25">
      <c r="A8475" s="2" t="s">
        <v>8477</v>
      </c>
      <c r="B8475" s="3" t="s">
        <v>2</v>
      </c>
      <c r="C8475" s="2" t="str">
        <f ca="1">IFERROR(__xludf.DUMMYFUNCTION("GOOGLETRANSLATE(A8475,""bn"",""en"")"),"A wireless thermal camera shows heat but has a low resolution")</f>
        <v>A wireless thermal camera shows heat but has a low resolution</v>
      </c>
    </row>
    <row r="8476" spans="1:3" ht="15.75" customHeight="1" x14ac:dyDescent="0.25">
      <c r="A8476" s="2" t="s">
        <v>8478</v>
      </c>
      <c r="B8476" s="3" t="s">
        <v>6</v>
      </c>
      <c r="C8476" s="2" t="str">
        <f ca="1">IFERROR(__xludf.DUMMYFUNCTION("GOOGLETRANSLATE(A8476,""bn"",""en"")"),"Lid seals were ineffective leading to frequent leaks")</f>
        <v>Lid seals were ineffective leading to frequent leaks</v>
      </c>
    </row>
    <row r="8477" spans="1:3" ht="15.75" customHeight="1" x14ac:dyDescent="0.25">
      <c r="A8477" s="2" t="s">
        <v>8479</v>
      </c>
      <c r="B8477" s="3" t="s">
        <v>2</v>
      </c>
      <c r="C8477" s="2" t="str">
        <f ca="1">IFERROR(__xludf.DUMMYFUNCTION("GOOGLETRANSLATE(A8477,""bn"",""en"")"),"It was good for the first few days then some problems appeared")</f>
        <v>It was good for the first few days then some problems appeared</v>
      </c>
    </row>
    <row r="8478" spans="1:3" ht="15.75" customHeight="1" x14ac:dyDescent="0.25">
      <c r="A8478" s="2" t="s">
        <v>8480</v>
      </c>
      <c r="B8478" s="3" t="s">
        <v>2</v>
      </c>
      <c r="C8478" s="2" t="str">
        <f ca="1">IFERROR(__xludf.DUMMYFUNCTION("GOOGLETRANSLATE(A8478,""bn"",""en"")"),"Just average")</f>
        <v>Just average</v>
      </c>
    </row>
    <row r="8479" spans="1:3" ht="15.75" customHeight="1" x14ac:dyDescent="0.25">
      <c r="A8479" s="2" t="s">
        <v>8481</v>
      </c>
      <c r="B8479" s="3" t="s">
        <v>4</v>
      </c>
      <c r="C8479" s="2" t="str">
        <f ca="1">IFERROR(__xludf.DUMMYFUNCTION("GOOGLETRANSLATE(A8479,""bn"",""en"")"),"Makes a great travel monitor")</f>
        <v>Makes a great travel monitor</v>
      </c>
    </row>
    <row r="8480" spans="1:3" ht="15.75" customHeight="1" x14ac:dyDescent="0.25">
      <c r="A8480" s="2" t="s">
        <v>8482</v>
      </c>
      <c r="B8480" s="3" t="s">
        <v>4</v>
      </c>
      <c r="C8480" s="2" t="str">
        <f ca="1">IFERROR(__xludf.DUMMYFUNCTION("GOOGLETRANSLATE(A8480,""bn"",""en"")"),"Using shampoo makes the hair strong and healthy")</f>
        <v>Using shampoo makes the hair strong and healthy</v>
      </c>
    </row>
    <row r="8481" spans="1:3" ht="15.75" customHeight="1" x14ac:dyDescent="0.25">
      <c r="A8481" s="2" t="s">
        <v>8483</v>
      </c>
      <c r="B8481" s="3" t="s">
        <v>2</v>
      </c>
      <c r="C8481" s="2" t="str">
        <f ca="1">IFERROR(__xludf.DUMMYFUNCTION("GOOGLETRANSLATE(A8481,""bn"",""en"")"),"The magazine rack works but was difficult to assemble")</f>
        <v>The magazine rack works but was difficult to assemble</v>
      </c>
    </row>
    <row r="8482" spans="1:3" ht="15.75" customHeight="1" x14ac:dyDescent="0.25">
      <c r="A8482" s="2" t="s">
        <v>8484</v>
      </c>
      <c r="B8482" s="3" t="s">
        <v>2</v>
      </c>
      <c r="C8482" s="2" t="str">
        <f ca="1">IFERROR(__xludf.DUMMYFUNCTION("GOOGLETRANSLATE(A8482,""bn"",""en"")"),"The packet contains sufficient number of pads")</f>
        <v>The packet contains sufficient number of pads</v>
      </c>
    </row>
    <row r="8483" spans="1:3" ht="15.75" customHeight="1" x14ac:dyDescent="0.25">
      <c r="A8483" s="2" t="s">
        <v>8485</v>
      </c>
      <c r="B8483" s="3" t="s">
        <v>4</v>
      </c>
      <c r="C8483" s="2" t="str">
        <f ca="1">IFERROR(__xludf.DUMMYFUNCTION("GOOGLETRANSLATE(A8483,""bn"",""en"")"),"The iPad feels clean and bright")</f>
        <v>The iPad feels clean and bright</v>
      </c>
    </row>
    <row r="8484" spans="1:3" ht="15.75" customHeight="1" x14ac:dyDescent="0.25">
      <c r="A8484" s="2" t="s">
        <v>8486</v>
      </c>
      <c r="B8484" s="3" t="s">
        <v>6</v>
      </c>
      <c r="C8484" s="2" t="str">
        <f ca="1">IFERROR(__xludf.DUMMYFUNCTION("GOOGLETRANSLATE(A8484,""bn"",""en"")"),"Unpleasant textures make drinking unpleasant")</f>
        <v>Unpleasant textures make drinking unpleasant</v>
      </c>
    </row>
    <row r="8485" spans="1:3" ht="15.75" customHeight="1" x14ac:dyDescent="0.25">
      <c r="A8485" s="2" t="s">
        <v>8487</v>
      </c>
      <c r="B8485" s="3" t="s">
        <v>4</v>
      </c>
      <c r="C8485" s="2" t="str">
        <f ca="1">IFERROR(__xludf.DUMMYFUNCTION("GOOGLETRANSLATE(A8485,""bn"",""en"")"),"I find peace by drinking this tea every afternoon")</f>
        <v>I find peace by drinking this tea every afternoon</v>
      </c>
    </row>
    <row r="8486" spans="1:3" ht="15.75" customHeight="1" x14ac:dyDescent="0.25">
      <c r="A8486" s="2" t="s">
        <v>8488</v>
      </c>
      <c r="B8486" s="3" t="s">
        <v>6</v>
      </c>
      <c r="C8486" s="2" t="str">
        <f ca="1">IFERROR(__xludf.DUMMYFUNCTION("GOOGLETRANSLATE(A8486,""bn"",""en"")"),"  The mask made my skin break out")</f>
        <v xml:space="preserve">  The mask made my skin break out</v>
      </c>
    </row>
    <row r="8487" spans="1:3" ht="15.75" customHeight="1" x14ac:dyDescent="0.25">
      <c r="A8487" s="2" t="s">
        <v>8489</v>
      </c>
      <c r="B8487" s="3" t="s">
        <v>6</v>
      </c>
      <c r="C8487" s="2" t="str">
        <f ca="1">IFERROR(__xludf.DUMMYFUNCTION("GOOGLETRANSLATE(A8487,""bn"",""en"")"),"Night vision of solar powered security cameras cannot capture clear footage of blur")</f>
        <v>Night vision of solar powered security cameras cannot capture clear footage of blur</v>
      </c>
    </row>
    <row r="8488" spans="1:3" ht="15.75" customHeight="1" x14ac:dyDescent="0.25">
      <c r="A8488" s="2" t="s">
        <v>8490</v>
      </c>
      <c r="B8488" s="3" t="s">
        <v>4</v>
      </c>
      <c r="C8488" s="2" t="str">
        <f ca="1">IFERROR(__xludf.DUMMYFUNCTION("GOOGLETRANSLATE(A8488,""bn"",""en"")"),"This charger met my expectations")</f>
        <v>This charger met my expectations</v>
      </c>
    </row>
    <row r="8489" spans="1:3" ht="15.75" customHeight="1" x14ac:dyDescent="0.25">
      <c r="A8489" s="2" t="s">
        <v>8491</v>
      </c>
      <c r="B8489" s="3" t="s">
        <v>6</v>
      </c>
      <c r="C8489" s="2" t="str">
        <f ca="1">IFERROR(__xludf.DUMMYFUNCTION("GOOGLETRANSLATE(A8489,""bn"",""en"")"),"The bag's lack of reinforced padding put my device at risk of damage resulting in costly repairs")</f>
        <v>The bag's lack of reinforced padding put my device at risk of damage resulting in costly repairs</v>
      </c>
    </row>
    <row r="8490" spans="1:3" ht="15.75" customHeight="1" x14ac:dyDescent="0.25">
      <c r="A8490" s="2" t="s">
        <v>8492</v>
      </c>
      <c r="B8490" s="3" t="s">
        <v>6</v>
      </c>
      <c r="C8490" s="2" t="str">
        <f ca="1">IFERROR(__xludf.DUMMYFUNCTION("GOOGLETRANSLATE(A8490,""bn"",""en"")"),"Size is ok not perfect")</f>
        <v>Size is ok not perfect</v>
      </c>
    </row>
    <row r="8491" spans="1:3" ht="15.75" customHeight="1" x14ac:dyDescent="0.25">
      <c r="A8491" s="2" t="s">
        <v>8493</v>
      </c>
      <c r="B8491" s="3" t="s">
        <v>6</v>
      </c>
      <c r="C8491" s="2" t="str">
        <f ca="1">IFERROR(__xludf.DUMMYFUNCTION("GOOGLETRANSLATE(A8491,""bn"",""en"")"),"Lack of visual repetition variety")</f>
        <v>Lack of visual repetition variety</v>
      </c>
    </row>
    <row r="8492" spans="1:3" ht="15.75" customHeight="1" x14ac:dyDescent="0.25">
      <c r="A8492" s="2" t="s">
        <v>8494</v>
      </c>
      <c r="B8492" s="3" t="s">
        <v>2</v>
      </c>
      <c r="C8492" s="2" t="str">
        <f ca="1">IFERROR(__xludf.DUMMYFUNCTION("GOOGLETRANSLATE(A8492,""bn"",""en"")"),"It is easily washable but takes some time to dry")</f>
        <v>It is easily washable but takes some time to dry</v>
      </c>
    </row>
    <row r="8493" spans="1:3" ht="15.75" customHeight="1" x14ac:dyDescent="0.25">
      <c r="A8493" s="2" t="s">
        <v>8495</v>
      </c>
      <c r="B8493" s="3" t="s">
        <v>6</v>
      </c>
      <c r="C8493" s="2" t="str">
        <f ca="1">IFERROR(__xludf.DUMMYFUNCTION("GOOGLETRANSLATE(A8493,""bn"",""en"")"),"The canvas is stretched unevenly causing warping")</f>
        <v>The canvas is stretched unevenly causing warping</v>
      </c>
    </row>
    <row r="8494" spans="1:3" ht="15.75" customHeight="1" x14ac:dyDescent="0.25">
      <c r="A8494" s="2" t="s">
        <v>8496</v>
      </c>
      <c r="B8494" s="3" t="s">
        <v>4</v>
      </c>
      <c r="C8494" s="2" t="str">
        <f ca="1">IFERROR(__xludf.DUMMYFUNCTION("GOOGLETRANSLATE(A8494,""bn"",""en"")"),"Peaceful experience")</f>
        <v>Peaceful experience</v>
      </c>
    </row>
    <row r="8495" spans="1:3" ht="15.75" customHeight="1" x14ac:dyDescent="0.25">
      <c r="A8495" s="2" t="s">
        <v>8497</v>
      </c>
      <c r="B8495" s="3" t="s">
        <v>2</v>
      </c>
      <c r="C8495" s="2" t="str">
        <f ca="1">IFERROR(__xludf.DUMMYFUNCTION("GOOGLETRANSLATE(A8495,""bn"",""en"")"),"The speaker works but the bass could be better")</f>
        <v>The speaker works but the bass could be better</v>
      </c>
    </row>
    <row r="8496" spans="1:3" ht="15.75" customHeight="1" x14ac:dyDescent="0.25">
      <c r="A8496" s="2" t="s">
        <v>8498</v>
      </c>
      <c r="B8496" s="3" t="s">
        <v>4</v>
      </c>
      <c r="C8496" s="2" t="str">
        <f ca="1">IFERROR(__xludf.DUMMYFUNCTION("GOOGLETRANSLATE(A8496,""bn"",""en"")"),"The keyboard and trackpad of the laptop are very user-friendly and the typing experience is very good")</f>
        <v>The keyboard and trackpad of the laptop are very user-friendly and the typing experience is very good</v>
      </c>
    </row>
    <row r="8497" spans="1:3" ht="15.75" customHeight="1" x14ac:dyDescent="0.25">
      <c r="A8497" s="2" t="s">
        <v>8499</v>
      </c>
      <c r="B8497" s="3" t="s">
        <v>4</v>
      </c>
      <c r="C8497" s="2" t="str">
        <f ca="1">IFERROR(__xludf.DUMMYFUNCTION("GOOGLETRANSLATE(A8497,""bn"",""en"")"),"It is truly unique for night sleep")</f>
        <v>It is truly unique for night sleep</v>
      </c>
    </row>
    <row r="8498" spans="1:3" ht="15.75" customHeight="1" x14ac:dyDescent="0.25">
      <c r="A8498" s="2" t="s">
        <v>8500</v>
      </c>
      <c r="B8498" s="3" t="s">
        <v>6</v>
      </c>
      <c r="C8498" s="2" t="str">
        <f ca="1">IFERROR(__xludf.DUMMYFUNCTION("GOOGLETRANSLATE(A8498,""bn"",""en"")"),"Major frustrations are repetitive problems")</f>
        <v>Major frustrations are repetitive problems</v>
      </c>
    </row>
    <row r="8499" spans="1:3" ht="15.75" customHeight="1" x14ac:dyDescent="0.25">
      <c r="A8499" s="2" t="s">
        <v>8501</v>
      </c>
      <c r="B8499" s="3" t="s">
        <v>6</v>
      </c>
      <c r="C8499" s="2" t="str">
        <f ca="1">IFERROR(__xludf.DUMMYFUNCTION("GOOGLETRANSLATE(A8499,""bn"",""en"")")," The exterior surface stains easily and requires frequent cleaning")</f>
        <v xml:space="preserve"> The exterior surface stains easily and requires frequent cleaning</v>
      </c>
    </row>
    <row r="8500" spans="1:3" ht="15.75" customHeight="1" x14ac:dyDescent="0.25">
      <c r="A8500" s="2" t="s">
        <v>8502</v>
      </c>
      <c r="B8500" s="3" t="s">
        <v>2</v>
      </c>
      <c r="C8500" s="2" t="str">
        <f ca="1">IFERROR(__xludf.DUMMYFUNCTION("GOOGLETRANSLATE(A8500,""bn"",""en"")"),"Compression socks are good but not great")</f>
        <v>Compression socks are good but not great</v>
      </c>
    </row>
    <row r="8501" spans="1:3" ht="15.75" customHeight="1" x14ac:dyDescent="0.25">
      <c r="A8501" s="2" t="s">
        <v>8503</v>
      </c>
      <c r="B8501" s="3" t="s">
        <v>4</v>
      </c>
      <c r="C8501" s="2" t="str">
        <f ca="1">IFERROR(__xludf.DUMMYFUNCTION("GOOGLETRANSLATE(A8501,""bn"",""en"")"),"This body wash enhances the beauty of the skin")</f>
        <v>This body wash enhances the beauty of the skin</v>
      </c>
    </row>
    <row r="8502" spans="1:3" ht="15.75" customHeight="1" x14ac:dyDescent="0.25">
      <c r="A8502" s="2" t="s">
        <v>8504</v>
      </c>
      <c r="B8502" s="3" t="s">
        <v>6</v>
      </c>
      <c r="C8502" s="2" t="str">
        <f ca="1">IFERROR(__xludf.DUMMYFUNCTION("GOOGLETRANSLATE(A8502,""bn"",""en"")"),"  The cream was too thick and burned the skin")</f>
        <v xml:space="preserve">  The cream was too thick and burned the skin</v>
      </c>
    </row>
    <row r="8503" spans="1:3" ht="15.75" customHeight="1" x14ac:dyDescent="0.25">
      <c r="A8503" s="2" t="s">
        <v>8505</v>
      </c>
      <c r="B8503" s="3" t="s">
        <v>4</v>
      </c>
      <c r="C8503" s="2" t="str">
        <f ca="1">IFERROR(__xludf.DUMMYFUNCTION("GOOGLETRANSLATE(A8503,""bn"",""en"")"),"The gap between the teeth is easily accessible")</f>
        <v>The gap between the teeth is easily accessible</v>
      </c>
    </row>
    <row r="8504" spans="1:3" ht="15.75" customHeight="1" x14ac:dyDescent="0.25">
      <c r="A8504" s="2" t="s">
        <v>8506</v>
      </c>
      <c r="B8504" s="3" t="s">
        <v>6</v>
      </c>
      <c r="C8504" s="2" t="str">
        <f ca="1">IFERROR(__xludf.DUMMYFUNCTION("GOOGLETRANSLATE(A8504,""bn"",""en"")")," Battery life degrades quickly over time requiring frequent charging throughout the day")</f>
        <v xml:space="preserve"> Battery life degrades quickly over time requiring frequent charging throughout the day</v>
      </c>
    </row>
    <row r="8505" spans="1:3" ht="15.75" customHeight="1" x14ac:dyDescent="0.25">
      <c r="A8505" s="2" t="s">
        <v>8507</v>
      </c>
      <c r="B8505" s="3" t="s">
        <v>2</v>
      </c>
      <c r="C8505" s="2" t="str">
        <f ca="1">IFERROR(__xludf.DUMMYFUNCTION("GOOGLETRANSLATE(A8505,""bn"",""en"")"),"It is somewhat flexible in nature")</f>
        <v>It is somewhat flexible in nature</v>
      </c>
    </row>
    <row r="8506" spans="1:3" ht="15.75" customHeight="1" x14ac:dyDescent="0.25">
      <c r="A8506" s="2" t="s">
        <v>8508</v>
      </c>
      <c r="B8506" s="3" t="s">
        <v>4</v>
      </c>
      <c r="C8506" s="2" t="str">
        <f ca="1">IFERROR(__xludf.DUMMYFUNCTION("GOOGLETRANSLATE(A8506,""bn"",""en"")"),"I get excited every time I open a new packet")</f>
        <v>I get excited every time I open a new packet</v>
      </c>
    </row>
    <row r="8507" spans="1:3" ht="15.75" customHeight="1" x14ac:dyDescent="0.25">
      <c r="A8507" s="2" t="s">
        <v>8509</v>
      </c>
      <c r="B8507" s="3" t="s">
        <v>2</v>
      </c>
      <c r="C8507" s="2" t="str">
        <f ca="1">IFERROR(__xludf.DUMMYFUNCTION("GOOGLETRANSLATE(A8507,""bn"",""en"")"),"Pencils are sharp enough sometimes")</f>
        <v>Pencils are sharp enough sometimes</v>
      </c>
    </row>
    <row r="8508" spans="1:3" ht="15.75" customHeight="1" x14ac:dyDescent="0.25">
      <c r="A8508" s="2" t="s">
        <v>8510</v>
      </c>
      <c r="B8508" s="3" t="s">
        <v>6</v>
      </c>
      <c r="C8508" s="2" t="str">
        <f ca="1">IFERROR(__xludf.DUMMYFUNCTION("GOOGLETRANSLATE(A8508,""bn"",""en"")"),"The colors in the eyeshadow palette are patchy and difficult to blend")</f>
        <v>The colors in the eyeshadow palette are patchy and difficult to blend</v>
      </c>
    </row>
    <row r="8509" spans="1:3" ht="15.75" customHeight="1" x14ac:dyDescent="0.25">
      <c r="A8509" s="2" t="s">
        <v>8511</v>
      </c>
      <c r="B8509" s="3" t="s">
        <v>4</v>
      </c>
      <c r="C8509" s="2" t="str">
        <f ca="1">IFERROR(__xludf.DUMMYFUNCTION("GOOGLETRANSLATE(A8509,""bn"",""en"")"),"Alhamdulillah very good product i never thought i will get such good product from daraj thanks daraj and seller")</f>
        <v>Alhamdulillah very good product i never thought i will get such good product from daraj thanks daraj and seller</v>
      </c>
    </row>
    <row r="8510" spans="1:3" ht="15.75" customHeight="1" x14ac:dyDescent="0.25">
      <c r="A8510" s="2" t="s">
        <v>8512</v>
      </c>
      <c r="B8510" s="3" t="s">
        <v>6</v>
      </c>
      <c r="C8510" s="2" t="str">
        <f ca="1">IFERROR(__xludf.DUMMYFUNCTION("GOOGLETRANSLATE(A8510,""bn"",""en"")"),"Sunglasses lenses are easily scratched and impair visibility")</f>
        <v>Sunglasses lenses are easily scratched and impair visibility</v>
      </c>
    </row>
    <row r="8511" spans="1:3" ht="15.75" customHeight="1" x14ac:dyDescent="0.25">
      <c r="A8511" s="2" t="s">
        <v>8513</v>
      </c>
      <c r="B8511" s="3" t="s">
        <v>4</v>
      </c>
      <c r="C8511" s="2" t="str">
        <f ca="1">IFERROR(__xludf.DUMMYFUNCTION("GOOGLETRANSLATE(A8511,""bn"",""en"")"),"Beauty soap improves skin tone")</f>
        <v>Beauty soap improves skin tone</v>
      </c>
    </row>
    <row r="8512" spans="1:3" ht="15.75" customHeight="1" x14ac:dyDescent="0.25">
      <c r="A8512" s="2" t="s">
        <v>8514</v>
      </c>
      <c r="B8512" s="3" t="s">
        <v>2</v>
      </c>
      <c r="C8512" s="2" t="str">
        <f ca="1">IFERROR(__xludf.DUMMYFUNCTION("GOOGLETRANSLATE(A8512,""bn"",""en"")")," Keeps house clean but not economical")</f>
        <v xml:space="preserve"> Keeps house clean but not economical</v>
      </c>
    </row>
    <row r="8513" spans="1:3" ht="15.75" customHeight="1" x14ac:dyDescent="0.25">
      <c r="A8513" s="2" t="s">
        <v>8515</v>
      </c>
      <c r="B8513" s="3" t="s">
        <v>2</v>
      </c>
      <c r="C8513" s="2" t="str">
        <f ca="1">IFERROR(__xludf.DUMMYFUNCTION("GOOGLETRANSLATE(A8513,""bn"",""en"")"),"The dress is comfortable but the cut is a problem")</f>
        <v>The dress is comfortable but the cut is a problem</v>
      </c>
    </row>
    <row r="8514" spans="1:3" ht="15.75" customHeight="1" x14ac:dyDescent="0.25">
      <c r="A8514" s="2" t="s">
        <v>8516</v>
      </c>
      <c r="B8514" s="3" t="s">
        <v>6</v>
      </c>
      <c r="C8514" s="2" t="str">
        <f ca="1">IFERROR(__xludf.DUMMYFUNCTION("GOOGLETRANSLATE(A8514,""bn"",""en"")"),"The quantity of alternative parts or accessories is limited")</f>
        <v>The quantity of alternative parts or accessories is limited</v>
      </c>
    </row>
    <row r="8515" spans="1:3" ht="15.75" customHeight="1" x14ac:dyDescent="0.25">
      <c r="A8515" s="2" t="s">
        <v>8517</v>
      </c>
      <c r="B8515" s="3" t="s">
        <v>4</v>
      </c>
      <c r="C8515" s="2" t="str">
        <f ca="1">IFERROR(__xludf.DUMMYFUNCTION("GOOGLETRANSLATE(A8515,""bn"",""en"")"),"All in all this is a great product")</f>
        <v>All in all this is a great product</v>
      </c>
    </row>
    <row r="8516" spans="1:3" ht="15.75" customHeight="1" x14ac:dyDescent="0.25">
      <c r="A8516" s="2" t="s">
        <v>8518</v>
      </c>
      <c r="B8516" s="3" t="s">
        <v>2</v>
      </c>
      <c r="C8516" s="2" t="str">
        <f ca="1">IFERROR(__xludf.DUMMYFUNCTION("GOOGLETRANSLATE(A8516,""bn"",""en"")"),"The product will help keep the house clean")</f>
        <v>The product will help keep the house clean</v>
      </c>
    </row>
    <row r="8517" spans="1:3" ht="15.75" customHeight="1" x14ac:dyDescent="0.25">
      <c r="A8517" s="2" t="s">
        <v>8519</v>
      </c>
      <c r="B8517" s="3" t="s">
        <v>6</v>
      </c>
      <c r="C8517" s="2" t="str">
        <f ca="1">IFERROR(__xludf.DUMMYFUNCTION("GOOGLETRANSLATE(A8517,""bn"",""en"")"),"Wrong shade of purple and disappointing")</f>
        <v>Wrong shade of purple and disappointing</v>
      </c>
    </row>
    <row r="8518" spans="1:3" ht="15.75" customHeight="1" x14ac:dyDescent="0.25">
      <c r="A8518" s="2" t="s">
        <v>8520</v>
      </c>
      <c r="B8518" s="3" t="s">
        <v>4</v>
      </c>
      <c r="C8518" s="2" t="str">
        <f ca="1">IFERROR(__xludf.DUMMYFUNCTION("GOOGLETRANSLATE(A8518,""bn"",""en"")"),"The charging speed of the mobile is very fast")</f>
        <v>The charging speed of the mobile is very fast</v>
      </c>
    </row>
    <row r="8519" spans="1:3" ht="15.75" customHeight="1" x14ac:dyDescent="0.25">
      <c r="A8519" s="2" t="s">
        <v>8521</v>
      </c>
      <c r="B8519" s="3" t="s">
        <v>2</v>
      </c>
      <c r="C8519" s="2" t="str">
        <f ca="1">IFERROR(__xludf.DUMMYFUNCTION("GOOGLETRANSLATE(A8519,""bn"",""en"")"),"They work but not as expected")</f>
        <v>They work but not as expected</v>
      </c>
    </row>
    <row r="8520" spans="1:3" ht="15.75" customHeight="1" x14ac:dyDescent="0.25">
      <c r="A8520" s="2" t="s">
        <v>8522</v>
      </c>
      <c r="B8520" s="3" t="s">
        <v>2</v>
      </c>
      <c r="C8520" s="2" t="str">
        <f ca="1">IFERROR(__xludf.DUMMYFUNCTION("GOOGLETRANSLATE(A8520,""bn"",""en"")"),"The color lasts for some time")</f>
        <v>The color lasts for some time</v>
      </c>
    </row>
    <row r="8521" spans="1:3" ht="15.75" customHeight="1" x14ac:dyDescent="0.25">
      <c r="A8521" s="2" t="s">
        <v>8523</v>
      </c>
      <c r="B8521" s="3" t="s">
        <v>6</v>
      </c>
      <c r="C8521" s="2" t="str">
        <f ca="1">IFERROR(__xludf.DUMMYFUNCTION("GOOGLETRANSLATE(A8521,""bn"",""en"")"),"The dustbin of the robotic vacuum needs to be emptied very frequently")</f>
        <v>The dustbin of the robotic vacuum needs to be emptied very frequently</v>
      </c>
    </row>
    <row r="8522" spans="1:3" ht="15.75" customHeight="1" x14ac:dyDescent="0.25">
      <c r="A8522" s="2" t="s">
        <v>8524</v>
      </c>
      <c r="B8522" s="3" t="s">
        <v>4</v>
      </c>
      <c r="C8522" s="2" t="str">
        <f ca="1">IFERROR(__xludf.DUMMYFUNCTION("GOOGLETRANSLATE(A8522,""bn"",""en"")"),"Loved the color of the product")</f>
        <v>Loved the color of the product</v>
      </c>
    </row>
    <row r="8523" spans="1:3" ht="15.75" customHeight="1" x14ac:dyDescent="0.25">
      <c r="A8523" s="2" t="s">
        <v>8525</v>
      </c>
      <c r="B8523" s="3" t="s">
        <v>2</v>
      </c>
      <c r="C8523" s="2" t="str">
        <f ca="1">IFERROR(__xludf.DUMMYFUNCTION("GOOGLETRANSLATE(A8523,""bn"",""en"")"),"The sharpener is of normal quality ")</f>
        <v xml:space="preserve">The sharpener is of normal quality </v>
      </c>
    </row>
    <row r="8524" spans="1:3" ht="15.75" customHeight="1" x14ac:dyDescent="0.25">
      <c r="A8524" s="2" t="s">
        <v>8526</v>
      </c>
      <c r="B8524" s="3" t="s">
        <v>4</v>
      </c>
      <c r="C8524" s="2" t="str">
        <f ca="1">IFERROR(__xludf.DUMMYFUNCTION("GOOGLETRANSLATE(A8524,""bn"",""en"")"),"I bought this charger because of its wireless charging capabilities")</f>
        <v>I bought this charger because of its wireless charging capabilities</v>
      </c>
    </row>
    <row r="8525" spans="1:3" ht="15.75" customHeight="1" x14ac:dyDescent="0.25">
      <c r="A8525" s="2" t="s">
        <v>8527</v>
      </c>
      <c r="B8525" s="3" t="s">
        <v>4</v>
      </c>
      <c r="C8525" s="2" t="str">
        <f ca="1">IFERROR(__xludf.DUMMYFUNCTION("GOOGLETRANSLATE(A8525,""bn"",""en"")"),"Can be used in various occasions")</f>
        <v>Can be used in various occasions</v>
      </c>
    </row>
    <row r="8526" spans="1:3" ht="15.75" customHeight="1" x14ac:dyDescent="0.25">
      <c r="A8526" s="2" t="s">
        <v>8528</v>
      </c>
      <c r="B8526" s="3" t="s">
        <v>6</v>
      </c>
      <c r="C8526" s="2" t="str">
        <f ca="1">IFERROR(__xludf.DUMMYFUNCTION("GOOGLETRANSLATE(A8526,""bn"",""en"")"),"Limited warranty coverage left me stuck with a defective product")</f>
        <v>Limited warranty coverage left me stuck with a defective product</v>
      </c>
    </row>
    <row r="8527" spans="1:3" ht="15.75" customHeight="1" x14ac:dyDescent="0.25">
      <c r="A8527" s="2" t="s">
        <v>8529</v>
      </c>
      <c r="B8527" s="3" t="s">
        <v>4</v>
      </c>
      <c r="C8527" s="2" t="str">
        <f ca="1">IFERROR(__xludf.DUMMYFUNCTION("GOOGLETRANSLATE(A8527,""bn"",""en"")"),"It helps in controlling blood pressure")</f>
        <v>It helps in controlling blood pressure</v>
      </c>
    </row>
    <row r="8528" spans="1:3" ht="15.75" customHeight="1" x14ac:dyDescent="0.25">
      <c r="A8528" s="2" t="s">
        <v>8530</v>
      </c>
      <c r="B8528" s="3" t="s">
        <v>4</v>
      </c>
      <c r="C8528" s="2" t="str">
        <f ca="1">IFERROR(__xludf.DUMMYFUNCTION("GOOGLETRANSLATE(A8528,""bn"",""en"")"),"Each product in the kit is comfortable to use")</f>
        <v>Each product in the kit is comfortable to use</v>
      </c>
    </row>
    <row r="8529" spans="1:3" ht="15.75" customHeight="1" x14ac:dyDescent="0.25">
      <c r="A8529" s="2" t="s">
        <v>8531</v>
      </c>
      <c r="B8529" s="3" t="s">
        <v>4</v>
      </c>
      <c r="C8529" s="2" t="str">
        <f ca="1">IFERROR(__xludf.DUMMYFUNCTION("GOOGLETRANSLATE(A8529,""bn"",""en"")"),"Overall it's a great laptop I'm very happy with it and recommend it to everyone")</f>
        <v>Overall it's a great laptop I'm very happy with it and recommend it to everyone</v>
      </c>
    </row>
    <row r="8530" spans="1:3" ht="15.75" customHeight="1" x14ac:dyDescent="0.25">
      <c r="A8530" s="2" t="s">
        <v>8532</v>
      </c>
      <c r="B8530" s="3" t="s">
        <v>2</v>
      </c>
      <c r="C8530" s="2" t="str">
        <f ca="1">IFERROR(__xludf.DUMMYFUNCTION("GOOGLETRANSLATE(A8530,""bn"",""en"")"),"This is useful for color theory but has some limitations")</f>
        <v>This is useful for color theory but has some limitations</v>
      </c>
    </row>
    <row r="8531" spans="1:3" ht="15.75" customHeight="1" x14ac:dyDescent="0.25">
      <c r="A8531" s="2" t="s">
        <v>8533</v>
      </c>
      <c r="B8531" s="3" t="s">
        <v>2</v>
      </c>
      <c r="C8531" s="2" t="str">
        <f ca="1">IFERROR(__xludf.DUMMYFUNCTION("GOOGLETRANSLATE(A8531,""bn"",""en"")"),"The sound quality of the headphones is average and the price is a bit high")</f>
        <v>The sound quality of the headphones is average and the price is a bit high</v>
      </c>
    </row>
    <row r="8532" spans="1:3" ht="15.75" customHeight="1" x14ac:dyDescent="0.25">
      <c r="A8532" s="2" t="s">
        <v>8534</v>
      </c>
      <c r="B8532" s="3" t="s">
        <v>6</v>
      </c>
      <c r="C8532" s="2" t="str">
        <f ca="1">IFERROR(__xludf.DUMMYFUNCTION("GOOGLETRANSLATE(A8532,""bn"",""en"")"),"Nail clippers make it difficult to safely trim dull baby nails")</f>
        <v>Nail clippers make it difficult to safely trim dull baby nails</v>
      </c>
    </row>
    <row r="8533" spans="1:3" ht="15.75" customHeight="1" x14ac:dyDescent="0.25">
      <c r="A8533" s="2" t="s">
        <v>8535</v>
      </c>
      <c r="B8533" s="3" t="s">
        <v>6</v>
      </c>
      <c r="C8533" s="2" t="str">
        <f ca="1">IFERROR(__xludf.DUMMYFUNCTION("GOOGLETRANSLATE(A8533,""bn"",""en"")"),"A smart thermostat's temperature reading does not reflect the wrong room temperature")</f>
        <v>A smart thermostat's temperature reading does not reflect the wrong room temperature</v>
      </c>
    </row>
    <row r="8534" spans="1:3" ht="15.75" customHeight="1" x14ac:dyDescent="0.25">
      <c r="A8534" s="2" t="s">
        <v>8536</v>
      </c>
      <c r="B8534" s="3" t="s">
        <v>4</v>
      </c>
      <c r="C8534" s="2" t="str">
        <f ca="1">IFERROR(__xludf.DUMMYFUNCTION("GOOGLETRANSLATE(A8534,""bn"",""en"")"),"The mouse pad is smooth and effective to use")</f>
        <v>The mouse pad is smooth and effective to use</v>
      </c>
    </row>
    <row r="8535" spans="1:3" ht="15.75" customHeight="1" x14ac:dyDescent="0.25">
      <c r="A8535" s="2" t="s">
        <v>8537</v>
      </c>
      <c r="B8535" s="3" t="s">
        <v>2</v>
      </c>
      <c r="C8535" s="2" t="str">
        <f ca="1">IFERROR(__xludf.DUMMYFUNCTION("GOOGLETRANSLATE(A8535,""bn"",""en"")"),"The value seems right for the price")</f>
        <v>The value seems right for the price</v>
      </c>
    </row>
    <row r="8536" spans="1:3" ht="15.75" customHeight="1" x14ac:dyDescent="0.25">
      <c r="A8536" s="2" t="s">
        <v>8538</v>
      </c>
      <c r="B8536" s="3" t="s">
        <v>6</v>
      </c>
      <c r="C8536" s="2" t="str">
        <f ca="1">IFERROR(__xludf.DUMMYFUNCTION("GOOGLETRANSLATE(A8536,""bn"",""en"")"),"Dirty puppets tarnish the overall experience")</f>
        <v>Dirty puppets tarnish the overall experience</v>
      </c>
    </row>
    <row r="8537" spans="1:3" ht="15.75" customHeight="1" x14ac:dyDescent="0.25">
      <c r="A8537" s="2" t="s">
        <v>8539</v>
      </c>
      <c r="B8537" s="3" t="s">
        <v>6</v>
      </c>
      <c r="C8537" s="2" t="str">
        <f ca="1">IFERROR(__xludf.DUMMYFUNCTION("GOOGLETRANSLATE(A8537,""bn"",""en"")"),"Smaller than expected")</f>
        <v>Smaller than expected</v>
      </c>
    </row>
    <row r="8538" spans="1:3" ht="15.75" customHeight="1" x14ac:dyDescent="0.25">
      <c r="A8538" s="2" t="s">
        <v>8540</v>
      </c>
      <c r="B8538" s="3" t="s">
        <v>4</v>
      </c>
      <c r="C8538" s="2" t="str">
        <f ca="1">IFERROR(__xludf.DUMMYFUNCTION("GOOGLETRANSLATE(A8538,""bn"",""en"")"),"Its automatic opening system is very convenient as the umbrella opens at the push of a button")</f>
        <v>Its automatic opening system is very convenient as the umbrella opens at the push of a button</v>
      </c>
    </row>
    <row r="8539" spans="1:3" ht="15.75" customHeight="1" x14ac:dyDescent="0.25">
      <c r="A8539" s="2" t="s">
        <v>8541</v>
      </c>
      <c r="B8539" s="3" t="s">
        <v>2</v>
      </c>
      <c r="C8539" s="2" t="str">
        <f ca="1">IFERROR(__xludf.DUMMYFUNCTION("GOOGLETRANSLATE(A8539,""bn"",""en"")"),"The quality of the product is acceptable")</f>
        <v>The quality of the product is acceptable</v>
      </c>
    </row>
    <row r="8540" spans="1:3" ht="15.75" customHeight="1" x14ac:dyDescent="0.25">
      <c r="A8540" s="2" t="s">
        <v>8542</v>
      </c>
      <c r="B8540" s="3" t="s">
        <v>2</v>
      </c>
      <c r="C8540" s="2" t="str">
        <f ca="1">IFERROR(__xludf.DUMMYFUNCTION("GOOGLETRANSLATE(A8540,""bn"",""en"")"),"Do not rub the same place for a long time")</f>
        <v>Do not rub the same place for a long time</v>
      </c>
    </row>
    <row r="8541" spans="1:3" ht="15.75" customHeight="1" x14ac:dyDescent="0.25">
      <c r="A8541" s="2" t="s">
        <v>8543</v>
      </c>
      <c r="B8541" s="3" t="s">
        <v>2</v>
      </c>
      <c r="C8541" s="2" t="str">
        <f ca="1">IFERROR(__xludf.DUMMYFUNCTION("GOOGLETRANSLATE(A8541,""bn"",""en"")"),"Tea can be made in cold water")</f>
        <v>Tea can be made in cold water</v>
      </c>
    </row>
    <row r="8542" spans="1:3" ht="15.75" customHeight="1" x14ac:dyDescent="0.25">
      <c r="A8542" s="2" t="s">
        <v>8544</v>
      </c>
      <c r="B8542" s="3" t="s">
        <v>2</v>
      </c>
      <c r="C8542" s="2" t="str">
        <f ca="1">IFERROR(__xludf.DUMMYFUNCTION("GOOGLETRANSLATE(A8542,""bn"",""en"")"),"Quality is ok not great")</f>
        <v>Quality is ok not great</v>
      </c>
    </row>
    <row r="8543" spans="1:3" ht="15.75" customHeight="1" x14ac:dyDescent="0.25">
      <c r="A8543" s="2" t="s">
        <v>8545</v>
      </c>
      <c r="B8543" s="3" t="s">
        <v>2</v>
      </c>
      <c r="C8543" s="2" t="str">
        <f ca="1">IFERROR(__xludf.DUMMYFUNCTION("GOOGLETRANSLATE(A8543,""bn"",""en"")"),"Decent quality for the price but not outstanding")</f>
        <v>Decent quality for the price but not outstanding</v>
      </c>
    </row>
    <row r="8544" spans="1:3" ht="15.75" customHeight="1" x14ac:dyDescent="0.25">
      <c r="A8544" s="2" t="s">
        <v>8546</v>
      </c>
      <c r="B8544" s="3" t="s">
        <v>6</v>
      </c>
      <c r="C8544" s="2" t="str">
        <f ca="1">IFERROR(__xludf.DUMMYFUNCTION("GOOGLETRANSLATE(A8544,""bn"",""en"")"),"  The surface is not waterproof making it vulnerable to damage from spills and moisture")</f>
        <v xml:space="preserve">  The surface is not waterproof making it vulnerable to damage from spills and moisture</v>
      </c>
    </row>
    <row r="8545" spans="1:3" ht="15.75" customHeight="1" x14ac:dyDescent="0.25">
      <c r="A8545" s="2" t="s">
        <v>8547</v>
      </c>
      <c r="B8545" s="3" t="s">
        <v>6</v>
      </c>
      <c r="C8545" s="2" t="str">
        <f ca="1">IFERROR(__xludf.DUMMYFUNCTION("GOOGLETRANSLATE(A8545,""bn"",""en"")"),"The seams of the bathrobe come undone when the garment is opened after several washes")</f>
        <v>The seams of the bathrobe come undone when the garment is opened after several washes</v>
      </c>
    </row>
    <row r="8546" spans="1:3" ht="15.75" customHeight="1" x14ac:dyDescent="0.25">
      <c r="A8546" s="2" t="s">
        <v>8548</v>
      </c>
      <c r="B8546" s="3" t="s">
        <v>6</v>
      </c>
      <c r="C8546" s="2" t="str">
        <f ca="1">IFERROR(__xludf.DUMMYFUNCTION("GOOGLETRANSLATE(A8546,""bn"",""en"")"),"Uneven hemming and sloppy stitching spoil the look of the garment")</f>
        <v>Uneven hemming and sloppy stitching spoil the look of the garment</v>
      </c>
    </row>
    <row r="8547" spans="1:3" ht="15.75" customHeight="1" x14ac:dyDescent="0.25">
      <c r="A8547" s="2" t="s">
        <v>8549</v>
      </c>
      <c r="B8547" s="3" t="s">
        <v>4</v>
      </c>
      <c r="C8547" s="2" t="str">
        <f ca="1">IFERROR(__xludf.DUMMYFUNCTION("GOOGLETRANSLATE(A8547,""bn"",""en"")"),"The soap enhances skin radiance")</f>
        <v>The soap enhances skin radiance</v>
      </c>
    </row>
    <row r="8548" spans="1:3" ht="15.75" customHeight="1" x14ac:dyDescent="0.25">
      <c r="A8548" s="2" t="s">
        <v>8550</v>
      </c>
      <c r="B8548" s="3" t="s">
        <v>6</v>
      </c>
      <c r="C8548" s="2" t="str">
        <f ca="1">IFERROR(__xludf.DUMMYFUNCTION("GOOGLETRANSLATE(A8548,""bn"",""en"")"),"The tea had a sour aftertaste indicating improper brewing or storage")</f>
        <v>The tea had a sour aftertaste indicating improper brewing or storage</v>
      </c>
    </row>
    <row r="8549" spans="1:3" ht="15.75" customHeight="1" x14ac:dyDescent="0.25">
      <c r="A8549" s="2" t="s">
        <v>8551</v>
      </c>
      <c r="B8549" s="3" t="s">
        <v>4</v>
      </c>
      <c r="C8549" s="2" t="str">
        <f ca="1">IFERROR(__xludf.DUMMYFUNCTION("GOOGLETRANSLATE(A8549,""bn"",""en"")"),"Virus detection is included and functional")</f>
        <v>Virus detection is included and functional</v>
      </c>
    </row>
    <row r="8550" spans="1:3" ht="15.75" customHeight="1" x14ac:dyDescent="0.25">
      <c r="A8550" s="2" t="s">
        <v>8552</v>
      </c>
      <c r="B8550" s="3" t="s">
        <v>6</v>
      </c>
      <c r="C8550" s="2" t="str">
        <f ca="1">IFERROR(__xludf.DUMMYFUNCTION("GOOGLETRANSLATE(A8550,""bn"",""en"")"),"The weight of the laptop is disproportionate to its size making it cumbersome to carry around")</f>
        <v>The weight of the laptop is disproportionate to its size making it cumbersome to carry around</v>
      </c>
    </row>
    <row r="8551" spans="1:3" ht="15.75" customHeight="1" x14ac:dyDescent="0.25">
      <c r="A8551" s="2" t="s">
        <v>8553</v>
      </c>
      <c r="B8551" s="3" t="s">
        <v>4</v>
      </c>
      <c r="C8551" s="2" t="str">
        <f ca="1">IFERROR(__xludf.DUMMYFUNCTION("GOOGLETRANSLATE(A8551,""bn"",""en"")"),"The perfume is soft and strong")</f>
        <v>The perfume is soft and strong</v>
      </c>
    </row>
    <row r="8552" spans="1:3" ht="15.75" customHeight="1" x14ac:dyDescent="0.25">
      <c r="A8552" s="2" t="s">
        <v>8554</v>
      </c>
      <c r="B8552" s="3" t="s">
        <v>6</v>
      </c>
      <c r="C8552" s="2" t="str">
        <f ca="1">IFERROR(__xludf.DUMMYFUNCTION("GOOGLETRANSLATE(A8552,""bn"",""en"")"),"The leg length looks weird")</f>
        <v>The leg length looks weird</v>
      </c>
    </row>
    <row r="8553" spans="1:3" ht="15.75" customHeight="1" x14ac:dyDescent="0.25">
      <c r="A8553" s="2" t="s">
        <v>8555</v>
      </c>
      <c r="B8553" s="3" t="s">
        <v>2</v>
      </c>
      <c r="C8553" s="2" t="str">
        <f ca="1">IFERROR(__xludf.DUMMYFUNCTION("GOOGLETRANSLATE(A8553,""bn"",""en"")"),"Fertilizers could have been more effective, although yields increased slightly")</f>
        <v>Fertilizers could have been more effective, although yields increased slightly</v>
      </c>
    </row>
    <row r="8554" spans="1:3" ht="15.75" customHeight="1" x14ac:dyDescent="0.25">
      <c r="A8554" s="2" t="s">
        <v>8556</v>
      </c>
      <c r="B8554" s="3" t="s">
        <v>6</v>
      </c>
      <c r="C8554" s="2" t="str">
        <f ca="1">IFERROR(__xludf.DUMMYFUNCTION("GOOGLETRANSLATE(A8554,""bn"",""en"")"),"The setting spray has a strong overpowering aroma that triggers headaches")</f>
        <v>The setting spray has a strong overpowering aroma that triggers headaches</v>
      </c>
    </row>
    <row r="8555" spans="1:3" ht="15.75" customHeight="1" x14ac:dyDescent="0.25">
      <c r="A8555" s="2" t="s">
        <v>8557</v>
      </c>
      <c r="B8555" s="3" t="s">
        <v>4</v>
      </c>
      <c r="C8555" s="2" t="str">
        <f ca="1">IFERROR(__xludf.DUMMYFUNCTION("GOOGLETRANSLATE(A8555,""bn"",""en"")"),"The book took me to a different world")</f>
        <v>The book took me to a different world</v>
      </c>
    </row>
    <row r="8556" spans="1:3" ht="15.75" customHeight="1" x14ac:dyDescent="0.25">
      <c r="A8556" s="2" t="s">
        <v>8558</v>
      </c>
      <c r="B8556" s="3" t="s">
        <v>6</v>
      </c>
      <c r="C8556" s="2" t="str">
        <f ca="1">IFERROR(__xludf.DUMMYFUNCTION("GOOGLETRANSLATE(A8556,""bn"",""en"")"),"Perfect for friendship bracelets")</f>
        <v>Perfect for friendship bracelets</v>
      </c>
    </row>
    <row r="8557" spans="1:3" ht="15.75" customHeight="1" x14ac:dyDescent="0.25">
      <c r="A8557" s="2" t="s">
        <v>8559</v>
      </c>
      <c r="B8557" s="3" t="s">
        <v>2</v>
      </c>
      <c r="C8557" s="2" t="str">
        <f ca="1">IFERROR(__xludf.DUMMYFUNCTION("GOOGLETRANSLATE(A8557,""bn"",""en"")"),"Stitching is good but fabric is thin")</f>
        <v>Stitching is good but fabric is thin</v>
      </c>
    </row>
    <row r="8558" spans="1:3" ht="15.75" customHeight="1" x14ac:dyDescent="0.25">
      <c r="A8558" s="2" t="s">
        <v>8560</v>
      </c>
      <c r="B8558" s="3" t="s">
        <v>4</v>
      </c>
      <c r="C8558" s="2" t="str">
        <f ca="1">IFERROR(__xludf.DUMMYFUNCTION("GOOGLETRANSLATE(A8558,""bn"",""en"")"),"Its performance is very high and effective")</f>
        <v>Its performance is very high and effective</v>
      </c>
    </row>
    <row r="8559" spans="1:3" ht="15.75" customHeight="1" x14ac:dyDescent="0.25">
      <c r="A8559" s="2" t="s">
        <v>8561</v>
      </c>
      <c r="B8559" s="3" t="s">
        <v>4</v>
      </c>
      <c r="C8559" s="2" t="str">
        <f ca="1">IFERROR(__xludf.DUMMYFUNCTION("GOOGLETRANSLATE(A8559,""bn"",""en"")"),"This has become my favorite biscuit")</f>
        <v>This has become my favorite biscuit</v>
      </c>
    </row>
    <row r="8560" spans="1:3" ht="15.75" customHeight="1" x14ac:dyDescent="0.25">
      <c r="A8560" s="2" t="s">
        <v>8562</v>
      </c>
      <c r="B8560" s="3" t="s">
        <v>4</v>
      </c>
      <c r="C8560" s="2" t="str">
        <f ca="1">IFERROR(__xludf.DUMMYFUNCTION("GOOGLETRANSLATE(A8560,""bn"",""en"")"),"The designs of these earrings are very fancy and attractive")</f>
        <v>The designs of these earrings are very fancy and attractive</v>
      </c>
    </row>
    <row r="8561" spans="1:3" ht="15.75" customHeight="1" x14ac:dyDescent="0.25">
      <c r="A8561" s="2" t="s">
        <v>8563</v>
      </c>
      <c r="B8561" s="3" t="s">
        <v>2</v>
      </c>
      <c r="C8561" s="2" t="str">
        <f ca="1">IFERROR(__xludf.DUMMYFUNCTION("GOOGLETRANSLATE(A8561,""bn"",""en"")"),"Fit is ok but nothing special")</f>
        <v>Fit is ok but nothing special</v>
      </c>
    </row>
    <row r="8562" spans="1:3" ht="15.75" customHeight="1" x14ac:dyDescent="0.25">
      <c r="A8562" s="2" t="s">
        <v>8564</v>
      </c>
      <c r="B8562" s="3" t="s">
        <v>2</v>
      </c>
      <c r="C8562" s="2" t="str">
        <f ca="1">IFERROR(__xludf.DUMMYFUNCTION("GOOGLETRANSLATE(A8562,""bn"",""en"")"),"Soft but not as comfortable as expected")</f>
        <v>Soft but not as comfortable as expected</v>
      </c>
    </row>
    <row r="8563" spans="1:3" ht="15.75" customHeight="1" x14ac:dyDescent="0.25">
      <c r="A8563" s="2" t="s">
        <v>8565</v>
      </c>
      <c r="B8563" s="3" t="s">
        <v>6</v>
      </c>
      <c r="C8563" s="2" t="str">
        <f ca="1">IFERROR(__xludf.DUMMYFUNCTION("GOOGLETRANSLATE(A8563,""bn"",""en"")"),"  The exfoliant smelled terrible and didn't improve my skin texture")</f>
        <v xml:space="preserve">  The exfoliant smelled terrible and didn't improve my skin texture</v>
      </c>
    </row>
    <row r="8564" spans="1:3" ht="15.75" customHeight="1" x14ac:dyDescent="0.25">
      <c r="A8564" s="2" t="s">
        <v>8566</v>
      </c>
      <c r="B8564" s="3" t="s">
        <v>6</v>
      </c>
      <c r="C8564" s="2" t="str">
        <f ca="1">IFERROR(__xludf.DUMMYFUNCTION("GOOGLETRANSLATE(A8564,""bn"",""en"")"),"  The oil felt very heavy and stained my clothes")</f>
        <v xml:space="preserve">  The oil felt very heavy and stained my clothes</v>
      </c>
    </row>
    <row r="8565" spans="1:3" ht="15.75" customHeight="1" x14ac:dyDescent="0.25">
      <c r="A8565" s="2" t="s">
        <v>8567</v>
      </c>
      <c r="B8565" s="3" t="s">
        <v>6</v>
      </c>
      <c r="C8565" s="2" t="str">
        <f ca="1">IFERROR(__xludf.DUMMYFUNCTION("GOOGLETRANSLATE(A8565,""bn"",""en"")")," The sound signature is unbalanced with overpowering bass or piercing treble that causes listener fatigue over time")</f>
        <v xml:space="preserve"> The sound signature is unbalanced with overpowering bass or piercing treble that causes listener fatigue over time</v>
      </c>
    </row>
    <row r="8566" spans="1:3" ht="15.75" customHeight="1" x14ac:dyDescent="0.25">
      <c r="A8566" s="2" t="s">
        <v>8568</v>
      </c>
      <c r="B8566" s="3" t="s">
        <v>6</v>
      </c>
      <c r="C8566" s="2" t="str">
        <f ca="1">IFERROR(__xludf.DUMMYFUNCTION("GOOGLETRANSLATE(A8566,""bn"",""en"")"),"The suction cups of the bath mat do not fit properly causing it to slide around")</f>
        <v>The suction cups of the bath mat do not fit properly causing it to slide around</v>
      </c>
    </row>
    <row r="8567" spans="1:3" ht="15.75" customHeight="1" x14ac:dyDescent="0.25">
      <c r="A8567" s="2" t="s">
        <v>8569</v>
      </c>
      <c r="B8567" s="3" t="s">
        <v>2</v>
      </c>
      <c r="C8567" s="2" t="str">
        <f ca="1">IFERROR(__xludf.DUMMYFUNCTION("GOOGLETRANSLATE(A8567,""bn"",""en"")"),"Some new information is revealed but the presentation could have been more interesting")</f>
        <v>Some new information is revealed but the presentation could have been more interesting</v>
      </c>
    </row>
    <row r="8568" spans="1:3" ht="15.75" customHeight="1" x14ac:dyDescent="0.25">
      <c r="A8568" s="2" t="s">
        <v>8570</v>
      </c>
      <c r="B8568" s="3" t="s">
        <v>2</v>
      </c>
      <c r="C8568" s="2" t="str">
        <f ca="1">IFERROR(__xludf.DUMMYFUNCTION("GOOGLETRANSLATE(A8568,""bn"",""en"")"),"A mop can dry the floor quickly but is a bit inconvenient")</f>
        <v>A mop can dry the floor quickly but is a bit inconvenient</v>
      </c>
    </row>
    <row r="8569" spans="1:3" ht="15.75" customHeight="1" x14ac:dyDescent="0.25">
      <c r="A8569" s="2" t="s">
        <v>8571</v>
      </c>
      <c r="B8569" s="3" t="s">
        <v>4</v>
      </c>
      <c r="C8569" s="2" t="str">
        <f ca="1">IFERROR(__xludf.DUMMYFUNCTION("GOOGLETRANSLATE(A8569,""bn"",""en"")"),"The wardrobe design is a beautiful blend of modern and classic styles")</f>
        <v>The wardrobe design is a beautiful blend of modern and classic styles</v>
      </c>
    </row>
    <row r="8570" spans="1:3" ht="15.75" customHeight="1" x14ac:dyDescent="0.25">
      <c r="A8570" s="2" t="s">
        <v>8572</v>
      </c>
      <c r="B8570" s="3" t="s">
        <v>6</v>
      </c>
      <c r="C8570" s="2" t="str">
        <f ca="1">IFERROR(__xludf.DUMMYFUNCTION("GOOGLETRANSLATE(A8570,""bn"",""en"")"),"The seams of the gardening gloves came apart after a few uses leaving my hands exposed to thorns")</f>
        <v>The seams of the gardening gloves came apart after a few uses leaving my hands exposed to thorns</v>
      </c>
    </row>
    <row r="8571" spans="1:3" ht="15.75" customHeight="1" x14ac:dyDescent="0.25">
      <c r="A8571" s="2" t="s">
        <v>8573</v>
      </c>
      <c r="B8571" s="3" t="s">
        <v>4</v>
      </c>
      <c r="C8571" s="2" t="str">
        <f ca="1">IFERROR(__xludf.DUMMYFUNCTION("GOOGLETRANSLATE(A8571,""bn"",""en"")"),"Very light plug quality good value")</f>
        <v>Very light plug quality good value</v>
      </c>
    </row>
    <row r="8572" spans="1:3" ht="15.75" customHeight="1" x14ac:dyDescent="0.25">
      <c r="A8572" s="2" t="s">
        <v>8574</v>
      </c>
      <c r="B8572" s="3" t="s">
        <v>2</v>
      </c>
      <c r="C8572" s="2" t="str">
        <f ca="1">IFERROR(__xludf.DUMMYFUNCTION("GOOGLETRANSLATE(A8572,""bn"",""en"")"),"Easy to store but takes up space")</f>
        <v>Easy to store but takes up space</v>
      </c>
    </row>
    <row r="8573" spans="1:3" ht="15.75" customHeight="1" x14ac:dyDescent="0.25">
      <c r="A8573" s="2" t="s">
        <v>8575</v>
      </c>
      <c r="B8573" s="3" t="s">
        <v>4</v>
      </c>
      <c r="C8573" s="2" t="str">
        <f ca="1">IFERROR(__xludf.DUMMYFUNCTION("GOOGLETRANSLATE(A8573,""bn"",""en"")"),"It enhances the perfection of makeup")</f>
        <v>It enhances the perfection of makeup</v>
      </c>
    </row>
    <row r="8574" spans="1:3" ht="15.75" customHeight="1" x14ac:dyDescent="0.25">
      <c r="A8574" s="2" t="s">
        <v>8576</v>
      </c>
      <c r="B8574" s="3" t="s">
        <v>2</v>
      </c>
      <c r="C8574" s="2" t="str">
        <f ca="1">IFERROR(__xludf.DUMMYFUNCTION("GOOGLETRANSLATE(A8574,""bn"",""en"")"),"Although some benefit was observed, the effect of the fertilizer was not much")</f>
        <v>Although some benefit was observed, the effect of the fertilizer was not much</v>
      </c>
    </row>
    <row r="8575" spans="1:3" ht="15.75" customHeight="1" x14ac:dyDescent="0.25">
      <c r="A8575" s="2" t="s">
        <v>8577</v>
      </c>
      <c r="B8575" s="3" t="s">
        <v>6</v>
      </c>
      <c r="C8575" s="2" t="str">
        <f ca="1">IFERROR(__xludf.DUMMYFUNCTION("GOOGLETRANSLATE(A8575,""bn"",""en"")"),"Not solid metal construction but plastic")</f>
        <v>Not solid metal construction but plastic</v>
      </c>
    </row>
    <row r="8576" spans="1:3" ht="15.75" customHeight="1" x14ac:dyDescent="0.25">
      <c r="A8576" s="2" t="s">
        <v>8578</v>
      </c>
      <c r="B8576" s="3" t="s">
        <v>6</v>
      </c>
      <c r="C8576" s="2" t="str">
        <f ca="1">IFERROR(__xludf.DUMMYFUNCTION("GOOGLETRANSLATE(A8576,""bn"",""en"")"),"Electric pressure cooker lid does not seal properly and steam escapes")</f>
        <v>Electric pressure cooker lid does not seal properly and steam escapes</v>
      </c>
    </row>
    <row r="8577" spans="1:3" ht="15.75" customHeight="1" x14ac:dyDescent="0.25">
      <c r="A8577" s="2" t="s">
        <v>8579</v>
      </c>
      <c r="B8577" s="3" t="s">
        <v>4</v>
      </c>
      <c r="C8577" s="2" t="str">
        <f ca="1">IFERROR(__xludf.DUMMYFUNCTION("GOOGLETRANSLATE(A8577,""bn"",""en"")"),"The auto restart feature restarts the AC when the power goes out")</f>
        <v>The auto restart feature restarts the AC when the power goes out</v>
      </c>
    </row>
    <row r="8578" spans="1:3" ht="15.75" customHeight="1" x14ac:dyDescent="0.25">
      <c r="A8578" s="2" t="s">
        <v>8580</v>
      </c>
      <c r="B8578" s="3" t="s">
        <v>6</v>
      </c>
      <c r="C8578" s="2" t="str">
        <f ca="1">IFERROR(__xludf.DUMMYFUNCTION("GOOGLETRANSLATE(A8578,""bn"",""en"")"),"  The scrub had sharp exfoliating particles that felt like sandpaper")</f>
        <v xml:space="preserve">  The scrub had sharp exfoliating particles that felt like sandpaper</v>
      </c>
    </row>
    <row r="8579" spans="1:3" ht="15.75" customHeight="1" x14ac:dyDescent="0.25">
      <c r="A8579" s="2" t="s">
        <v>8581</v>
      </c>
      <c r="B8579" s="3" t="s">
        <v>6</v>
      </c>
      <c r="C8579" s="2" t="str">
        <f ca="1">IFERROR(__xludf.DUMMYFUNCTION("GOOGLETRANSLATE(A8579,""bn"",""en"")"),"Despite initial promise, the tee quickly loses its shape and becomes baggy and shapeless after just a few wears")</f>
        <v>Despite initial promise, the tee quickly loses its shape and becomes baggy and shapeless after just a few wears</v>
      </c>
    </row>
    <row r="8580" spans="1:3" ht="15.75" customHeight="1" x14ac:dyDescent="0.25">
      <c r="A8580" s="2" t="s">
        <v>8582</v>
      </c>
      <c r="B8580" s="3" t="s">
        <v>6</v>
      </c>
      <c r="C8580" s="2" t="str">
        <f ca="1">IFERROR(__xludf.DUMMYFUNCTION("GOOGLETRANSLATE(A8580,""bn"",""en"")"),"The mattress retains heat making it uncomfortably warm to sleep in, especially in hot weather")</f>
        <v>The mattress retains heat making it uncomfortably warm to sleep in, especially in hot weather</v>
      </c>
    </row>
    <row r="8581" spans="1:3" ht="15.75" customHeight="1" x14ac:dyDescent="0.25">
      <c r="A8581" s="2" t="s">
        <v>8583</v>
      </c>
      <c r="B8581" s="3" t="s">
        <v>6</v>
      </c>
      <c r="C8581" s="2" t="str">
        <f ca="1">IFERROR(__xludf.DUMMYFUNCTION("GOOGLETRANSLATE(A8581,""bn"",""en"")")," The straps of the bag were uncomfortable to wear for long periods of time which caused my shoulders to ache and ache after a long day of commuting.")</f>
        <v xml:space="preserve"> The straps of the bag were uncomfortable to wear for long periods of time which caused my shoulders to ache and ache after a long day of commuting.</v>
      </c>
    </row>
    <row r="8582" spans="1:3" ht="15.75" customHeight="1" x14ac:dyDescent="0.25">
      <c r="A8582" s="2" t="s">
        <v>8584</v>
      </c>
      <c r="B8582" s="3" t="s">
        <v>6</v>
      </c>
      <c r="C8582" s="2" t="str">
        <f ca="1">IFERROR(__xludf.DUMMYFUNCTION("GOOGLETRANSLATE(A8582,""bn"",""en"")")," The folding prong mechanism is loose and does not close, creating a risk of damage during storage")</f>
        <v xml:space="preserve"> The folding prong mechanism is loose and does not close, creating a risk of damage during storage</v>
      </c>
    </row>
    <row r="8583" spans="1:3" ht="15.75" customHeight="1" x14ac:dyDescent="0.25">
      <c r="A8583" s="2" t="s">
        <v>8585</v>
      </c>
      <c r="B8583" s="3" t="s">
        <v>6</v>
      </c>
      <c r="C8583" s="2" t="str">
        <f ca="1">IFERROR(__xludf.DUMMYFUNCTION("GOOGLETRANSLATE(A8583,""bn"",""en"")"),"Hair oil weighed my hair down making it look flat and greasy")</f>
        <v>Hair oil weighed my hair down making it look flat and greasy</v>
      </c>
    </row>
    <row r="8584" spans="1:3" ht="15.75" customHeight="1" x14ac:dyDescent="0.25">
      <c r="A8584" s="2" t="s">
        <v>8586</v>
      </c>
      <c r="B8584" s="3" t="s">
        <v>2</v>
      </c>
      <c r="C8584" s="2" t="str">
        <f ca="1">IFERROR(__xludf.DUMMYFUNCTION("GOOGLETRANSLATE(A8584,""bn"",""en"")"),"Sunscreen protects the skin from the heat of the sun, but after some time, the skin may become oily")</f>
        <v>Sunscreen protects the skin from the heat of the sun, but after some time, the skin may become oily</v>
      </c>
    </row>
    <row r="8585" spans="1:3" ht="15.75" customHeight="1" x14ac:dyDescent="0.25">
      <c r="A8585" s="2" t="s">
        <v>8587</v>
      </c>
      <c r="B8585" s="3" t="s">
        <v>4</v>
      </c>
      <c r="C8585" s="2" t="str">
        <f ca="1">IFERROR(__xludf.DUMMYFUNCTION("GOOGLETRANSLATE(A8585,""bn"",""en"")"),"Great little camera for the price")</f>
        <v>Great little camera for the price</v>
      </c>
    </row>
    <row r="8586" spans="1:3" ht="15.75" customHeight="1" x14ac:dyDescent="0.25">
      <c r="A8586" s="2" t="s">
        <v>8588</v>
      </c>
      <c r="B8586" s="3" t="s">
        <v>4</v>
      </c>
      <c r="C8586" s="2" t="str">
        <f ca="1">IFERROR(__xludf.DUMMYFUNCTION("GOOGLETRANSLATE(A8586,""bn"",""en"")"),"Stylish to look at and durable to use")</f>
        <v>Stylish to look at and durable to use</v>
      </c>
    </row>
    <row r="8587" spans="1:3" ht="15.75" customHeight="1" x14ac:dyDescent="0.25">
      <c r="A8587" s="2" t="s">
        <v>8589</v>
      </c>
      <c r="B8587" s="3" t="s">
        <v>6</v>
      </c>
      <c r="C8587" s="2" t="str">
        <f ca="1">IFERROR(__xludf.DUMMYFUNCTION("GOOGLETRANSLATE(A8587,""bn"",""en"")"),"The set's packaging was excessively contributing to environmental waste")</f>
        <v>The set's packaging was excessively contributing to environmental waste</v>
      </c>
    </row>
    <row r="8588" spans="1:3" ht="15.75" customHeight="1" x14ac:dyDescent="0.25">
      <c r="A8588" s="2" t="s">
        <v>8590</v>
      </c>
      <c r="B8588" s="3" t="s">
        <v>4</v>
      </c>
      <c r="C8588" s="2" t="str">
        <f ca="1">IFERROR(__xludf.DUMMYFUNCTION("GOOGLETRANSLATE(A8588,""bn"",""en"")"),"The packaging is attractive")</f>
        <v>The packaging is attractive</v>
      </c>
    </row>
    <row r="8589" spans="1:3" ht="15.75" customHeight="1" x14ac:dyDescent="0.25">
      <c r="A8589" s="2" t="s">
        <v>8591</v>
      </c>
      <c r="B8589" s="3" t="s">
        <v>2</v>
      </c>
      <c r="C8589" s="2" t="str">
        <f ca="1">IFERROR(__xludf.DUMMYFUNCTION("GOOGLETRANSLATE(A8589,""bn"",""en"")"),"Be careful while pouring hot water")</f>
        <v>Be careful while pouring hot water</v>
      </c>
    </row>
    <row r="8590" spans="1:3" ht="15.75" customHeight="1" x14ac:dyDescent="0.25">
      <c r="A8590" s="2" t="s">
        <v>8592</v>
      </c>
      <c r="B8590" s="3" t="s">
        <v>4</v>
      </c>
      <c r="C8590" s="2" t="str">
        <f ca="1">IFERROR(__xludf.DUMMYFUNCTION("GOOGLETRANSLATE(A8590,""bn"",""en"")"),"Suitable for water color")</f>
        <v>Suitable for water color</v>
      </c>
    </row>
    <row r="8591" spans="1:3" ht="15.75" customHeight="1" x14ac:dyDescent="0.25">
      <c r="A8591" s="2" t="s">
        <v>8593</v>
      </c>
      <c r="B8591" s="3" t="s">
        <v>4</v>
      </c>
      <c r="C8591" s="2" t="str">
        <f ca="1">IFERROR(__xludf.DUMMYFUNCTION("GOOGLETRANSLATE(A8591,""bn"",""en"")"),"Strong and durable")</f>
        <v>Strong and durable</v>
      </c>
    </row>
    <row r="8592" spans="1:3" ht="15.75" customHeight="1" x14ac:dyDescent="0.25">
      <c r="A8592" s="2" t="s">
        <v>8594</v>
      </c>
      <c r="B8592" s="3" t="s">
        <v>6</v>
      </c>
      <c r="C8592" s="2" t="str">
        <f ca="1">IFERROR(__xludf.DUMMYFUNCTION("GOOGLETRANSLATE(A8592,""bn"",""en"")"),"Hairspray failed to hold my hairstyle leaving it flat and lacking volume")</f>
        <v>Hairspray failed to hold my hairstyle leaving it flat and lacking volume</v>
      </c>
    </row>
    <row r="8593" spans="1:3" ht="15.75" customHeight="1" x14ac:dyDescent="0.25">
      <c r="A8593" s="2" t="s">
        <v>8595</v>
      </c>
      <c r="B8593" s="3" t="s">
        <v>6</v>
      </c>
      <c r="C8593" s="2" t="str">
        <f ca="1">IFERROR(__xludf.DUMMYFUNCTION("GOOGLETRANSLATE(A8593,""bn"",""en"")"),"The instant noodles were overly salty and left a lingering aftertaste of MSG")</f>
        <v>The instant noodles were overly salty and left a lingering aftertaste of MSG</v>
      </c>
    </row>
    <row r="8594" spans="1:3" ht="15.75" customHeight="1" x14ac:dyDescent="0.25">
      <c r="A8594" s="2" t="s">
        <v>8596</v>
      </c>
      <c r="B8594" s="3" t="s">
        <v>4</v>
      </c>
      <c r="C8594" s="2" t="str">
        <f ca="1">IFERROR(__xludf.DUMMYFUNCTION("GOOGLETRANSLATE(A8594,""bn"",""en"")"),"Nice though")</f>
        <v>Nice though</v>
      </c>
    </row>
    <row r="8595" spans="1:3" ht="15.75" customHeight="1" x14ac:dyDescent="0.25">
      <c r="A8595" s="2" t="s">
        <v>8597</v>
      </c>
      <c r="B8595" s="3" t="s">
        <v>4</v>
      </c>
      <c r="C8595" s="2" t="str">
        <f ca="1">IFERROR(__xludf.DUMMYFUNCTION("GOOGLETRANSLATE(A8595,""bn"",""en"")"),"The vase weighs less and can be easily moved")</f>
        <v>The vase weighs less and can be easily moved</v>
      </c>
    </row>
    <row r="8596" spans="1:3" ht="15.75" customHeight="1" x14ac:dyDescent="0.25">
      <c r="A8596" s="2" t="s">
        <v>8598</v>
      </c>
      <c r="B8596" s="3" t="s">
        <v>2</v>
      </c>
      <c r="C8596" s="2" t="str">
        <f ca="1">IFERROR(__xludf.DUMMYFUNCTION("GOOGLETRANSLATE(A8596,""bn"",""en"")"),"It is helpful but limited in developing the child's social skills")</f>
        <v>It is helpful but limited in developing the child's social skills</v>
      </c>
    </row>
    <row r="8597" spans="1:3" ht="15.75" customHeight="1" x14ac:dyDescent="0.25">
      <c r="A8597" s="2" t="s">
        <v>8599</v>
      </c>
      <c r="B8597" s="3" t="s">
        <v>4</v>
      </c>
      <c r="C8597" s="2" t="str">
        <f ca="1">IFERROR(__xludf.DUMMYFUNCTION("GOOGLETRANSLATE(A8597,""bn"",""en"")"),"The notification management of the mobile is excellent")</f>
        <v>The notification management of the mobile is excellent</v>
      </c>
    </row>
    <row r="8598" spans="1:3" ht="15.75" customHeight="1" x14ac:dyDescent="0.25">
      <c r="A8598" s="2" t="s">
        <v>8600</v>
      </c>
      <c r="B8598" s="3" t="s">
        <v>4</v>
      </c>
      <c r="C8598" s="2" t="str">
        <f ca="1">IFERROR(__xludf.DUMMYFUNCTION("GOOGLETRANSLATE(A8598,""bn"",""en"")"),"Received a very useful supplement very quickly and at a very low price in the campaign")</f>
        <v>Received a very useful supplement very quickly and at a very low price in the campaign</v>
      </c>
    </row>
    <row r="8599" spans="1:3" ht="15.75" customHeight="1" x14ac:dyDescent="0.25">
      <c r="A8599" s="2" t="s">
        <v>8601</v>
      </c>
      <c r="B8599" s="3" t="s">
        <v>6</v>
      </c>
      <c r="C8599" s="2" t="str">
        <f ca="1">IFERROR(__xludf.DUMMYFUNCTION("GOOGLETRANSLATE(A8599,""bn"",""en"")"),"  The serum caused me to break out in hives")</f>
        <v xml:space="preserve">  The serum caused me to break out in hives</v>
      </c>
    </row>
    <row r="8600" spans="1:3" ht="15.75" customHeight="1" x14ac:dyDescent="0.25">
      <c r="A8600" s="2" t="s">
        <v>8602</v>
      </c>
      <c r="B8600" s="3" t="s">
        <v>6</v>
      </c>
      <c r="C8600" s="2" t="str">
        <f ca="1">IFERROR(__xludf.DUMMYFUNCTION("GOOGLETRANSLATE(A8600,""bn"",""en"")"),"The Leavein conditioner makes my hair feel heavy and dull")</f>
        <v>The Leavein conditioner makes my hair feel heavy and dull</v>
      </c>
    </row>
    <row r="8601" spans="1:3" ht="15.75" customHeight="1" x14ac:dyDescent="0.25">
      <c r="A8601" s="2" t="s">
        <v>8603</v>
      </c>
      <c r="B8601" s="3" t="s">
        <v>2</v>
      </c>
      <c r="C8601" s="2" t="str">
        <f ca="1">IFERROR(__xludf.DUMMYFUNCTION("GOOGLETRANSLATE(A8601,""bn"",""en"")"),"It cools down shortly after unplugging")</f>
        <v>It cools down shortly after unplugging</v>
      </c>
    </row>
    <row r="8602" spans="1:3" ht="15.75" customHeight="1" x14ac:dyDescent="0.25">
      <c r="A8602" s="2" t="s">
        <v>8604</v>
      </c>
      <c r="B8602" s="3" t="s">
        <v>2</v>
      </c>
      <c r="C8602" s="2" t="str">
        <f ca="1">IFERROR(__xludf.DUMMYFUNCTION("GOOGLETRANSLATE(A8602,""bn"",""en"")"),"Pad sizes are slightly different")</f>
        <v>Pad sizes are slightly different</v>
      </c>
    </row>
    <row r="8603" spans="1:3" ht="15.75" customHeight="1" x14ac:dyDescent="0.25">
      <c r="A8603" s="2" t="s">
        <v>8605</v>
      </c>
      <c r="B8603" s="3" t="s">
        <v>4</v>
      </c>
      <c r="C8603" s="2" t="str">
        <f ca="1">IFERROR(__xludf.DUMMYFUNCTION("GOOGLETRANSLATE(A8603,""bn"",""en"")"),"The product is very good. After using it for a long time, I realized that the weight of the product is very good. Everyone can use it. Masha Allah, it is very good.")</f>
        <v>The product is very good. After using it for a long time, I realized that the weight of the product is very good. Everyone can use it. Masha Allah, it is very good.</v>
      </c>
    </row>
    <row r="8604" spans="1:3" ht="15.75" customHeight="1" x14ac:dyDescent="0.25">
      <c r="A8604" s="2" t="s">
        <v>8606</v>
      </c>
      <c r="B8604" s="3" t="s">
        <v>4</v>
      </c>
      <c r="C8604" s="2" t="str">
        <f ca="1">IFERROR(__xludf.DUMMYFUNCTION("GOOGLETRANSLATE(A8604,""bn"",""en"")"),"It is quite sturdy so I am sure it will last a long time")</f>
        <v>It is quite sturdy so I am sure it will last a long time</v>
      </c>
    </row>
    <row r="8605" spans="1:3" ht="15.75" customHeight="1" x14ac:dyDescent="0.25">
      <c r="A8605" s="2" t="s">
        <v>8607</v>
      </c>
      <c r="B8605" s="3" t="s">
        <v>6</v>
      </c>
      <c r="C8605" s="2" t="str">
        <f ca="1">IFERROR(__xludf.DUMMYFUNCTION("GOOGLETRANSLATE(A8605,""bn"",""en"")"),"The product lacked durability and broke after minimal use")</f>
        <v>The product lacked durability and broke after minimal use</v>
      </c>
    </row>
    <row r="8606" spans="1:3" ht="15.75" customHeight="1" x14ac:dyDescent="0.25">
      <c r="A8606" s="2" t="s">
        <v>8608</v>
      </c>
      <c r="B8606" s="3" t="s">
        <v>2</v>
      </c>
      <c r="C8606" s="2" t="str">
        <f ca="1">IFERROR(__xludf.DUMMYFUNCTION("GOOGLETRANSLATE(A8606,""bn"",""en"")"),"Suitable for children of various ages but not for very young children")</f>
        <v>Suitable for children of various ages but not for very young children</v>
      </c>
    </row>
    <row r="8607" spans="1:3" ht="15.75" customHeight="1" x14ac:dyDescent="0.25">
      <c r="A8607" s="2" t="s">
        <v>8609</v>
      </c>
      <c r="B8607" s="3" t="s">
        <v>4</v>
      </c>
      <c r="C8607" s="2" t="str">
        <f ca="1">IFERROR(__xludf.DUMMYFUNCTION("GOOGLETRANSLATE(A8607,""bn"",""en"")"),"The screen of the new phone is very large and clear")</f>
        <v>The screen of the new phone is very large and clear</v>
      </c>
    </row>
    <row r="8608" spans="1:3" ht="15.75" customHeight="1" x14ac:dyDescent="0.25">
      <c r="A8608" s="2" t="s">
        <v>8610</v>
      </c>
      <c r="B8608" s="3" t="s">
        <v>4</v>
      </c>
      <c r="C8608" s="2" t="str">
        <f ca="1">IFERROR(__xludf.DUMMYFUNCTION("GOOGLETRANSLATE(A8608,""bn"",""en"")"),"The cover design of the book is very attractive")</f>
        <v>The cover design of the book is very attractive</v>
      </c>
    </row>
    <row r="8609" spans="1:3" ht="15.75" customHeight="1" x14ac:dyDescent="0.25">
      <c r="A8609" s="2" t="s">
        <v>8611</v>
      </c>
      <c r="B8609" s="3" t="s">
        <v>4</v>
      </c>
      <c r="C8609" s="2" t="str">
        <f ca="1">IFERROR(__xludf.DUMMYFUNCTION("GOOGLETRANSLATE(A8609,""bn"",""en"")")," Products bought from Daraz are always good thanks Daraz")</f>
        <v xml:space="preserve"> Products bought from Daraz are always good thanks Daraz</v>
      </c>
    </row>
    <row r="8610" spans="1:3" ht="15.75" customHeight="1" x14ac:dyDescent="0.25">
      <c r="A8610" s="2" t="s">
        <v>8612</v>
      </c>
      <c r="B8610" s="3" t="s">
        <v>2</v>
      </c>
      <c r="C8610" s="2" t="str">
        <f ca="1">IFERROR(__xludf.DUMMYFUNCTION("GOOGLETRANSLATE(A8610,""bn"",""en"")"),"The cable is a bit tight and cannot be easily bent")</f>
        <v>The cable is a bit tight and cannot be easily bent</v>
      </c>
    </row>
    <row r="8611" spans="1:3" ht="15.75" customHeight="1" x14ac:dyDescent="0.25">
      <c r="A8611" s="2" t="s">
        <v>8613</v>
      </c>
      <c r="B8611" s="3" t="s">
        <v>2</v>
      </c>
      <c r="C8611" s="2" t="str">
        <f ca="1">IFERROR(__xludf.DUMMYFUNCTION("GOOGLETRANSLATE(A8611,""bn"",""en"")"),"They lock and don't fall out Some may be too tight for pins")</f>
        <v>They lock and don't fall out Some may be too tight for pins</v>
      </c>
    </row>
    <row r="8612" spans="1:3" ht="15.75" customHeight="1" x14ac:dyDescent="0.25">
      <c r="A8612" s="2" t="s">
        <v>8614</v>
      </c>
      <c r="B8612" s="3" t="s">
        <v>2</v>
      </c>
      <c r="C8612" s="2" t="str">
        <f ca="1">IFERROR(__xludf.DUMMYFUNCTION("GOOGLETRANSLATE(A8612,""bn"",""en"")"),"The zippers were fine but overall a little bad")</f>
        <v>The zippers were fine but overall a little bad</v>
      </c>
    </row>
    <row r="8613" spans="1:3" ht="15.75" customHeight="1" x14ac:dyDescent="0.25">
      <c r="A8613" s="2" t="s">
        <v>8615</v>
      </c>
      <c r="B8613" s="3" t="s">
        <v>6</v>
      </c>
      <c r="C8613" s="2" t="str">
        <f ca="1">IFERROR(__xludf.DUMMYFUNCTION("GOOGLETRANSLATE(A8613,""bn"",""en"")"),"The sole is slippery on smooth surfaces creating a risk of slipping and injury")</f>
        <v>The sole is slippery on smooth surfaces creating a risk of slipping and injury</v>
      </c>
    </row>
    <row r="8614" spans="1:3" ht="15.75" customHeight="1" x14ac:dyDescent="0.25">
      <c r="A8614" s="2" t="s">
        <v>8616</v>
      </c>
      <c r="B8614" s="3" t="s">
        <v>6</v>
      </c>
      <c r="C8614" s="2" t="str">
        <f ca="1">IFERROR(__xludf.DUMMYFUNCTION("GOOGLETRANSLATE(A8614,""bn"",""en"")"),"Mattress covers are cheaply made and easily tear and damage the inner layers")</f>
        <v>Mattress covers are cheaply made and easily tear and damage the inner layers</v>
      </c>
    </row>
    <row r="8615" spans="1:3" ht="15.75" customHeight="1" x14ac:dyDescent="0.25">
      <c r="A8615" s="2" t="s">
        <v>8617</v>
      </c>
      <c r="B8615" s="3" t="s">
        <v>4</v>
      </c>
      <c r="C8615" s="2" t="str">
        <f ca="1">IFERROR(__xludf.DUMMYFUNCTION("GOOGLETRANSLATE(A8615,""bn"",""en"")"),"It is very useful for dental health ")</f>
        <v xml:space="preserve">It is very useful for dental health </v>
      </c>
    </row>
    <row r="8616" spans="1:3" ht="15.75" customHeight="1" x14ac:dyDescent="0.25">
      <c r="A8616" s="2" t="s">
        <v>8618</v>
      </c>
      <c r="B8616" s="3" t="s">
        <v>2</v>
      </c>
      <c r="C8616" s="2" t="str">
        <f ca="1">IFERROR(__xludf.DUMMYFUNCTION("GOOGLETRANSLATE(A8616,""bn"",""en"")"),"It shuts off when it overheats")</f>
        <v>It shuts off when it overheats</v>
      </c>
    </row>
    <row r="8617" spans="1:3" ht="15.75" customHeight="1" x14ac:dyDescent="0.25">
      <c r="A8617" s="2" t="s">
        <v>8619</v>
      </c>
      <c r="B8617" s="3" t="s">
        <v>6</v>
      </c>
      <c r="C8617" s="2" t="str">
        <f ca="1">IFERROR(__xludf.DUMMYFUNCTION("GOOGLETRANSLATE(A8617,""bn"",""en"")"),"Despite its hefty price tag, the jewelry felt cheap and flimsy, failing to live up to its promised quality.")</f>
        <v>Despite its hefty price tag, the jewelry felt cheap and flimsy, failing to live up to its promised quality.</v>
      </c>
    </row>
    <row r="8618" spans="1:3" ht="15.75" customHeight="1" x14ac:dyDescent="0.25">
      <c r="A8618" s="2" t="s">
        <v>8620</v>
      </c>
      <c r="B8618" s="3" t="s">
        <v>6</v>
      </c>
      <c r="C8618" s="2" t="str">
        <f ca="1">IFERROR(__xludf.DUMMYFUNCTION("GOOGLETRANSLATE(A8618,""bn"",""en"")")," The charging port is fickle and prone to damage resulting in charging difficulties and potential long-term problems")</f>
        <v xml:space="preserve"> The charging port is fickle and prone to damage resulting in charging difficulties and potential long-term problems</v>
      </c>
    </row>
    <row r="8619" spans="1:3" ht="15.75" customHeight="1" x14ac:dyDescent="0.25">
      <c r="A8619" s="2" t="s">
        <v>8621</v>
      </c>
      <c r="B8619" s="3" t="s">
        <v>6</v>
      </c>
      <c r="C8619" s="2" t="str">
        <f ca="1">IFERROR(__xludf.DUMMYFUNCTION("GOOGLETRANSLATE(A8619,""bn"",""en"")"),"The microwave is annoyingly disruptive, beeping loudly and incessantly when the timer runs out")</f>
        <v>The microwave is annoyingly disruptive, beeping loudly and incessantly when the timer runs out</v>
      </c>
    </row>
    <row r="8620" spans="1:3" ht="15.75" customHeight="1" x14ac:dyDescent="0.25">
      <c r="A8620" s="2" t="s">
        <v>8622</v>
      </c>
      <c r="B8620" s="3" t="s">
        <v>6</v>
      </c>
      <c r="C8620" s="2" t="str">
        <f ca="1">IFERROR(__xludf.DUMMYFUNCTION("GOOGLETRANSLATE(A8620,""bn"",""en"")"),"Zippers get stuck or break easily")</f>
        <v>Zippers get stuck or break easily</v>
      </c>
    </row>
    <row r="8621" spans="1:3" ht="15.75" customHeight="1" x14ac:dyDescent="0.25">
      <c r="A8621" s="2" t="s">
        <v>8623</v>
      </c>
      <c r="B8621" s="3" t="s">
        <v>2</v>
      </c>
      <c r="C8621" s="2" t="str">
        <f ca="1">IFERROR(__xludf.DUMMYFUNCTION("GOOGLETRANSLATE(A8621,""bn"",""en"")"),"The processor midrange suffers a bit in daily tasks with neat heavy gaming")</f>
        <v>The processor midrange suffers a bit in daily tasks with neat heavy gaming</v>
      </c>
    </row>
    <row r="8622" spans="1:3" ht="15.75" customHeight="1" x14ac:dyDescent="0.25">
      <c r="A8622" s="2" t="s">
        <v>8624</v>
      </c>
      <c r="B8622" s="3" t="s">
        <v>4</v>
      </c>
      <c r="C8622" s="2" t="str">
        <f ca="1">IFERROR(__xludf.DUMMYFUNCTION("GOOGLETRANSLATE(A8622,""bn"",""en"")"),"The absorbency and comfort of the pad impresses me every time")</f>
        <v>The absorbency and comfort of the pad impresses me every time</v>
      </c>
    </row>
    <row r="8623" spans="1:3" ht="15.75" customHeight="1" x14ac:dyDescent="0.25">
      <c r="A8623" s="2" t="s">
        <v>8625</v>
      </c>
      <c r="B8623" s="3" t="s">
        <v>2</v>
      </c>
      <c r="C8623" s="2" t="str">
        <f ca="1">IFERROR(__xludf.DUMMYFUNCTION("GOOGLETRANSLATE(A8623,""bn"",""en"")"),"Nice and reusable with some limitations")</f>
        <v>Nice and reusable with some limitations</v>
      </c>
    </row>
    <row r="8624" spans="1:3" ht="15.75" customHeight="1" x14ac:dyDescent="0.25">
      <c r="A8624" s="2" t="s">
        <v>8626</v>
      </c>
      <c r="B8624" s="3" t="s">
        <v>6</v>
      </c>
      <c r="C8624" s="2" t="str">
        <f ca="1">IFERROR(__xludf.DUMMYFUNCTION("GOOGLETRANSLATE(A8624,""bn"",""en"")")," The door hinge pin is loose causing the door to wobble when opened")</f>
        <v xml:space="preserve"> The door hinge pin is loose causing the door to wobble when opened</v>
      </c>
    </row>
    <row r="8625" spans="1:3" ht="15.75" customHeight="1" x14ac:dyDescent="0.25">
      <c r="A8625" s="2" t="s">
        <v>8627</v>
      </c>
      <c r="B8625" s="3" t="s">
        <v>4</v>
      </c>
      <c r="C8625" s="2" t="str">
        <f ca="1">IFERROR(__xludf.DUMMYFUNCTION("GOOGLETRANSLATE(A8625,""bn"",""en"")"),"Very effective in cleaning teeth and gums")</f>
        <v>Very effective in cleaning teeth and gums</v>
      </c>
    </row>
    <row r="8626" spans="1:3" ht="15.75" customHeight="1" x14ac:dyDescent="0.25">
      <c r="A8626" s="2" t="s">
        <v>8628</v>
      </c>
      <c r="B8626" s="3" t="s">
        <v>4</v>
      </c>
      <c r="C8626" s="2" t="str">
        <f ca="1">IFERROR(__xludf.DUMMYFUNCTION("GOOGLETRANSLATE(A8626,""bn"",""en"")"),"The structure seems solid")</f>
        <v>The structure seems solid</v>
      </c>
    </row>
    <row r="8627" spans="1:3" ht="15.75" customHeight="1" x14ac:dyDescent="0.25">
      <c r="A8627" s="2" t="s">
        <v>8629</v>
      </c>
      <c r="B8627" s="3" t="s">
        <v>6</v>
      </c>
      <c r="C8627" s="2" t="str">
        <f ca="1">IFERROR(__xludf.DUMMYFUNCTION("GOOGLETRANSLATE(A8627,""bn"",""en"")"),"     Shelves are flimsy and prone to bending under the weight of items placed on them")</f>
        <v xml:space="preserve">     Shelves are flimsy and prone to bending under the weight of items placed on them</v>
      </c>
    </row>
    <row r="8628" spans="1:3" ht="15.75" customHeight="1" x14ac:dyDescent="0.25">
      <c r="A8628" s="2" t="s">
        <v>8630</v>
      </c>
      <c r="B8628" s="3" t="s">
        <v>6</v>
      </c>
      <c r="C8628" s="2" t="str">
        <f ca="1">IFERROR(__xludf.DUMMYFUNCTION("GOOGLETRANSLATE(A8628,""bn"",""en"")"),"The performance of the product has deteriorated over time")</f>
        <v>The performance of the product has deteriorated over time</v>
      </c>
    </row>
    <row r="8629" spans="1:3" ht="15.75" customHeight="1" x14ac:dyDescent="0.25">
      <c r="A8629" s="2" t="s">
        <v>8631</v>
      </c>
      <c r="B8629" s="3" t="s">
        <v>4</v>
      </c>
      <c r="C8629" s="2" t="str">
        <f ca="1">IFERROR(__xludf.DUMMYFUNCTION("GOOGLETRANSLATE(A8629,""bn"",""en"")"),"Very clear picture and sound quality excellent very nice")</f>
        <v>Very clear picture and sound quality excellent very nice</v>
      </c>
    </row>
    <row r="8630" spans="1:3" ht="15.75" customHeight="1" x14ac:dyDescent="0.25">
      <c r="A8630" s="2" t="s">
        <v>8632</v>
      </c>
      <c r="B8630" s="3" t="s">
        <v>2</v>
      </c>
      <c r="C8630" s="2" t="str">
        <f ca="1">IFERROR(__xludf.DUMMYFUNCTION("GOOGLETRANSLATE(A8630,""bn"",""en"")"),"The design is attractive but the fabric is less durable")</f>
        <v>The design is attractive but the fabric is less durable</v>
      </c>
    </row>
    <row r="8631" spans="1:3" ht="15.75" customHeight="1" x14ac:dyDescent="0.25">
      <c r="A8631" s="2" t="s">
        <v>8633</v>
      </c>
      <c r="B8631" s="3" t="s">
        <v>4</v>
      </c>
      <c r="C8631" s="2" t="str">
        <f ca="1">IFERROR(__xludf.DUMMYFUNCTION("GOOGLETRANSLATE(A8631,""bn"",""en"")"),"Hair feels so good after using the shampoo")</f>
        <v>Hair feels so good after using the shampoo</v>
      </c>
    </row>
    <row r="8632" spans="1:3" ht="15.75" customHeight="1" x14ac:dyDescent="0.25">
      <c r="A8632" s="2" t="s">
        <v>8634</v>
      </c>
      <c r="B8632" s="3" t="s">
        <v>2</v>
      </c>
      <c r="C8632" s="2" t="str">
        <f ca="1">IFERROR(__xludf.DUMMYFUNCTION("GOOGLETRANSLATE(A8632,""bn"",""en"")"),"It is not very suitable for beginners")</f>
        <v>It is not very suitable for beginners</v>
      </c>
    </row>
    <row r="8633" spans="1:3" ht="15.75" customHeight="1" x14ac:dyDescent="0.25">
      <c r="A8633" s="2" t="s">
        <v>8635</v>
      </c>
      <c r="B8633" s="3" t="s">
        <v>4</v>
      </c>
      <c r="C8633" s="2" t="str">
        <f ca="1">IFERROR(__xludf.DUMMYFUNCTION("GOOGLETRANSLATE(A8633,""bn"",""en"")"),"The makeup kit is very useful for everyday use")</f>
        <v>The makeup kit is very useful for everyday use</v>
      </c>
    </row>
    <row r="8634" spans="1:3" ht="15.75" customHeight="1" x14ac:dyDescent="0.25">
      <c r="A8634" s="2" t="s">
        <v>8636</v>
      </c>
      <c r="B8634" s="3" t="s">
        <v>2</v>
      </c>
      <c r="C8634" s="2" t="str">
        <f ca="1">IFERROR(__xludf.DUMMYFUNCTION("GOOGLETRANSLATE(A8634,""bn"",""en"")"),"There is an attempt to experience different flavors but the flavors are not clear")</f>
        <v>There is an attempt to experience different flavors but the flavors are not clear</v>
      </c>
    </row>
    <row r="8635" spans="1:3" ht="15.75" customHeight="1" x14ac:dyDescent="0.25">
      <c r="A8635" s="2" t="s">
        <v>8637</v>
      </c>
      <c r="B8635" s="3" t="s">
        <v>6</v>
      </c>
      <c r="C8635" s="2" t="str">
        <f ca="1">IFERROR(__xludf.DUMMYFUNCTION("GOOGLETRANSLATE(A8635,""bn"",""en"")"),"The aroma was weak and inviting lacking the freshness of quality tea")</f>
        <v>The aroma was weak and inviting lacking the freshness of quality tea</v>
      </c>
    </row>
    <row r="8636" spans="1:3" ht="15.75" customHeight="1" x14ac:dyDescent="0.25">
      <c r="A8636" s="2" t="s">
        <v>8638</v>
      </c>
      <c r="B8636" s="3" t="s">
        <v>2</v>
      </c>
      <c r="C8636" s="2" t="str">
        <f ca="1">IFERROR(__xludf.DUMMYFUNCTION("GOOGLETRANSLATE(A8636,""bn"",""en"")"),"Solid Buy has mixed reviews")</f>
        <v>Solid Buy has mixed reviews</v>
      </c>
    </row>
    <row r="8637" spans="1:3" ht="15.75" customHeight="1" x14ac:dyDescent="0.25">
      <c r="A8637" s="2" t="s">
        <v>8639</v>
      </c>
      <c r="B8637" s="3" t="s">
        <v>4</v>
      </c>
      <c r="C8637" s="2" t="str">
        <f ca="1">IFERROR(__xludf.DUMMYFUNCTION("GOOGLETRANSLATE(A8637,""bn"",""en"")"),"I love the simplicity of the overall design of this dinner set as it easily fits any table setting.")</f>
        <v>I love the simplicity of the overall design of this dinner set as it easily fits any table setting.</v>
      </c>
    </row>
    <row r="8638" spans="1:3" ht="15.75" customHeight="1" x14ac:dyDescent="0.25">
      <c r="A8638" s="2" t="s">
        <v>8640</v>
      </c>
      <c r="B8638" s="3" t="s">
        <v>6</v>
      </c>
      <c r="C8638" s="2" t="str">
        <f ca="1">IFERROR(__xludf.DUMMYFUNCTION("GOOGLETRANSLATE(A8638,""bn"",""en"")"),"The foot cream has a strong medicinal smell that lingers long after application making it unpleasant to use")</f>
        <v>The foot cream has a strong medicinal smell that lingers long after application making it unpleasant to use</v>
      </c>
    </row>
    <row r="8639" spans="1:3" ht="15.75" customHeight="1" x14ac:dyDescent="0.25">
      <c r="A8639" s="2" t="s">
        <v>8641</v>
      </c>
      <c r="B8639" s="3" t="s">
        <v>4</v>
      </c>
      <c r="C8639" s="2" t="str">
        <f ca="1">IFERROR(__xludf.DUMMYFUNCTION("GOOGLETRANSLATE(A8639,""bn"",""en"")"),"Sitting on the lounge chair and reading a book is very comfortable")</f>
        <v>Sitting on the lounge chair and reading a book is very comfortable</v>
      </c>
    </row>
    <row r="8640" spans="1:3" ht="15.75" customHeight="1" x14ac:dyDescent="0.25">
      <c r="A8640" s="2" t="s">
        <v>8642</v>
      </c>
      <c r="B8640" s="3" t="s">
        <v>4</v>
      </c>
      <c r="C8640" s="2" t="str">
        <f ca="1">IFERROR(__xludf.DUMMYFUNCTION("GOOGLETRANSLATE(A8640,""bn"",""en"")"),"This body wash increases skin elasticity")</f>
        <v>This body wash increases skin elasticity</v>
      </c>
    </row>
    <row r="8641" spans="1:3" ht="15.75" customHeight="1" x14ac:dyDescent="0.25">
      <c r="A8641" s="2" t="s">
        <v>8643</v>
      </c>
      <c r="B8641" s="3" t="s">
        <v>2</v>
      </c>
      <c r="C8641" s="2" t="str">
        <f ca="1">IFERROR(__xludf.DUMMYFUNCTION("GOOGLETRANSLATE(A8641,""bn"",""en"")"),"The toothpaste formula contains calcium")</f>
        <v>The toothpaste formula contains calcium</v>
      </c>
    </row>
    <row r="8642" spans="1:3" ht="15.75" customHeight="1" x14ac:dyDescent="0.25">
      <c r="A8642" s="2" t="s">
        <v>8644</v>
      </c>
      <c r="B8642" s="3" t="s">
        <v>4</v>
      </c>
      <c r="C8642" s="2" t="str">
        <f ca="1">IFERROR(__xludf.DUMMYFUNCTION("GOOGLETRANSLATE(A8642,""bn"",""en"")"),"Our office boss is always helpful")</f>
        <v>Our office boss is always helpful</v>
      </c>
    </row>
    <row r="8643" spans="1:3" ht="15.75" customHeight="1" x14ac:dyDescent="0.25">
      <c r="A8643" s="2" t="s">
        <v>8645</v>
      </c>
      <c r="B8643" s="3" t="s">
        <v>2</v>
      </c>
      <c r="C8643" s="2" t="str">
        <f ca="1">IFERROR(__xludf.DUMMYFUNCTION("GOOGLETRANSLATE(A8643,""bn"",""en"")"),"Suitable for hanging decorations but not something durable")</f>
        <v>Suitable for hanging decorations but not something durable</v>
      </c>
    </row>
    <row r="8644" spans="1:3" ht="15.75" customHeight="1" x14ac:dyDescent="0.25">
      <c r="A8644" s="2" t="s">
        <v>8646</v>
      </c>
      <c r="B8644" s="3" t="s">
        <v>4</v>
      </c>
      <c r="C8644" s="2" t="str">
        <f ca="1">IFERROR(__xludf.DUMMYFUNCTION("GOOGLETRANSLATE(A8644,""bn"",""en"")"),"Its taste reminds me of the comfort of home")</f>
        <v>Its taste reminds me of the comfort of home</v>
      </c>
    </row>
    <row r="8645" spans="1:3" ht="15.75" customHeight="1" x14ac:dyDescent="0.25">
      <c r="A8645" s="2" t="s">
        <v>8647</v>
      </c>
      <c r="B8645" s="3" t="s">
        <v>4</v>
      </c>
      <c r="C8645" s="2" t="str">
        <f ca="1">IFERROR(__xludf.DUMMYFUNCTION("GOOGLETRANSLATE(A8645,""bn"",""en"")"),"The plastic flower is very easy to care for")</f>
        <v>The plastic flower is very easy to care for</v>
      </c>
    </row>
    <row r="8646" spans="1:3" ht="15.75" customHeight="1" x14ac:dyDescent="0.25">
      <c r="A8646" s="2" t="s">
        <v>8648</v>
      </c>
      <c r="B8646" s="3" t="s">
        <v>2</v>
      </c>
      <c r="C8646" s="2" t="str">
        <f ca="1">IFERROR(__xludf.DUMMYFUNCTION("GOOGLETRANSLATE(A8646,""bn"",""en"")"),"Can be used to store food but not airtight")</f>
        <v>Can be used to store food but not airtight</v>
      </c>
    </row>
    <row r="8647" spans="1:3" ht="15.75" customHeight="1" x14ac:dyDescent="0.25">
      <c r="A8647" s="2" t="s">
        <v>8649</v>
      </c>
      <c r="B8647" s="3" t="s">
        <v>6</v>
      </c>
      <c r="C8647" s="2" t="str">
        <f ca="1">IFERROR(__xludf.DUMMYFUNCTION("GOOGLETRANSLATE(A8647,""bn"",""en"")"),"The heat protectant spray made my hair feel sticky and weighed down")</f>
        <v>The heat protectant spray made my hair feel sticky and weighed down</v>
      </c>
    </row>
    <row r="8648" spans="1:3" ht="15.75" customHeight="1" x14ac:dyDescent="0.25">
      <c r="A8648" s="2" t="s">
        <v>8650</v>
      </c>
      <c r="B8648" s="3" t="s">
        <v>6</v>
      </c>
      <c r="C8648" s="2" t="str">
        <f ca="1">IFERROR(__xludf.DUMMYFUNCTION("GOOGLETRANSLATE(A8648,""bn"",""en"")")," The built-in camera had poor image quality producing grainy and pixelated videos")</f>
        <v xml:space="preserve"> The built-in camera had poor image quality producing grainy and pixelated videos</v>
      </c>
    </row>
    <row r="8649" spans="1:3" ht="15.75" customHeight="1" x14ac:dyDescent="0.25">
      <c r="A8649" s="2" t="s">
        <v>8651</v>
      </c>
      <c r="B8649" s="3" t="s">
        <v>2</v>
      </c>
      <c r="C8649" s="2" t="str">
        <f ca="1">IFERROR(__xludf.DUMMYFUNCTION("GOOGLETRANSLATE(A8649,""bn"",""en"")"),"Ok nothing special")</f>
        <v>Ok nothing special</v>
      </c>
    </row>
    <row r="8650" spans="1:3" ht="15.75" customHeight="1" x14ac:dyDescent="0.25">
      <c r="A8650" s="2" t="s">
        <v>8652</v>
      </c>
      <c r="B8650" s="3" t="s">
        <v>4</v>
      </c>
      <c r="C8650" s="2" t="str">
        <f ca="1">IFERROR(__xludf.DUMMYFUNCTION("GOOGLETRANSLATE(A8650,""bn"",""en"")"),"It maintains the naturalness of the makeup")</f>
        <v>It maintains the naturalness of the makeup</v>
      </c>
    </row>
    <row r="8651" spans="1:3" ht="15.75" customHeight="1" x14ac:dyDescent="0.25">
      <c r="A8651" s="2" t="s">
        <v>8653</v>
      </c>
      <c r="B8651" s="3" t="s">
        <v>4</v>
      </c>
      <c r="C8651" s="2" t="str">
        <f ca="1">IFERROR(__xludf.DUMMYFUNCTION("GOOGLETRANSLATE(A8651,""bn"",""en"")")," We couldn't find it here, got it in Daraz for a little less price with free delivery thanks")</f>
        <v xml:space="preserve"> We couldn't find it here, got it in Daraz for a little less price with free delivery thanks</v>
      </c>
    </row>
    <row r="8652" spans="1:3" ht="15.75" customHeight="1" x14ac:dyDescent="0.25">
      <c r="A8652" s="2" t="s">
        <v>8654</v>
      </c>
      <c r="B8652" s="3" t="s">
        <v>2</v>
      </c>
      <c r="C8652" s="2" t="str">
        <f ca="1">IFERROR(__xludf.DUMMYFUNCTION("GOOGLETRANSLATE(A8652,""bn"",""en"")"),"The handle is strong and less likely to break easily")</f>
        <v>The handle is strong and less likely to break easily</v>
      </c>
    </row>
    <row r="8653" spans="1:3" ht="15.75" customHeight="1" x14ac:dyDescent="0.25">
      <c r="A8653" s="2" t="s">
        <v>8655</v>
      </c>
      <c r="B8653" s="3" t="s">
        <v>2</v>
      </c>
      <c r="C8653" s="2" t="str">
        <f ca="1">IFERROR(__xludf.DUMMYFUNCTION("GOOGLETRANSLATE(A8653,""bn"",""en"")"),"Average people")</f>
        <v>Average people</v>
      </c>
    </row>
    <row r="8654" spans="1:3" ht="15.75" customHeight="1" x14ac:dyDescent="0.25">
      <c r="A8654" s="2" t="s">
        <v>8656</v>
      </c>
      <c r="B8654" s="3" t="s">
        <v>6</v>
      </c>
      <c r="C8654" s="2" t="str">
        <f ca="1">IFERROR(__xludf.DUMMYFUNCTION("GOOGLETRANSLATE(A8654,""bn"",""en"")"),"Baby sunscreen formula is greasy making it uncomfortable to apply on baby's skin")</f>
        <v>Baby sunscreen formula is greasy making it uncomfortable to apply on baby's skin</v>
      </c>
    </row>
    <row r="8655" spans="1:3" ht="15.75" customHeight="1" x14ac:dyDescent="0.25">
      <c r="A8655" s="2" t="s">
        <v>8657</v>
      </c>
      <c r="B8655" s="3" t="s">
        <v>4</v>
      </c>
      <c r="C8655" s="2" t="str">
        <f ca="1">IFERROR(__xludf.DUMMYFUNCTION("GOOGLETRANSLATE(A8655,""bn"",""en"")"),"Adequately packaged")</f>
        <v>Adequately packaged</v>
      </c>
    </row>
    <row r="8656" spans="1:3" ht="15.75" customHeight="1" x14ac:dyDescent="0.25">
      <c r="A8656" s="2" t="s">
        <v>8658</v>
      </c>
      <c r="B8656" s="3" t="s">
        <v>2</v>
      </c>
      <c r="C8656" s="2" t="str">
        <f ca="1">IFERROR(__xludf.DUMMYFUNCTION("GOOGLETRANSLATE(A8656,""bn"",""en"")"),"Can't say for sure what will happen if another order is placed")</f>
        <v>Can't say for sure what will happen if another order is placed</v>
      </c>
    </row>
    <row r="8657" spans="1:3" ht="15.75" customHeight="1" x14ac:dyDescent="0.25">
      <c r="A8657" s="2" t="s">
        <v>8659</v>
      </c>
      <c r="B8657" s="3" t="s">
        <v>2</v>
      </c>
      <c r="C8657" s="2" t="str">
        <f ca="1">IFERROR(__xludf.DUMMYFUNCTION("GOOGLETRANSLATE(A8657,""bn"",""en"")"),"It is somewhat comfortable")</f>
        <v>It is somewhat comfortable</v>
      </c>
    </row>
    <row r="8658" spans="1:3" ht="15.75" customHeight="1" x14ac:dyDescent="0.25">
      <c r="A8658" s="2" t="s">
        <v>8660</v>
      </c>
      <c r="B8658" s="3" t="s">
        <v>2</v>
      </c>
      <c r="C8658" s="2" t="str">
        <f ca="1">IFERROR(__xludf.DUMMYFUNCTION("GOOGLETRANSLATE(A8658,""bn"",""en"")"),"The best Christmas gift for a granddaughter is not perfect")</f>
        <v>The best Christmas gift for a granddaughter is not perfect</v>
      </c>
    </row>
    <row r="8659" spans="1:3" ht="15.75" customHeight="1" x14ac:dyDescent="0.25">
      <c r="A8659" s="2" t="s">
        <v>8661</v>
      </c>
      <c r="B8659" s="3" t="s">
        <v>4</v>
      </c>
      <c r="C8659" s="2" t="str">
        <f ca="1">IFERROR(__xludf.DUMMYFUNCTION("GOOGLETRANSLATE(A8659,""bn"",""en"")"),"Using it every morning and night removes all the bacteria from the mouth")</f>
        <v>Using it every morning and night removes all the bacteria from the mouth</v>
      </c>
    </row>
    <row r="8660" spans="1:3" ht="15.75" customHeight="1" x14ac:dyDescent="0.25">
      <c r="A8660" s="2" t="s">
        <v>8662</v>
      </c>
      <c r="B8660" s="3" t="s">
        <v>2</v>
      </c>
      <c r="C8660" s="2" t="str">
        <f ca="1">IFERROR(__xludf.DUMMYFUNCTION("GOOGLETRANSLATE(A8660,""bn"",""en"")"),"The finish is pretty good")</f>
        <v>The finish is pretty good</v>
      </c>
    </row>
    <row r="8661" spans="1:3" ht="15.75" customHeight="1" x14ac:dyDescent="0.25">
      <c r="A8661" s="2" t="s">
        <v>8663</v>
      </c>
      <c r="B8661" s="3" t="s">
        <v>2</v>
      </c>
      <c r="C8661" s="2" t="str">
        <f ca="1">IFERROR(__xludf.DUMMYFUNCTION("GOOGLETRANSLATE(A8661,""bn"",""en"")"),"The price is affordable but the quality is not that good")</f>
        <v>The price is affordable but the quality is not that good</v>
      </c>
    </row>
    <row r="8662" spans="1:3" ht="15.75" customHeight="1" x14ac:dyDescent="0.25">
      <c r="A8662" s="2" t="s">
        <v>8664</v>
      </c>
      <c r="B8662" s="3" t="s">
        <v>4</v>
      </c>
      <c r="C8662" s="2" t="str">
        <f ca="1">IFERROR(__xludf.DUMMYFUNCTION("GOOGLETRANSLATE(A8662,""bn"",""en"")"),"Its taste and value impressed me")</f>
        <v>Its taste and value impressed me</v>
      </c>
    </row>
    <row r="8663" spans="1:3" ht="15.75" customHeight="1" x14ac:dyDescent="0.25">
      <c r="A8663" s="2" t="s">
        <v>8665</v>
      </c>
      <c r="B8663" s="3" t="s">
        <v>4</v>
      </c>
      <c r="C8663" s="2" t="str">
        <f ca="1">IFERROR(__xludf.DUMMYFUNCTION("GOOGLETRANSLATE(A8663,""bn"",""en"")"),"It can be stored easily")</f>
        <v>It can be stored easily</v>
      </c>
    </row>
    <row r="8664" spans="1:3" ht="15.75" customHeight="1" x14ac:dyDescent="0.25">
      <c r="A8664" s="2" t="s">
        <v>8666</v>
      </c>
      <c r="B8664" s="3" t="s">
        <v>2</v>
      </c>
      <c r="C8664" s="2" t="str">
        <f ca="1">IFERROR(__xludf.DUMMYFUNCTION("GOOGLETRANSLATE(A8664,""bn"",""en"")"),"Easy to use but expect better results")</f>
        <v>Easy to use but expect better results</v>
      </c>
    </row>
    <row r="8665" spans="1:3" ht="15.75" customHeight="1" x14ac:dyDescent="0.25">
      <c r="A8665" s="2" t="s">
        <v>8667</v>
      </c>
      <c r="B8665" s="3" t="s">
        <v>2</v>
      </c>
      <c r="C8665" s="2" t="str">
        <f ca="1">IFERROR(__xludf.DUMMYFUNCTION("GOOGLETRANSLATE(A8665,""bn"",""en"")"),"Although the fertilizer was somewhat effective, yield did not seem to increase much")</f>
        <v>Although the fertilizer was somewhat effective, yield did not seem to increase much</v>
      </c>
    </row>
    <row r="8666" spans="1:3" ht="15.75" customHeight="1" x14ac:dyDescent="0.25">
      <c r="A8666" s="2" t="s">
        <v>8668</v>
      </c>
      <c r="B8666" s="3" t="s">
        <v>2</v>
      </c>
      <c r="C8666" s="2" t="str">
        <f ca="1">IFERROR(__xludf.DUMMYFUNCTION("GOOGLETRANSLATE(A8666,""bn"",""en"")"),"Filter efficiency is approx")</f>
        <v>Filter efficiency is approx</v>
      </c>
    </row>
    <row r="8667" spans="1:3" ht="15.75" customHeight="1" x14ac:dyDescent="0.25">
      <c r="A8667" s="2" t="s">
        <v>8669</v>
      </c>
      <c r="B8667" s="3" t="s">
        <v>6</v>
      </c>
      <c r="C8667" s="2" t="str">
        <f ca="1">IFERROR(__xludf.DUMMYFUNCTION("GOOGLETRANSLATE(A8667,""bn"",""en"")"),"Smart scales give inconsistent readings and are not accurate for tracking weight")</f>
        <v>Smart scales give inconsistent readings and are not accurate for tracking weight</v>
      </c>
    </row>
    <row r="8668" spans="1:3" ht="15.75" customHeight="1" x14ac:dyDescent="0.25">
      <c r="A8668" s="2" t="s">
        <v>8670</v>
      </c>
      <c r="B8668" s="3" t="s">
        <v>6</v>
      </c>
      <c r="C8668" s="2" t="str">
        <f ca="1">IFERROR(__xludf.DUMMYFUNCTION("GOOGLETRANSLATE(A8668,""bn"",""en"")"),"Disappointed with performance and durability")</f>
        <v>Disappointed with performance and durability</v>
      </c>
    </row>
    <row r="8669" spans="1:3" ht="15.75" customHeight="1" x14ac:dyDescent="0.25">
      <c r="A8669" s="2" t="s">
        <v>8671</v>
      </c>
      <c r="B8669" s="3" t="s">
        <v>2</v>
      </c>
      <c r="C8669" s="2" t="str">
        <f ca="1">IFERROR(__xludf.DUMMYFUNCTION("GOOGLETRANSLATE(A8669,""bn"",""en"")"),"The waterproof speaker plays music but the bass is low")</f>
        <v>The waterproof speaker plays music but the bass is low</v>
      </c>
    </row>
    <row r="8670" spans="1:3" ht="15.75" customHeight="1" x14ac:dyDescent="0.25">
      <c r="A8670" s="2" t="s">
        <v>8672</v>
      </c>
      <c r="B8670" s="3" t="s">
        <v>6</v>
      </c>
      <c r="C8670" s="2" t="str">
        <f ca="1">IFERROR(__xludf.DUMMYFUNCTION("GOOGLETRANSLATE(A8670,""bn"",""en"")"),"The canned soup was watery and lacked any vegetables or meat")</f>
        <v>The canned soup was watery and lacked any vegetables or meat</v>
      </c>
    </row>
    <row r="8671" spans="1:3" ht="15.75" customHeight="1" x14ac:dyDescent="0.25">
      <c r="A8671" s="2" t="s">
        <v>8673</v>
      </c>
      <c r="B8671" s="3" t="s">
        <v>4</v>
      </c>
      <c r="C8671" s="2" t="str">
        <f ca="1">IFERROR(__xludf.DUMMYFUNCTION("GOOGLETRANSLATE(A8671,""bn"",""en"")"),"The child had fun all day with the new toy")</f>
        <v>The child had fun all day with the new toy</v>
      </c>
    </row>
    <row r="8672" spans="1:3" ht="15.75" customHeight="1" x14ac:dyDescent="0.25">
      <c r="A8672" s="2" t="s">
        <v>8674</v>
      </c>
      <c r="B8672" s="3" t="s">
        <v>4</v>
      </c>
      <c r="C8672" s="2" t="str">
        <f ca="1">IFERROR(__xludf.DUMMYFUNCTION("GOOGLETRANSLATE(A8672,""bn"",""en"")"),"All in all this is a great product")</f>
        <v>All in all this is a great product</v>
      </c>
    </row>
    <row r="8673" spans="1:3" ht="15.75" customHeight="1" x14ac:dyDescent="0.25">
      <c r="A8673" s="2" t="s">
        <v>8675</v>
      </c>
      <c r="B8673" s="3" t="s">
        <v>4</v>
      </c>
      <c r="C8673" s="2" t="str">
        <f ca="1">IFERROR(__xludf.DUMMYFUNCTION("GOOGLETRANSLATE(A8673,""bn"",""en"")"),"The clear plastic is durable and the handle can be bent to reach corners")</f>
        <v>The clear plastic is durable and the handle can be bent to reach corners</v>
      </c>
    </row>
    <row r="8674" spans="1:3" ht="15.75" customHeight="1" x14ac:dyDescent="0.25">
      <c r="A8674" s="2" t="s">
        <v>8676</v>
      </c>
      <c r="B8674" s="3" t="s">
        <v>6</v>
      </c>
      <c r="C8674" s="2" t="str">
        <f ca="1">IFERROR(__xludf.DUMMYFUNCTION("GOOGLETRANSLATE(A8674,""bn"",""en"")"),"The included instructions were vague and confusing")</f>
        <v>The included instructions were vague and confusing</v>
      </c>
    </row>
    <row r="8675" spans="1:3" ht="15.75" customHeight="1" x14ac:dyDescent="0.25">
      <c r="A8675" s="2" t="s">
        <v>8677</v>
      </c>
      <c r="B8675" s="3" t="s">
        <v>4</v>
      </c>
      <c r="C8675" s="2" t="str">
        <f ca="1">IFERROR(__xludf.DUMMYFUNCTION("GOOGLETRANSLATE(A8675,""bn"",""en"")"),"The cover of the book is also very beautiful")</f>
        <v>The cover of the book is also very beautiful</v>
      </c>
    </row>
    <row r="8676" spans="1:3" ht="15.75" customHeight="1" x14ac:dyDescent="0.25">
      <c r="A8676" s="2" t="s">
        <v>8678</v>
      </c>
      <c r="B8676" s="3" t="s">
        <v>4</v>
      </c>
      <c r="C8676" s="2" t="str">
        <f ca="1">IFERROR(__xludf.DUMMYFUNCTION("GOOGLETRANSLATE(A8676,""bn"",""en"")"),"The audio recording quality of the mobile is very clear")</f>
        <v>The audio recording quality of the mobile is very clear</v>
      </c>
    </row>
    <row r="8677" spans="1:3" ht="15.75" customHeight="1" x14ac:dyDescent="0.25">
      <c r="A8677" s="2" t="s">
        <v>8679</v>
      </c>
      <c r="B8677" s="3" t="s">
        <v>4</v>
      </c>
      <c r="C8677" s="2" t="str">
        <f ca="1">IFERROR(__xludf.DUMMYFUNCTION("GOOGLETRANSLATE(A8677,""bn"",""en"")"),"The product is very good ")</f>
        <v xml:space="preserve">The product is very good </v>
      </c>
    </row>
    <row r="8678" spans="1:3" ht="15.75" customHeight="1" x14ac:dyDescent="0.25">
      <c r="A8678" s="2" t="s">
        <v>8680</v>
      </c>
      <c r="B8678" s="3" t="s">
        <v>6</v>
      </c>
      <c r="C8678" s="2" t="str">
        <f ca="1">IFERROR(__xludf.DUMMYFUNCTION("GOOGLETRANSLATE(A8678,""bn"",""en"")"),"Solar powered outdoor thermometers are unreliable, showing erratic readings")</f>
        <v>Solar powered outdoor thermometers are unreliable, showing erratic readings</v>
      </c>
    </row>
    <row r="8679" spans="1:3" ht="15.75" customHeight="1" x14ac:dyDescent="0.25">
      <c r="A8679" s="2" t="s">
        <v>8681</v>
      </c>
      <c r="B8679" s="3" t="s">
        <v>6</v>
      </c>
      <c r="C8679" s="2" t="str">
        <f ca="1">IFERROR(__xludf.DUMMYFUNCTION("GOOGLETRANSLATE(A8679,""bn"",""en"")"),"It may have lacked the durability I needed")</f>
        <v>It may have lacked the durability I needed</v>
      </c>
    </row>
    <row r="8680" spans="1:3" ht="15.75" customHeight="1" x14ac:dyDescent="0.25">
      <c r="A8680" s="2" t="s">
        <v>8682</v>
      </c>
      <c r="B8680" s="3" t="s">
        <v>2</v>
      </c>
      <c r="C8680" s="2" t="str">
        <f ca="1">IFERROR(__xludf.DUMMYFUNCTION("GOOGLETRANSLATE(A8680,""bn"",""en"")"),"A good quality electric sharpener may be better")</f>
        <v>A good quality electric sharpener may be better</v>
      </c>
    </row>
    <row r="8681" spans="1:3" ht="15.75" customHeight="1" x14ac:dyDescent="0.25">
      <c r="A8681" s="2" t="s">
        <v>8683</v>
      </c>
      <c r="B8681" s="3" t="s">
        <v>4</v>
      </c>
      <c r="C8681" s="2" t="str">
        <f ca="1">IFERROR(__xludf.DUMMYFUNCTION("GOOGLETRANSLATE(A8681,""bn"",""en"")"),"The garment is very lightweight")</f>
        <v>The garment is very lightweight</v>
      </c>
    </row>
    <row r="8682" spans="1:3" ht="15.75" customHeight="1" x14ac:dyDescent="0.25">
      <c r="A8682" s="2" t="s">
        <v>8684</v>
      </c>
      <c r="B8682" s="3" t="s">
        <v>4</v>
      </c>
      <c r="C8682" s="2" t="str">
        <f ca="1">IFERROR(__xludf.DUMMYFUNCTION("GOOGLETRANSLATE(A8682,""bn"",""en"")"),"Excellent vent holder")</f>
        <v>Excellent vent holder</v>
      </c>
    </row>
    <row r="8683" spans="1:3" ht="15.75" customHeight="1" x14ac:dyDescent="0.25">
      <c r="A8683" s="2" t="s">
        <v>8685</v>
      </c>
      <c r="B8683" s="3" t="s">
        <v>2</v>
      </c>
      <c r="C8683" s="2" t="str">
        <f ca="1">IFERROR(__xludf.DUMMYFUNCTION("GOOGLETRANSLATE(A8683,""bn"",""en"")"),"Some insects have been eliminated but most plants have not been affected")</f>
        <v>Some insects have been eliminated but most plants have not been affected</v>
      </c>
    </row>
    <row r="8684" spans="1:3" ht="15.75" customHeight="1" x14ac:dyDescent="0.25">
      <c r="A8684" s="2" t="s">
        <v>8686</v>
      </c>
      <c r="B8684" s="3" t="s">
        <v>6</v>
      </c>
      <c r="C8684" s="2" t="str">
        <f ca="1">IFERROR(__xludf.DUMMYFUNCTION("GOOGLETRANSLATE(A8684,""bn"",""en"")"),"The coffee lacked freshness tasting stale and flat")</f>
        <v>The coffee lacked freshness tasting stale and flat</v>
      </c>
    </row>
    <row r="8685" spans="1:3" ht="15.75" customHeight="1" x14ac:dyDescent="0.25">
      <c r="A8685" s="2" t="s">
        <v>8687</v>
      </c>
      <c r="B8685" s="3" t="s">
        <v>2</v>
      </c>
      <c r="C8685" s="2" t="str">
        <f ca="1">IFERROR(__xludf.DUMMYFUNCTION("GOOGLETRANSLATE(A8685,""bn"",""en"")"),"The electronic nail art printer produces designs but the ink dries quickly")</f>
        <v>The electronic nail art printer produces designs but the ink dries quickly</v>
      </c>
    </row>
    <row r="8686" spans="1:3" ht="15.75" customHeight="1" x14ac:dyDescent="0.25">
      <c r="A8686" s="2" t="s">
        <v>8688</v>
      </c>
      <c r="B8686" s="3" t="s">
        <v>2</v>
      </c>
      <c r="C8686" s="2" t="str">
        <f ca="1">IFERROR(__xludf.DUMMYFUNCTION("GOOGLETRANSLATE(A8686,""bn"",""en"")"),"Can be kept in the freezer but may burst from overcooling")</f>
        <v>Can be kept in the freezer but may burst from overcooling</v>
      </c>
    </row>
  </sheetData>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2025-01-31T09:53:45Z</dcterms:created>
  <dcterms:modified xsi:type="dcterms:W3CDTF">2025-02-05T10:24:21Z</dcterms:modified>
</cp:coreProperties>
</file>